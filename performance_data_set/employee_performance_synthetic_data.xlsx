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d84442a48744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on" sheetId="1" r:id="R24660099e46b4697"/>
    <x:sheet xmlns:r="http://schemas.openxmlformats.org/officeDocument/2006/relationships" name="branch" sheetId="2" r:id="R32915d28f8884c5f"/>
    <x:sheet xmlns:r="http://schemas.openxmlformats.org/officeDocument/2006/relationships" name="employee" sheetId="3" r:id="R9ed5ca37791f418c"/>
    <x:sheet xmlns:r="http://schemas.openxmlformats.org/officeDocument/2006/relationships" name="employee_assignment" sheetId="4" r:id="Ra5fb74b916ff4310"/>
    <x:sheet xmlns:r="http://schemas.openxmlformats.org/officeDocument/2006/relationships" name="job_role" sheetId="5" r:id="R00387f5d4e3344d7"/>
    <x:sheet xmlns:r="http://schemas.openxmlformats.org/officeDocument/2006/relationships" name="performance_cycle" sheetId="6" r:id="Rcf4ed711673e447a"/>
    <x:sheet xmlns:r="http://schemas.openxmlformats.org/officeDocument/2006/relationships" name="employee_review" sheetId="7" r:id="Rb11590e26b4b4d8c"/>
    <x:sheet xmlns:r="http://schemas.openxmlformats.org/officeDocument/2006/relationships" name="review_meeting" sheetId="8" r:id="R6d1abb2dd14f41f6"/>
    <x:sheet xmlns:r="http://schemas.openxmlformats.org/officeDocument/2006/relationships" name="meeting_note" sheetId="9" r:id="R113a451126cc4957"/>
    <x:sheet xmlns:r="http://schemas.openxmlformats.org/officeDocument/2006/relationships" name="employee_acknowledgment" sheetId="10" r:id="R8fa27f65979f47a8"/>
    <x:sheet xmlns:r="http://schemas.openxmlformats.org/officeDocument/2006/relationships" name="competency" sheetId="11" r:id="Reaf6743bbfdb4f3f"/>
    <x:sheet xmlns:r="http://schemas.openxmlformats.org/officeDocument/2006/relationships" name="competency_rating" sheetId="12" r:id="R507d68ce90174832"/>
    <x:sheet xmlns:r="http://schemas.openxmlformats.org/officeDocument/2006/relationships" name="performance_goal" sheetId="13" r:id="R34d6d8b14d674e73"/>
    <x:sheet xmlns:r="http://schemas.openxmlformats.org/officeDocument/2006/relationships" name="goal_progress" sheetId="14" r:id="Re65eaad51a8f46f9"/>
    <x:sheet xmlns:r="http://schemas.openxmlformats.org/officeDocument/2006/relationships" name="career_aspiration" sheetId="15" r:id="R4aad0f635dfb45a4"/>
    <x:sheet xmlns:r="http://schemas.openxmlformats.org/officeDocument/2006/relationships" name="loan_transaction" sheetId="16" r:id="R9db736219e294046"/>
    <x:sheet xmlns:r="http://schemas.openxmlformats.org/officeDocument/2006/relationships" name="performance_target" sheetId="17" r:id="R27421ebabdbb451d"/>
    <x:sheet xmlns:r="http://schemas.openxmlformats.org/officeDocument/2006/relationships" name="metric_snapshot" sheetId="18" r:id="Raf56c0d7d63e41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mm/dd/yy"/>
    <x:numFmt numFmtId="201" formatCode="0&quot;%&quot;"/>
    <x:numFmt numFmtId="202" formatCode="&quot;$&quot;#,##0"/>
    <x:numFmt numFmtId="203" formatCode="0.0%"/>
    <x:numFmt numFmtId="204" formatCode="#,##0"/>
    <x:numFmt numFmtId="205" formatCode="0"/>
  </x:numFmts>
  <x:fonts count="3">
    <x:font>
      <x:sz val="11"/>
      <x:name val="Carlito"/>
    </x:font>
    <x:font>
      <x:sz val="10"/>
      <x:color rgb="FF22222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6"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166534"/>
      </x:font>
      <x:fill>
        <x:patternFill patternType="solid">
          <x:bgColor rgb="FFE6F4EA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166534"/>
      </x:font>
      <x:fill>
        <x:patternFill patternType="solid">
          <x:bgColor rgb="FFE6F4EA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166534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2528988e4d400e" /><Relationship Type="http://schemas.openxmlformats.org/officeDocument/2006/relationships/theme" Target="/xl/theme/theme1.xml" Id="Rbe091ed952fd4445" /><Relationship Type="http://schemas.microsoft.com/office/2022/11/relationships/FeaturePropertyBag" Target="/xl/featurePropertyBag/featurePropertyBag.xml" Id="Ree7cbd9394dd40ad" /><Relationship Type="http://schemas.openxmlformats.org/officeDocument/2006/relationships/sharedStrings" Target="/xl/sharedStrings.xml" Id="R31ff9cf2cc0545a8" /><Relationship Type="http://schemas.openxmlformats.org/officeDocument/2006/relationships/worksheet" Target="/xl/worksheets/sheet1.xml" Id="R24660099e46b4697" /><Relationship Type="http://schemas.openxmlformats.org/officeDocument/2006/relationships/worksheet" Target="/xl/worksheets/sheet2.xml" Id="R32915d28f8884c5f" /><Relationship Type="http://schemas.openxmlformats.org/officeDocument/2006/relationships/worksheet" Target="/xl/worksheets/sheet3.xml" Id="R9ed5ca37791f418c" /><Relationship Type="http://schemas.openxmlformats.org/officeDocument/2006/relationships/worksheet" Target="/xl/worksheets/sheet4.xml" Id="Ra5fb74b916ff4310" /><Relationship Type="http://schemas.openxmlformats.org/officeDocument/2006/relationships/worksheet" Target="/xl/worksheets/sheet5.xml" Id="R00387f5d4e3344d7" /><Relationship Type="http://schemas.openxmlformats.org/officeDocument/2006/relationships/worksheet" Target="/xl/worksheets/sheet6.xml" Id="Rcf4ed711673e447a" /><Relationship Type="http://schemas.openxmlformats.org/officeDocument/2006/relationships/worksheet" Target="/xl/worksheets/sheet7.xml" Id="Rb11590e26b4b4d8c" /><Relationship Type="http://schemas.openxmlformats.org/officeDocument/2006/relationships/worksheet" Target="/xl/worksheets/sheet8.xml" Id="R6d1abb2dd14f41f6" /><Relationship Type="http://schemas.openxmlformats.org/officeDocument/2006/relationships/worksheet" Target="/xl/worksheets/sheet9.xml" Id="R113a451126cc4957" /><Relationship Type="http://schemas.openxmlformats.org/officeDocument/2006/relationships/worksheet" Target="/xl/worksheets/sheet10.xml" Id="R8fa27f65979f47a8" /><Relationship Type="http://schemas.openxmlformats.org/officeDocument/2006/relationships/worksheet" Target="/xl/worksheets/sheet11.xml" Id="Reaf6743bbfdb4f3f" /><Relationship Type="http://schemas.openxmlformats.org/officeDocument/2006/relationships/worksheet" Target="/xl/worksheets/sheet12.xml" Id="R507d68ce90174832" /><Relationship Type="http://schemas.openxmlformats.org/officeDocument/2006/relationships/worksheet" Target="/xl/worksheets/sheet13.xml" Id="R34d6d8b14d674e73" /><Relationship Type="http://schemas.openxmlformats.org/officeDocument/2006/relationships/worksheet" Target="/xl/worksheets/sheet14.xml" Id="Re65eaad51a8f46f9" /><Relationship Type="http://schemas.openxmlformats.org/officeDocument/2006/relationships/worksheet" Target="/xl/worksheets/sheet15.xml" Id="R4aad0f635dfb45a4" /><Relationship Type="http://schemas.openxmlformats.org/officeDocument/2006/relationships/worksheet" Target="/xl/worksheets/sheet16.xml" Id="R9db736219e294046" /><Relationship Type="http://schemas.openxmlformats.org/officeDocument/2006/relationships/worksheet" Target="/xl/worksheets/sheet17.xml" Id="R27421ebabdbb451d" /><Relationship Type="http://schemas.openxmlformats.org/officeDocument/2006/relationships/worksheet" Target="/xl/worksheets/sheet18.xml" Id="Raf56c0d7d63e411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bl_region" displayName="tbl_region" ref="A1:E3" headerRowCount="1" totalsRowCount="0" totalsRowShown="0">
  <x:autoFilter ref="A1:E3"/>
  <x:tableColumns count="5">
    <x:tableColumn id="1" name="region_id"/>
    <x:tableColumn id="2" name="region_name"/>
    <x:tableColumn id="3" name="vp_employee_id"/>
    <x:tableColumn id="4" name="effective_start_date"/>
    <x:tableColumn id="5" name="is_activ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_branch" displayName="tbl_branch" ref="A1:H7" headerRowCount="1" totalsRowCount="0" totalsRowShown="0">
  <x:autoFilter ref="A1:H7"/>
  <x:tableColumns count="8">
    <x:tableColumn id="1" name="branch_id"/>
    <x:tableColumn id="2" name="branch_name"/>
    <x:tableColumn id="3" name="region_id"/>
    <x:tableColumn id="4" name="city"/>
    <x:tableColumn id="5" name="state"/>
    <x:tableColumn id="6" name="manager_employee_id"/>
    <x:tableColumn id="7" name="effective_start_date"/>
    <x:tableColumn id="8" name="is_activ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_employee" displayName="tbl_employee" ref="A1:I24" headerRowCount="1" totalsRowCount="0" totalsRowShown="0">
  <x:autoFilter ref="A1:I24"/>
  <x:tableColumns count="9">
    <x:tableColumn id="1" name="employee_id"/>
    <x:tableColumn id="2" name="first_name"/>
    <x:tableColumn id="3" name="last_name"/>
    <x:tableColumn id="4" name="full_name"/>
    <x:tableColumn id="5" name="email"/>
    <x:tableColumn id="6" name="job_title"/>
    <x:tableColumn id="7" name="hire_date"/>
    <x:tableColumn id="8" name="employment_status"/>
    <x:tableColumn id="9" name="employment_typ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_employee_assignment" displayName="tbl_employee_assignment" ref="A1:I24" headerRowCount="1" totalsRowCount="0" totalsRowShown="0">
  <x:autoFilter ref="A1:I24"/>
  <x:tableColumns count="9">
    <x:tableColumn id="1" name="assignment_id"/>
    <x:tableColumn id="2" name="employee_id"/>
    <x:tableColumn id="3" name="job_role_id"/>
    <x:tableColumn id="4" name="region_id"/>
    <x:tableColumn id="5" name="branch_id"/>
    <x:tableColumn id="6" name="manager_employee_id"/>
    <x:tableColumn id="7" name="effective_start_date"/>
    <x:tableColumn id="8" name="effective_end_date"/>
    <x:tableColumn id="9" name="is_curre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_job_role" displayName="tbl_job_role" ref="A1:E4" headerRowCount="1" totalsRowCount="0" totalsRowShown="0">
  <x:autoFilter ref="A1:E4"/>
  <x:tableColumns count="5">
    <x:tableColumn id="1" name="job_role_id"/>
    <x:tableColumn id="2" name="job_role_name"/>
    <x:tableColumn id="3" name="role_category"/>
    <x:tableColumn id="4" name="hierarchy_level"/>
    <x:tableColumn id="5" name="is_activ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_performance_cycle" displayName="tbl_performance_cycle" ref="A1:F8" headerRowCount="1" totalsRowCount="0" totalsRowShown="0">
  <x:autoFilter ref="A1:F8"/>
  <x:tableColumns count="6">
    <x:tableColumn id="1" name="cycle_id"/>
    <x:tableColumn id="2" name="cycle_name"/>
    <x:tableColumn id="3" name="start_date"/>
    <x:tableColumn id="4" name="end_date"/>
    <x:tableColumn id="5" name="review_due_date"/>
    <x:tableColumn id="6" name="cycle_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_employee_review" displayName="tbl_employee_review" ref="A1:J106" headerRowCount="1" totalsRowCount="0" totalsRowShown="0">
  <x:autoFilter ref="A1:J106"/>
  <x:tableColumns count="10">
    <x:tableColumn id="1" name="review_id"/>
    <x:tableColumn id="2" name="employee_id"/>
    <x:tableColumn id="3" name="cycle_id"/>
    <x:tableColumn id="4" name="reviewer_employee_id"/>
    <x:tableColumn id="5" name="branch_id"/>
    <x:tableColumn id="6" name="review_status"/>
    <x:tableColumn id="7" name="final_rating"/>
    <x:tableColumn id="8" name="rating_rationale"/>
    <x:tableColumn id="9" name="review_date"/>
    <x:tableColumn id="10" name="completed_da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_review_meeting" displayName="tbl_review_meeting" ref="A1:I106" headerRowCount="1" totalsRowCount="0" totalsRowShown="0">
  <x:autoFilter ref="A1:I106"/>
  <x:tableColumns count="9">
    <x:tableColumn id="1" name="meeting_id"/>
    <x:tableColumn id="2" name="review_id"/>
    <x:tableColumn id="3" name="employee_id"/>
    <x:tableColumn id="4" name="manager_employee_id"/>
    <x:tableColumn id="5" name="meeting_date"/>
    <x:tableColumn id="6" name="duration_minutes"/>
    <x:tableColumn id="7" name="meeting_status"/>
    <x:tableColumn id="8" name="meeting_purpose"/>
    <x:tableColumn id="9" name="meeting_channel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_meeting_note" displayName="tbl_meeting_note" ref="A1:G421" headerRowCount="1" totalsRowCount="0" totalsRowShown="0">
  <x:autoFilter ref="A1:G421"/>
  <x:tableColumns count="7">
    <x:tableColumn id="1" name="note_id"/>
    <x:tableColumn id="2" name="meeting_id"/>
    <x:tableColumn id="3" name="discussion_topic"/>
    <x:tableColumn id="4" name="note_text"/>
    <x:tableColumn id="5" name="created_by_employee_id"/>
    <x:tableColumn id="6" name="created_at"/>
    <x:tableColumn id="7" name="visibility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bl_employee_acknowledgment" displayName="tbl_employee_acknowledgment" ref="A1:F106" headerRowCount="1" totalsRowCount="0" totalsRowShown="0">
  <x:autoFilter ref="A1:F106"/>
  <x:tableColumns count="6">
    <x:tableColumn id="1" name="acknowledgment_id"/>
    <x:tableColumn id="2" name="review_id"/>
    <x:tableColumn id="3" name="employee_id"/>
    <x:tableColumn id="4" name="acknowledgment_status"/>
    <x:tableColumn id="5" name="acknowledgment_date"/>
    <x:tableColumn id="6" name="employee_commen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bl_competency" displayName="tbl_competency" ref="A1:E5" headerRowCount="1" totalsRowCount="0" totalsRowShown="0">
  <x:autoFilter ref="A1:E5"/>
  <x:tableColumns count="5">
    <x:tableColumn id="1" name="competency_id"/>
    <x:tableColumn id="2" name="competency_name"/>
    <x:tableColumn id="3" name="competency_description"/>
    <x:tableColumn id="4" name="display_order"/>
    <x:tableColumn id="5" name="is_activ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bl_competency_rating" displayName="tbl_competency_rating" ref="A1:I421" headerRowCount="1" totalsRowCount="0" totalsRowShown="0">
  <x:autoFilter ref="A1:I421"/>
  <x:tableColumns count="9">
    <x:tableColumn id="1" name="competency_rating_id"/>
    <x:tableColumn id="2" name="review_id"/>
    <x:tableColumn id="3" name="employee_id"/>
    <x:tableColumn id="4" name="cycle_id"/>
    <x:tableColumn id="5" name="competency_id"/>
    <x:tableColumn id="6" name="rating"/>
    <x:tableColumn id="7" name="rating_label"/>
    <x:tableColumn id="8" name="rated_by_employee_id"/>
    <x:tableColumn id="9" name="rating_dat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bl_performance_goal" displayName="tbl_performance_goal" ref="A1:I61" headerRowCount="1" totalsRowCount="0" totalsRowShown="0">
  <x:autoFilter ref="A1:I61"/>
  <x:tableColumns count="9">
    <x:tableColumn id="1" name="goal_id"/>
    <x:tableColumn id="2" name="employee_id"/>
    <x:tableColumn id="3" name="goal_type"/>
    <x:tableColumn id="4" name="goal_title"/>
    <x:tableColumn id="5" name="goal_description"/>
    <x:tableColumn id="6" name="start_date"/>
    <x:tableColumn id="7" name="due_date"/>
    <x:tableColumn id="8" name="goal_status"/>
    <x:tableColumn id="9" name="created_by_employee_id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bl_goal_progress" displayName="tbl_goal_progress" ref="A1:G211" headerRowCount="1" totalsRowCount="0" totalsRowShown="0">
  <x:autoFilter ref="A1:G211"/>
  <x:tableColumns count="7">
    <x:tableColumn id="1" name="progress_id"/>
    <x:tableColumn id="2" name="goal_id"/>
    <x:tableColumn id="3" name="cycle_id"/>
    <x:tableColumn id="4" name="completion_percent"/>
    <x:tableColumn id="5" name="progress_note"/>
    <x:tableColumn id="6" name="progress_date"/>
    <x:tableColumn id="7" name="updated_by_employee_id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bl_career_aspiration" displayName="tbl_career_aspiration" ref="A1:H31" headerRowCount="1" totalsRowCount="0" totalsRowShown="0">
  <x:autoFilter ref="A1:H31"/>
  <x:tableColumns count="8">
    <x:tableColumn id="1" name="aspiration_id"/>
    <x:tableColumn id="2" name="employee_id"/>
    <x:tableColumn id="3" name="aspiration_year"/>
    <x:tableColumn id="4" name="desired_role"/>
    <x:tableColumn id="5" name="target_timeline"/>
    <x:tableColumn id="6" name="development_needs"/>
    <x:tableColumn id="7" name="recorded_by_employee_id"/>
    <x:tableColumn id="8" name="recorded_dat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bl_loan_transaction" displayName="tbl_loan_transaction" ref="A1:K954" headerRowCount="1" totalsRowCount="0" totalsRowShown="0">
  <x:autoFilter ref="A1:K954"/>
  <x:tableColumns count="11">
    <x:tableColumn id="1" name="loan_id"/>
    <x:tableColumn id="2" name="source_loan_id"/>
    <x:tableColumn id="3" name="employee_id"/>
    <x:tableColumn id="4" name="cycle_id"/>
    <x:tableColumn id="5" name="branch_id"/>
    <x:tableColumn id="6" name="application_date"/>
    <x:tableColumn id="7" name="loan_status"/>
    <x:tableColumn id="8" name="loan_amount"/>
    <x:tableColumn id="9" name="loan_product"/>
    <x:tableColumn id="10" name="borrower_segment"/>
    <x:tableColumn id="11" name="funded_dat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tbl_performance_target" displayName="tbl_performance_target" ref="A1:I148" headerRowCount="1" totalsRowCount="0" totalsRowShown="0">
  <x:autoFilter ref="A1:I148"/>
  <x:tableColumns count="9">
    <x:tableColumn id="1" name="target_id"/>
    <x:tableColumn id="2" name="cycle_id"/>
    <x:tableColumn id="3" name="target_scope_type"/>
    <x:tableColumn id="4" name="target_scope_id"/>
    <x:tableColumn id="5" name="target_metric"/>
    <x:tableColumn id="6" name="target_value"/>
    <x:tableColumn id="7" name="currency"/>
    <x:tableColumn id="8" name="assigned_date"/>
    <x:tableColumn id="9" name="approved_by_employee_id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tbl_metric_snapshot" displayName="tbl_metric_snapshot" ref="A1:K106" headerRowCount="1" totalsRowCount="0" totalsRowShown="0">
  <x:autoFilter ref="A1:K106"/>
  <x:tableColumns count="11">
    <x:tableColumn id="1" name="snapshot_id"/>
    <x:tableColumn id="2" name="review_id"/>
    <x:tableColumn id="3" name="employee_id"/>
    <x:tableColumn id="4" name="cycle_id"/>
    <x:tableColumn id="5" name="target_amount"/>
    <x:tableColumn id="6" name="funded_loan_count"/>
    <x:tableColumn id="7" name="funded_amount"/>
    <x:tableColumn id="8" name="attainment_percent"/>
    <x:tableColumn id="9" name="loan_rating"/>
    <x:tableColumn id="10" name="snapshot_date"/>
    <x:tableColumn id="11" name="snapshot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f1f2e6d5a494f0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52c29a6d6ea44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eef4f31a20b43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a91db0b58fb435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a14933ee3bf4f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e560bbab23548b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c4b0ae51151411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32938e33278434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f84e302372142d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a59d90903fc44d2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4d4c41a6555a428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a3f86c3e4ba8487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21cd5ff2c87b42b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079846baddd046c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9eff95b28efb4ba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f2c9d720f1b64049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2e8734d250054f70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72aa4762ac3a475f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16" hidden="0" customWidth="1"/>
    <x:col min="4" max="4" width="14" hidden="0" customWidth="1"/>
    <x:col min="5" max="5" width="12" hidden="0" customWidth="1"/>
  </x:cols>
  <x:sheetData>
    <x:row r="1" ht="30" hidden="0" customHeight="1">
      <x:c r="A1" s="15" t="str">
        <x:v>region_id</x:v>
      </x:c>
      <x:c r="B1" s="16" t="str">
        <x:v>region_name</x:v>
      </x:c>
      <x:c r="C1" s="16" t="str">
        <x:v>vp_employee_id</x:v>
      </x:c>
      <x:c r="D1" s="16" t="str">
        <x:v>effective_start_date</x:v>
      </x:c>
      <x:c r="E1" s="17" t="str">
        <x:v>is_active</x:v>
      </x:c>
    </x:row>
    <x:row r="2" ht="15" hidden="0" customHeight="1">
      <x:c r="A2" s="18" t="str">
        <x:v>REG001</x:v>
      </x:c>
      <x:c r="B2" s="18" t="str">
        <x:v>Great Lakes Region</x:v>
      </x:c>
      <x:c r="C2" s="18" t="str">
        <x:v>VP001</x:v>
      </x:c>
      <x:c r="D2" s="20" t="n">
        <x:v>43831.5</x:v>
      </x:c>
      <x:c r="E2" s="19" t="b">
        <x:v>1</x:v>
      </x:c>
    </x:row>
    <x:row r="3" ht="15" hidden="0" customHeight="1">
      <x:c r="A3" s="18" t="str">
        <x:v>REG002</x:v>
      </x:c>
      <x:c r="B3" s="18" t="str">
        <x:v>Southwest Region</x:v>
      </x:c>
      <x:c r="C3" s="18" t="str">
        <x:v>VP002</x:v>
      </x:c>
      <x:c r="D3" s="20" t="n">
        <x:v>43831.5</x:v>
      </x:c>
      <x:c r="E3" s="19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f1f2e6d5a494f0a"/>
  </x:tableParts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12" hidden="0" customWidth="1"/>
    <x:col min="4" max="4" width="12" hidden="0" customWidth="1"/>
    <x:col min="5" max="5" width="12" hidden="0" customWidth="1"/>
    <x:col min="6" max="6" width="21" hidden="0" customWidth="1"/>
    <x:col min="7" max="7" width="14" hidden="0" customWidth="1"/>
    <x:col min="8" max="8" width="12" hidden="0" customWidth="1"/>
  </x:cols>
  <x:sheetData>
    <x:row r="1" ht="30" hidden="0" customHeight="1">
      <x:c r="A1" s="15" t="str">
        <x:v>branch_id</x:v>
      </x:c>
      <x:c r="B1" s="16" t="str">
        <x:v>branch_name</x:v>
      </x:c>
      <x:c r="C1" s="16" t="str">
        <x:v>region_id</x:v>
      </x:c>
      <x:c r="D1" s="16" t="str">
        <x:v>city</x:v>
      </x:c>
      <x:c r="E1" s="16" t="str">
        <x:v>state</x:v>
      </x:c>
      <x:c r="F1" s="16" t="str">
        <x:v>manager_employee_id</x:v>
      </x:c>
      <x:c r="G1" s="16" t="str">
        <x:v>effective_start_date</x:v>
      </x:c>
      <x:c r="H1" s="17" t="str">
        <x:v>is_active</x:v>
      </x:c>
    </x:row>
    <x:row r="2" ht="15" hidden="0" customHeight="1">
      <x:c r="A2" s="18" t="str">
        <x:v>BR001</x:v>
      </x:c>
      <x:c r="B2" s="18" t="str">
        <x:v>Chicago Central</x:v>
      </x:c>
      <x:c r="C2" s="18" t="str">
        <x:v>REG001</x:v>
      </x:c>
      <x:c r="D2" s="18" t="str">
        <x:v>Chicago</x:v>
      </x:c>
      <x:c r="E2" s="18" t="str">
        <x:v>IL</x:v>
      </x:c>
      <x:c r="F2" s="18" t="str">
        <x:v>MGR001</x:v>
      </x:c>
      <x:c r="G2" s="20" t="n">
        <x:v>43831.5</x:v>
      </x:c>
      <x:c r="H2" s="19" t="b">
        <x:v>1</x:v>
      </x:c>
    </x:row>
    <x:row r="3" ht="15" hidden="0" customHeight="1">
      <x:c r="A3" s="18" t="str">
        <x:v>BR002</x:v>
      </x:c>
      <x:c r="B3" s="18" t="str">
        <x:v>Evanston</x:v>
      </x:c>
      <x:c r="C3" s="18" t="str">
        <x:v>REG001</x:v>
      </x:c>
      <x:c r="D3" s="18" t="str">
        <x:v>Evanston</x:v>
      </x:c>
      <x:c r="E3" s="18" t="str">
        <x:v>IL</x:v>
      </x:c>
      <x:c r="F3" s="18" t="str">
        <x:v>MGR002</x:v>
      </x:c>
      <x:c r="G3" s="20" t="n">
        <x:v>43831.5</x:v>
      </x:c>
      <x:c r="H3" s="19" t="b">
        <x:v>1</x:v>
      </x:c>
    </x:row>
    <x:row r="4" ht="15" hidden="0" customHeight="1">
      <x:c r="A4" s="18" t="str">
        <x:v>BR003</x:v>
      </x:c>
      <x:c r="B4" s="18" t="str">
        <x:v>Naperville</x:v>
      </x:c>
      <x:c r="C4" s="18" t="str">
        <x:v>REG001</x:v>
      </x:c>
      <x:c r="D4" s="18" t="str">
        <x:v>Naperville</x:v>
      </x:c>
      <x:c r="E4" s="18" t="str">
        <x:v>IL</x:v>
      </x:c>
      <x:c r="F4" s="18" t="str">
        <x:v>MGR003</x:v>
      </x:c>
      <x:c r="G4" s="20" t="n">
        <x:v>43831.5</x:v>
      </x:c>
      <x:c r="H4" s="19" t="b">
        <x:v>1</x:v>
      </x:c>
    </x:row>
    <x:row r="5" ht="15" hidden="0" customHeight="1">
      <x:c r="A5" s="18" t="str">
        <x:v>BR004</x:v>
      </x:c>
      <x:c r="B5" s="18" t="str">
        <x:v>Dallas Central</x:v>
      </x:c>
      <x:c r="C5" s="18" t="str">
        <x:v>REG002</x:v>
      </x:c>
      <x:c r="D5" s="18" t="str">
        <x:v>Dallas</x:v>
      </x:c>
      <x:c r="E5" s="18" t="str">
        <x:v>TX</x:v>
      </x:c>
      <x:c r="F5" s="18" t="str">
        <x:v>MGR004</x:v>
      </x:c>
      <x:c r="G5" s="20" t="n">
        <x:v>43831.5</x:v>
      </x:c>
      <x:c r="H5" s="19" t="b">
        <x:v>1</x:v>
      </x:c>
    </x:row>
    <x:row r="6" ht="15" hidden="0" customHeight="1">
      <x:c r="A6" s="18" t="str">
        <x:v>BR005</x:v>
      </x:c>
      <x:c r="B6" s="18" t="str">
        <x:v>Plano</x:v>
      </x:c>
      <x:c r="C6" s="18" t="str">
        <x:v>REG002</x:v>
      </x:c>
      <x:c r="D6" s="18" t="str">
        <x:v>Plano</x:v>
      </x:c>
      <x:c r="E6" s="18" t="str">
        <x:v>TX</x:v>
      </x:c>
      <x:c r="F6" s="18" t="str">
        <x:v>MGR005</x:v>
      </x:c>
      <x:c r="G6" s="20" t="n">
        <x:v>43831.5</x:v>
      </x:c>
      <x:c r="H6" s="19" t="b">
        <x:v>1</x:v>
      </x:c>
    </x:row>
    <x:row r="7" ht="15" hidden="0" customHeight="1">
      <x:c r="A7" s="18" t="str">
        <x:v>BR006</x:v>
      </x:c>
      <x:c r="B7" s="18" t="str">
        <x:v>Fort Worth</x:v>
      </x:c>
      <x:c r="C7" s="18" t="str">
        <x:v>REG002</x:v>
      </x:c>
      <x:c r="D7" s="18" t="str">
        <x:v>Fort Worth</x:v>
      </x:c>
      <x:c r="E7" s="18" t="str">
        <x:v>TX</x:v>
      </x:c>
      <x:c r="F7" s="18" t="str">
        <x:v>MGR006</x:v>
      </x:c>
      <x:c r="G7" s="20" t="n">
        <x:v>43831.5</x:v>
      </x:c>
      <x:c r="H7" s="19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352c29a6d6ea4456"/>
  </x:tableParts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4" hidden="0" customWidth="1"/>
    <x:col min="3" max="3" width="24" hidden="0" customWidth="1"/>
    <x:col min="4" max="4" width="24" hidden="0" customWidth="1"/>
    <x:col min="5" max="5" width="31" hidden="0" customWidth="1"/>
    <x:col min="6" max="6" width="24" hidden="0" customWidth="1"/>
    <x:col min="7" max="7" width="14" hidden="0" customWidth="1"/>
    <x:col min="8" max="8" width="19" hidden="0" customWidth="1"/>
    <x:col min="9" max="9" width="17" hidden="0" customWidth="1"/>
  </x:cols>
  <x:sheetData>
    <x:row r="1" ht="30" hidden="0" customHeight="1">
      <x:c r="A1" s="15" t="str">
        <x:v>employee_id</x:v>
      </x:c>
      <x:c r="B1" s="16" t="str">
        <x:v>first_name</x:v>
      </x:c>
      <x:c r="C1" s="16" t="str">
        <x:v>last_name</x:v>
      </x:c>
      <x:c r="D1" s="16" t="str">
        <x:v>full_name</x:v>
      </x:c>
      <x:c r="E1" s="16" t="str">
        <x:v>email</x:v>
      </x:c>
      <x:c r="F1" s="16" t="str">
        <x:v>job_title</x:v>
      </x:c>
      <x:c r="G1" s="16" t="str">
        <x:v>hire_date</x:v>
      </x:c>
      <x:c r="H1" s="16" t="str">
        <x:v>employment_status</x:v>
      </x:c>
      <x:c r="I1" s="17" t="str">
        <x:v>employment_type</x:v>
      </x:c>
    </x:row>
    <x:row r="2" ht="15" hidden="0" customHeight="1">
      <x:c r="A2" s="18" t="str">
        <x:v>VP001</x:v>
      </x:c>
      <x:c r="B2" s="18" t="str">
        <x:v>Jordan</x:v>
      </x:c>
      <x:c r="C2" s="18" t="str">
        <x:v>Blake</x:v>
      </x:c>
      <x:c r="D2" s="18" t="str">
        <x:v>Jordan Blake</x:v>
      </x:c>
      <x:c r="E2" s="18" t="str">
        <x:v>jordan.blake@examplebank.test</x:v>
      </x:c>
      <x:c r="F2" s="18" t="str">
        <x:v>Regional Vice President</x:v>
      </x:c>
      <x:c r="G2" s="20" t="n">
        <x:v>42807.5</x:v>
      </x:c>
      <x:c r="H2" s="18" t="str">
        <x:v>Active</x:v>
      </x:c>
      <x:c r="I2" s="18" t="str">
        <x:v>Full Time</x:v>
      </x:c>
    </x:row>
    <x:row r="3" ht="15" hidden="0" customHeight="1">
      <x:c r="A3" s="18" t="str">
        <x:v>VP002</x:v>
      </x:c>
      <x:c r="B3" s="18" t="str">
        <x:v>Taylor</x:v>
      </x:c>
      <x:c r="C3" s="18" t="str">
        <x:v>Reed</x:v>
      </x:c>
      <x:c r="D3" s="18" t="str">
        <x:v>Taylor Reed</x:v>
      </x:c>
      <x:c r="E3" s="18" t="str">
        <x:v>taylor.reed@examplebank.test</x:v>
      </x:c>
      <x:c r="F3" s="18" t="str">
        <x:v>Regional Vice President</x:v>
      </x:c>
      <x:c r="G3" s="20" t="n">
        <x:v>43255.5</x:v>
      </x:c>
      <x:c r="H3" s="18" t="str">
        <x:v>Active</x:v>
      </x:c>
      <x:c r="I3" s="18" t="str">
        <x:v>Full Time</x:v>
      </x:c>
    </x:row>
    <x:row r="4" ht="15" hidden="0" customHeight="1">
      <x:c r="A4" s="18" t="str">
        <x:v>MGR001</x:v>
      </x:c>
      <x:c r="B4" s="18" t="str">
        <x:v>Morgan</x:v>
      </x:c>
      <x:c r="C4" s="18" t="str">
        <x:v>Hayes</x:v>
      </x:c>
      <x:c r="D4" s="18" t="str">
        <x:v>Morgan Hayes</x:v>
      </x:c>
      <x:c r="E4" s="18" t="str">
        <x:v>morgan.hayes@examplebank.test</x:v>
      </x:c>
      <x:c r="F4" s="18" t="str">
        <x:v>Branch Manager</x:v>
      </x:c>
      <x:c r="G4" s="20" t="n">
        <x:v>43479.5</x:v>
      </x:c>
      <x:c r="H4" s="18" t="str">
        <x:v>Active</x:v>
      </x:c>
      <x:c r="I4" s="18" t="str">
        <x:v>Full Time</x:v>
      </x:c>
    </x:row>
    <x:row r="5" ht="15" hidden="0" customHeight="1">
      <x:c r="A5" s="18" t="str">
        <x:v>MGR002</x:v>
      </x:c>
      <x:c r="B5" s="18" t="str">
        <x:v>Cameron</x:v>
      </x:c>
      <x:c r="C5" s="18" t="str">
        <x:v>Price</x:v>
      </x:c>
      <x:c r="D5" s="18" t="str">
        <x:v>Cameron Price</x:v>
      </x:c>
      <x:c r="E5" s="18" t="str">
        <x:v>cameron.price@examplebank.test</x:v>
      </x:c>
      <x:c r="F5" s="18" t="str">
        <x:v>Branch Manager</x:v>
      </x:c>
      <x:c r="G5" s="20" t="n">
        <x:v>43696.5</x:v>
      </x:c>
      <x:c r="H5" s="18" t="str">
        <x:v>Active</x:v>
      </x:c>
      <x:c r="I5" s="18" t="str">
        <x:v>Full Time</x:v>
      </x:c>
    </x:row>
    <x:row r="6" ht="15" hidden="0" customHeight="1">
      <x:c r="A6" s="18" t="str">
        <x:v>MGR003</x:v>
      </x:c>
      <x:c r="B6" s="18" t="str">
        <x:v>Riley</x:v>
      </x:c>
      <x:c r="C6" s="18" t="str">
        <x:v>Sutton</x:v>
      </x:c>
      <x:c r="D6" s="18" t="str">
        <x:v>Riley Sutton</x:v>
      </x:c>
      <x:c r="E6" s="18" t="str">
        <x:v>riley.sutton@examplebank.test</x:v>
      </x:c>
      <x:c r="F6" s="18" t="str">
        <x:v>Branch Manager</x:v>
      </x:c>
      <x:c r="G6" s="20" t="n">
        <x:v>43871.5</x:v>
      </x:c>
      <x:c r="H6" s="18" t="str">
        <x:v>Active</x:v>
      </x:c>
      <x:c r="I6" s="18" t="str">
        <x:v>Full Time</x:v>
      </x:c>
    </x:row>
    <x:row r="7" ht="15" hidden="0" customHeight="1">
      <x:c r="A7" s="18" t="str">
        <x:v>MGR004</x:v>
      </x:c>
      <x:c r="B7" s="18" t="str">
        <x:v>Casey</x:v>
      </x:c>
      <x:c r="C7" s="18" t="str">
        <x:v>Morris</x:v>
      </x:c>
      <x:c r="D7" s="18" t="str">
        <x:v>Casey Morris</x:v>
      </x:c>
      <x:c r="E7" s="18" t="str">
        <x:v>casey.morris@examplebank.test</x:v>
      </x:c>
      <x:c r="F7" s="18" t="str">
        <x:v>Branch Manager</x:v>
      </x:c>
      <x:c r="G7" s="20" t="n">
        <x:v>43409.5</x:v>
      </x:c>
      <x:c r="H7" s="18" t="str">
        <x:v>Active</x:v>
      </x:c>
      <x:c r="I7" s="18" t="str">
        <x:v>Full Time</x:v>
      </x:c>
    </x:row>
    <x:row r="8" ht="15" hidden="0" customHeight="1">
      <x:c r="A8" s="18" t="str">
        <x:v>MGR005</x:v>
      </x:c>
      <x:c r="B8" s="18" t="str">
        <x:v>Quinn</x:v>
      </x:c>
      <x:c r="C8" s="18" t="str">
        <x:v>Bennett</x:v>
      </x:c>
      <x:c r="D8" s="18" t="str">
        <x:v>Quinn Bennett</x:v>
      </x:c>
      <x:c r="E8" s="18" t="str">
        <x:v>quinn.bennett@examplebank.test</x:v>
      </x:c>
      <x:c r="F8" s="18" t="str">
        <x:v>Branch Manager</x:v>
      </x:c>
      <x:c r="G8" s="20" t="n">
        <x:v>44018.5</x:v>
      </x:c>
      <x:c r="H8" s="18" t="str">
        <x:v>Active</x:v>
      </x:c>
      <x:c r="I8" s="18" t="str">
        <x:v>Full Time</x:v>
      </x:c>
    </x:row>
    <x:row r="9" ht="15" hidden="0" customHeight="1">
      <x:c r="A9" s="18" t="str">
        <x:v>MGR006</x:v>
      </x:c>
      <x:c r="B9" s="18" t="str">
        <x:v>Drew</x:v>
      </x:c>
      <x:c r="C9" s="18" t="str">
        <x:v>Ramirez</x:v>
      </x:c>
      <x:c r="D9" s="18" t="str">
        <x:v>Drew Ramirez</x:v>
      </x:c>
      <x:c r="E9" s="18" t="str">
        <x:v>drew.ramirez@examplebank.test</x:v>
      </x:c>
      <x:c r="F9" s="18" t="str">
        <x:v>Branch Manager</x:v>
      </x:c>
      <x:c r="G9" s="20" t="n">
        <x:v>43577.5</x:v>
      </x:c>
      <x:c r="H9" s="18" t="str">
        <x:v>Active</x:v>
      </x:c>
      <x:c r="I9" s="18" t="str">
        <x:v>Full Time</x:v>
      </x:c>
    </x:row>
    <x:row r="10" ht="15" hidden="0" customHeight="1">
      <x:c r="A10" s="18" t="str">
        <x:v>EMP001</x:v>
      </x:c>
      <x:c r="B10" s="18" t="str">
        <x:v>Avery</x:v>
      </x:c>
      <x:c r="C10" s="18" t="str">
        <x:v>Coleman</x:v>
      </x:c>
      <x:c r="D10" s="18" t="str">
        <x:v>Avery Coleman</x:v>
      </x:c>
      <x:c r="E10" s="18" t="str">
        <x:v>avery.coleman@examplebank.test</x:v>
      </x:c>
      <x:c r="F10" s="18" t="str">
        <x:v>Loan Officer</x:v>
      </x:c>
      <x:c r="G10" s="20" t="n">
        <x:v>44235.5</x:v>
      </x:c>
      <x:c r="H10" s="18" t="str">
        <x:v>Active</x:v>
      </x:c>
      <x:c r="I10" s="18" t="str">
        <x:v>Full Time</x:v>
      </x:c>
    </x:row>
    <x:row r="11" ht="15" hidden="0" customHeight="1">
      <x:c r="A11" s="18" t="str">
        <x:v>EMP002</x:v>
      </x:c>
      <x:c r="B11" s="18" t="str">
        <x:v>Emerson</x:v>
      </x:c>
      <x:c r="C11" s="18" t="str">
        <x:v>Diaz</x:v>
      </x:c>
      <x:c r="D11" s="18" t="str">
        <x:v>Emerson Diaz</x:v>
      </x:c>
      <x:c r="E11" s="18" t="str">
        <x:v>emerson.diaz@examplebank.test</x:v>
      </x:c>
      <x:c r="F11" s="18" t="str">
        <x:v>Loan Officer</x:v>
      </x:c>
      <x:c r="G11" s="20" t="n">
        <x:v>44697.5</x:v>
      </x:c>
      <x:c r="H11" s="18" t="str">
        <x:v>Active</x:v>
      </x:c>
      <x:c r="I11" s="18" t="str">
        <x:v>Full Time</x:v>
      </x:c>
    </x:row>
    <x:row r="12" ht="15" hidden="0" customHeight="1">
      <x:c r="A12" s="18" t="str">
        <x:v>EMP003</x:v>
      </x:c>
      <x:c r="B12" s="18" t="str">
        <x:v>Parker</x:v>
      </x:c>
      <x:c r="C12" s="18" t="str">
        <x:v>Shah</x:v>
      </x:c>
      <x:c r="D12" s="18" t="str">
        <x:v>Parker Shah</x:v>
      </x:c>
      <x:c r="E12" s="18" t="str">
        <x:v>parker.shah@examplebank.test</x:v>
      </x:c>
      <x:c r="F12" s="18" t="str">
        <x:v>Loan Officer</x:v>
      </x:c>
      <x:c r="G12" s="20" t="n">
        <x:v>44935.5</x:v>
      </x:c>
      <x:c r="H12" s="18" t="str">
        <x:v>Active</x:v>
      </x:c>
      <x:c r="I12" s="18" t="str">
        <x:v>Full Time</x:v>
      </x:c>
    </x:row>
    <x:row r="13" ht="15" hidden="0" customHeight="1">
      <x:c r="A13" s="18" t="str">
        <x:v>EMP004</x:v>
      </x:c>
      <x:c r="B13" s="18" t="str">
        <x:v>Sydney</x:v>
      </x:c>
      <x:c r="C13" s="18" t="str">
        <x:v>Foster</x:v>
      </x:c>
      <x:c r="D13" s="18" t="str">
        <x:v>Sydney Foster</x:v>
      </x:c>
      <x:c r="E13" s="18" t="str">
        <x:v>sydney.foster@examplebank.test</x:v>
      </x:c>
      <x:c r="F13" s="18" t="str">
        <x:v>Loan Officer</x:v>
      </x:c>
      <x:c r="G13" s="20" t="n">
        <x:v>44816.5</x:v>
      </x:c>
      <x:c r="H13" s="18" t="str">
        <x:v>Active</x:v>
      </x:c>
      <x:c r="I13" s="18" t="str">
        <x:v>Full Time</x:v>
      </x:c>
    </x:row>
    <x:row r="14" ht="15" hidden="0" customHeight="1">
      <x:c r="A14" s="18" t="str">
        <x:v>EMP005</x:v>
      </x:c>
      <x:c r="B14" s="18" t="str">
        <x:v>Rowan</x:v>
      </x:c>
      <x:c r="C14" s="18" t="str">
        <x:v>Kim</x:v>
      </x:c>
      <x:c r="D14" s="18" t="str">
        <x:v>Rowan Kim</x:v>
      </x:c>
      <x:c r="E14" s="18" t="str">
        <x:v>rowan.kim@examplebank.test</x:v>
      </x:c>
      <x:c r="F14" s="18" t="str">
        <x:v>Loan Officer</x:v>
      </x:c>
      <x:c r="G14" s="20" t="n">
        <x:v>44501.5</x:v>
      </x:c>
      <x:c r="H14" s="18" t="str">
        <x:v>Active</x:v>
      </x:c>
      <x:c r="I14" s="18" t="str">
        <x:v>Full Time</x:v>
      </x:c>
    </x:row>
    <x:row r="15" ht="15" hidden="0" customHeight="1">
      <x:c r="A15" s="18" t="str">
        <x:v>EMP006</x:v>
      </x:c>
      <x:c r="B15" s="18" t="str">
        <x:v>Reese</x:v>
      </x:c>
      <x:c r="C15" s="18" t="str">
        <x:v>Turner</x:v>
      </x:c>
      <x:c r="D15" s="18" t="str">
        <x:v>Reese Turner</x:v>
      </x:c>
      <x:c r="E15" s="18" t="str">
        <x:v>reese.turner@examplebank.test</x:v>
      </x:c>
      <x:c r="F15" s="18" t="str">
        <x:v>Loan Officer</x:v>
      </x:c>
      <x:c r="G15" s="20" t="n">
        <x:v>45033.5</x:v>
      </x:c>
      <x:c r="H15" s="18" t="str">
        <x:v>Active</x:v>
      </x:c>
      <x:c r="I15" s="18" t="str">
        <x:v>Full Time</x:v>
      </x:c>
    </x:row>
    <x:row r="16" ht="15" hidden="0" customHeight="1">
      <x:c r="A16" s="18" t="str">
        <x:v>EMP007</x:v>
      </x:c>
      <x:c r="B16" s="18" t="str">
        <x:v>Finley</x:v>
      </x:c>
      <x:c r="C16" s="18" t="str">
        <x:v>Brooks</x:v>
      </x:c>
      <x:c r="D16" s="18" t="str">
        <x:v>Finley Brooks</x:v>
      </x:c>
      <x:c r="E16" s="18" t="str">
        <x:v>finley.brooks@examplebank.test</x:v>
      </x:c>
      <x:c r="F16" s="18" t="str">
        <x:v>Loan Officer</x:v>
      </x:c>
      <x:c r="G16" s="20" t="n">
        <x:v>44613.5</x:v>
      </x:c>
      <x:c r="H16" s="18" t="str">
        <x:v>Active</x:v>
      </x:c>
      <x:c r="I16" s="18" t="str">
        <x:v>Full Time</x:v>
      </x:c>
    </x:row>
    <x:row r="17" ht="15" hidden="0" customHeight="1">
      <x:c r="A17" s="18" t="str">
        <x:v>EMP008</x:v>
      </x:c>
      <x:c r="B17" s="18" t="str">
        <x:v>Hayden</x:v>
      </x:c>
      <x:c r="C17" s="18" t="str">
        <x:v>Patel</x:v>
      </x:c>
      <x:c r="D17" s="18" t="str">
        <x:v>Hayden Patel</x:v>
      </x:c>
      <x:c r="E17" s="18" t="str">
        <x:v>hayden.patel@examplebank.test</x:v>
      </x:c>
      <x:c r="F17" s="18" t="str">
        <x:v>Loan Officer</x:v>
      </x:c>
      <x:c r="G17" s="20" t="n">
        <x:v>45306.5</x:v>
      </x:c>
      <x:c r="H17" s="18" t="str">
        <x:v>Active</x:v>
      </x:c>
      <x:c r="I17" s="18" t="str">
        <x:v>Full Time</x:v>
      </x:c>
    </x:row>
    <x:row r="18" ht="15" hidden="0" customHeight="1">
      <x:c r="A18" s="18" t="str">
        <x:v>EMP009</x:v>
      </x:c>
      <x:c r="B18" s="18" t="str">
        <x:v>Skyler</x:v>
      </x:c>
      <x:c r="C18" s="18" t="str">
        <x:v>Nguyen</x:v>
      </x:c>
      <x:c r="D18" s="18" t="str">
        <x:v>Skyler Nguyen</x:v>
      </x:c>
      <x:c r="E18" s="18" t="str">
        <x:v>skyler.nguyen@examplebank.test</x:v>
      </x:c>
      <x:c r="F18" s="18" t="str">
        <x:v>Loan Officer</x:v>
      </x:c>
      <x:c r="G18" s="20" t="n">
        <x:v>44109.5</x:v>
      </x:c>
      <x:c r="H18" s="18" t="str">
        <x:v>Active</x:v>
      </x:c>
      <x:c r="I18" s="18" t="str">
        <x:v>Full Time</x:v>
      </x:c>
    </x:row>
    <x:row r="19" ht="15" hidden="0" customHeight="1">
      <x:c r="A19" s="18" t="str">
        <x:v>EMP010</x:v>
      </x:c>
      <x:c r="B19" s="18" t="str">
        <x:v>Dakota</x:v>
      </x:c>
      <x:c r="C19" s="18" t="str">
        <x:v>Murphy</x:v>
      </x:c>
      <x:c r="D19" s="18" t="str">
        <x:v>Dakota Murphy</x:v>
      </x:c>
      <x:c r="E19" s="18" t="str">
        <x:v>dakota.murphy@examplebank.test</x:v>
      </x:c>
      <x:c r="F19" s="18" t="str">
        <x:v>Loan Officer</x:v>
      </x:c>
      <x:c r="G19" s="20" t="n">
        <x:v>44739.5</x:v>
      </x:c>
      <x:c r="H19" s="18" t="str">
        <x:v>Active</x:v>
      </x:c>
      <x:c r="I19" s="18" t="str">
        <x:v>Full Time</x:v>
      </x:c>
    </x:row>
    <x:row r="20" ht="15" hidden="0" customHeight="1">
      <x:c r="A20" s="18" t="str">
        <x:v>EMP011</x:v>
      </x:c>
      <x:c r="B20" s="18" t="str">
        <x:v>Jamie</x:v>
      </x:c>
      <x:c r="C20" s="18" t="str">
        <x:v>Ortiz</x:v>
      </x:c>
      <x:c r="D20" s="18" t="str">
        <x:v>Jamie Ortiz</x:v>
      </x:c>
      <x:c r="E20" s="18" t="str">
        <x:v>jamie.ortiz@examplebank.test</x:v>
      </x:c>
      <x:c r="F20" s="18" t="str">
        <x:v>Loan Officer</x:v>
      </x:c>
      <x:c r="G20" s="20" t="n">
        <x:v>44991.5</x:v>
      </x:c>
      <x:c r="H20" s="18" t="str">
        <x:v>Active</x:v>
      </x:c>
      <x:c r="I20" s="18" t="str">
        <x:v>Full Time</x:v>
      </x:c>
    </x:row>
    <x:row r="21" ht="15" hidden="0" customHeight="1">
      <x:c r="A21" s="18" t="str">
        <x:v>EMP012</x:v>
      </x:c>
      <x:c r="B21" s="18" t="str">
        <x:v>Kendall</x:v>
      </x:c>
      <x:c r="C21" s="18" t="str">
        <x:v>Ross</x:v>
      </x:c>
      <x:c r="D21" s="18" t="str">
        <x:v>Kendall Ross</x:v>
      </x:c>
      <x:c r="E21" s="18" t="str">
        <x:v>kendall.ross@examplebank.test</x:v>
      </x:c>
      <x:c r="F21" s="18" t="str">
        <x:v>Loan Officer</x:v>
      </x:c>
      <x:c r="G21" s="20" t="n">
        <x:v>44396.5</x:v>
      </x:c>
      <x:c r="H21" s="18" t="str">
        <x:v>Active</x:v>
      </x:c>
      <x:c r="I21" s="18" t="str">
        <x:v>Full Time</x:v>
      </x:c>
    </x:row>
    <x:row r="22" ht="15" hidden="0" customHeight="1">
      <x:c r="A22" s="18" t="str">
        <x:v>EMP013</x:v>
      </x:c>
      <x:c r="B22" s="18" t="str">
        <x:v>Alexis</x:v>
      </x:c>
      <x:c r="C22" s="18" t="str">
        <x:v>Ward</x:v>
      </x:c>
      <x:c r="D22" s="18" t="str">
        <x:v>Alexis Ward</x:v>
      </x:c>
      <x:c r="E22" s="18" t="str">
        <x:v>alexis.ward@examplebank.test</x:v>
      </x:c>
      <x:c r="F22" s="18" t="str">
        <x:v>Loan Officer</x:v>
      </x:c>
      <x:c r="G22" s="20" t="n">
        <x:v>44900.5</x:v>
      </x:c>
      <x:c r="H22" s="18" t="str">
        <x:v>Active</x:v>
      </x:c>
      <x:c r="I22" s="18" t="str">
        <x:v>Full Time</x:v>
      </x:c>
    </x:row>
    <x:row r="23" ht="15" hidden="0" customHeight="1">
      <x:c r="A23" s="18" t="str">
        <x:v>EMP014</x:v>
      </x:c>
      <x:c r="B23" s="18" t="str">
        <x:v>Marley</x:v>
      </x:c>
      <x:c r="C23" s="18" t="str">
        <x:v>Chen</x:v>
      </x:c>
      <x:c r="D23" s="18" t="str">
        <x:v>Marley Chen</x:v>
      </x:c>
      <x:c r="E23" s="18" t="str">
        <x:v>marley.chen@examplebank.test</x:v>
      </x:c>
      <x:c r="F23" s="18" t="str">
        <x:v>Loan Officer</x:v>
      </x:c>
      <x:c r="G23" s="20" t="n">
        <x:v>45152.5</x:v>
      </x:c>
      <x:c r="H23" s="18" t="str">
        <x:v>Active</x:v>
      </x:c>
      <x:c r="I23" s="18" t="str">
        <x:v>Full Time</x:v>
      </x:c>
    </x:row>
    <x:row r="24" ht="15" hidden="0" customHeight="1">
      <x:c r="A24" s="18" t="str">
        <x:v>EMP015</x:v>
      </x:c>
      <x:c r="B24" s="18" t="str">
        <x:v>Sage</x:v>
      </x:c>
      <x:c r="C24" s="18" t="str">
        <x:v>Cooper</x:v>
      </x:c>
      <x:c r="D24" s="18" t="str">
        <x:v>Sage Cooper</x:v>
      </x:c>
      <x:c r="E24" s="18" t="str">
        <x:v>sage.cooper@examplebank.test</x:v>
      </x:c>
      <x:c r="F24" s="18" t="str">
        <x:v>Loan Officer</x:v>
      </x:c>
      <x:c r="G24" s="20" t="n">
        <x:v>45334.5</x:v>
      </x:c>
      <x:c r="H24" s="18" t="str">
        <x:v>Active</x:v>
      </x:c>
      <x:c r="I24" s="18" t="str">
        <x:v>Full Time</x:v>
      </x:c>
    </x:row>
  </x:sheetData>
  <x:pageMargins left="0.7" right="0.7" top="0.75" bottom="0.75" header="0.3" footer="0.3"/>
  <x:tableParts count="1">
    <x:tablePart xmlns:r="http://schemas.openxmlformats.org/officeDocument/2006/relationships" r:id="Rbeef4f31a20b43a6"/>
  </x:tableParts>
</x:worksheet>
</file>

<file path=xl/worksheets/sheet4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3" hidden="0" customWidth="1"/>
    <x:col min="3" max="3" width="13" hidden="0" customWidth="1"/>
    <x:col min="4" max="4" width="12" hidden="0" customWidth="1"/>
    <x:col min="5" max="5" width="12" hidden="0" customWidth="1"/>
    <x:col min="6" max="6" width="21" hidden="0" customWidth="1"/>
    <x:col min="7" max="7" width="14" hidden="0" customWidth="1"/>
    <x:col min="8" max="8" width="14" hidden="0" customWidth="1"/>
    <x:col min="9" max="9" width="12" hidden="0" customWidth="1"/>
  </x:cols>
  <x:sheetData>
    <x:row r="1" ht="30" hidden="0" customHeight="1">
      <x:c r="A1" s="15" t="str">
        <x:v>assignment_id</x:v>
      </x:c>
      <x:c r="B1" s="16" t="str">
        <x:v>employee_id</x:v>
      </x:c>
      <x:c r="C1" s="16" t="str">
        <x:v>job_role_id</x:v>
      </x:c>
      <x:c r="D1" s="16" t="str">
        <x:v>region_id</x:v>
      </x:c>
      <x:c r="E1" s="16" t="str">
        <x:v>branch_id</x:v>
      </x:c>
      <x:c r="F1" s="16" t="str">
        <x:v>manager_employee_id</x:v>
      </x:c>
      <x:c r="G1" s="16" t="str">
        <x:v>effective_start_date</x:v>
      </x:c>
      <x:c r="H1" s="16" t="str">
        <x:v>effective_end_date</x:v>
      </x:c>
      <x:c r="I1" s="17" t="str">
        <x:v>is_current</x:v>
      </x:c>
    </x:row>
    <x:row r="2" ht="15" hidden="0" customHeight="1">
      <x:c r="A2" s="18" t="str">
        <x:v>ASG001</x:v>
      </x:c>
      <x:c r="B2" s="18" t="str">
        <x:v>VP001</x:v>
      </x:c>
      <x:c r="C2" s="18" t="str">
        <x:v>ROLE_VP</x:v>
      </x:c>
      <x:c r="D2" s="18" t="str">
        <x:v>REG001</x:v>
      </x:c>
      <x:c r="E2" s="18"/>
      <x:c r="F2" s="18"/>
      <x:c r="G2" s="20" t="n">
        <x:v>43831.5</x:v>
      </x:c>
      <x:c r="H2" s="20"/>
      <x:c r="I2" s="19" t="b">
        <x:v>1</x:v>
      </x:c>
    </x:row>
    <x:row r="3" ht="15" hidden="0" customHeight="1">
      <x:c r="A3" s="18" t="str">
        <x:v>ASG002</x:v>
      </x:c>
      <x:c r="B3" s="18" t="str">
        <x:v>VP002</x:v>
      </x:c>
      <x:c r="C3" s="18" t="str">
        <x:v>ROLE_VP</x:v>
      </x:c>
      <x:c r="D3" s="18" t="str">
        <x:v>REG002</x:v>
      </x:c>
      <x:c r="E3" s="18"/>
      <x:c r="F3" s="18"/>
      <x:c r="G3" s="20" t="n">
        <x:v>43831.5</x:v>
      </x:c>
      <x:c r="H3" s="20"/>
      <x:c r="I3" s="19" t="b">
        <x:v>1</x:v>
      </x:c>
    </x:row>
    <x:row r="4" ht="15" hidden="0" customHeight="1">
      <x:c r="A4" s="18" t="str">
        <x:v>ASG003</x:v>
      </x:c>
      <x:c r="B4" s="18" t="str">
        <x:v>MGR001</x:v>
      </x:c>
      <x:c r="C4" s="18" t="str">
        <x:v>ROLE_MGR</x:v>
      </x:c>
      <x:c r="D4" s="18" t="str">
        <x:v>REG001</x:v>
      </x:c>
      <x:c r="E4" s="18" t="str">
        <x:v>BR001</x:v>
      </x:c>
      <x:c r="F4" s="18" t="str">
        <x:v>VP001</x:v>
      </x:c>
      <x:c r="G4" s="20" t="n">
        <x:v>43831.5</x:v>
      </x:c>
      <x:c r="H4" s="20"/>
      <x:c r="I4" s="19" t="b">
        <x:v>1</x:v>
      </x:c>
    </x:row>
    <x:row r="5" ht="15" hidden="0" customHeight="1">
      <x:c r="A5" s="18" t="str">
        <x:v>ASG004</x:v>
      </x:c>
      <x:c r="B5" s="18" t="str">
        <x:v>MGR002</x:v>
      </x:c>
      <x:c r="C5" s="18" t="str">
        <x:v>ROLE_MGR</x:v>
      </x:c>
      <x:c r="D5" s="18" t="str">
        <x:v>REG001</x:v>
      </x:c>
      <x:c r="E5" s="18" t="str">
        <x:v>BR002</x:v>
      </x:c>
      <x:c r="F5" s="18" t="str">
        <x:v>VP001</x:v>
      </x:c>
      <x:c r="G5" s="20" t="n">
        <x:v>43831.5</x:v>
      </x:c>
      <x:c r="H5" s="20"/>
      <x:c r="I5" s="19" t="b">
        <x:v>1</x:v>
      </x:c>
    </x:row>
    <x:row r="6" ht="15" hidden="0" customHeight="1">
      <x:c r="A6" s="18" t="str">
        <x:v>ASG005</x:v>
      </x:c>
      <x:c r="B6" s="18" t="str">
        <x:v>MGR003</x:v>
      </x:c>
      <x:c r="C6" s="18" t="str">
        <x:v>ROLE_MGR</x:v>
      </x:c>
      <x:c r="D6" s="18" t="str">
        <x:v>REG001</x:v>
      </x:c>
      <x:c r="E6" s="18" t="str">
        <x:v>BR003</x:v>
      </x:c>
      <x:c r="F6" s="18" t="str">
        <x:v>VP001</x:v>
      </x:c>
      <x:c r="G6" s="20" t="n">
        <x:v>43831.5</x:v>
      </x:c>
      <x:c r="H6" s="20"/>
      <x:c r="I6" s="19" t="b">
        <x:v>1</x:v>
      </x:c>
    </x:row>
    <x:row r="7" ht="15" hidden="0" customHeight="1">
      <x:c r="A7" s="18" t="str">
        <x:v>ASG006</x:v>
      </x:c>
      <x:c r="B7" s="18" t="str">
        <x:v>MGR004</x:v>
      </x:c>
      <x:c r="C7" s="18" t="str">
        <x:v>ROLE_MGR</x:v>
      </x:c>
      <x:c r="D7" s="18" t="str">
        <x:v>REG002</x:v>
      </x:c>
      <x:c r="E7" s="18" t="str">
        <x:v>BR004</x:v>
      </x:c>
      <x:c r="F7" s="18" t="str">
        <x:v>VP002</x:v>
      </x:c>
      <x:c r="G7" s="20" t="n">
        <x:v>43831.5</x:v>
      </x:c>
      <x:c r="H7" s="20"/>
      <x:c r="I7" s="19" t="b">
        <x:v>1</x:v>
      </x:c>
    </x:row>
    <x:row r="8" ht="15" hidden="0" customHeight="1">
      <x:c r="A8" s="18" t="str">
        <x:v>ASG007</x:v>
      </x:c>
      <x:c r="B8" s="18" t="str">
        <x:v>MGR005</x:v>
      </x:c>
      <x:c r="C8" s="18" t="str">
        <x:v>ROLE_MGR</x:v>
      </x:c>
      <x:c r="D8" s="18" t="str">
        <x:v>REG002</x:v>
      </x:c>
      <x:c r="E8" s="18" t="str">
        <x:v>BR005</x:v>
      </x:c>
      <x:c r="F8" s="18" t="str">
        <x:v>VP002</x:v>
      </x:c>
      <x:c r="G8" s="20" t="n">
        <x:v>43831.5</x:v>
      </x:c>
      <x:c r="H8" s="20"/>
      <x:c r="I8" s="19" t="b">
        <x:v>1</x:v>
      </x:c>
    </x:row>
    <x:row r="9" ht="15" hidden="0" customHeight="1">
      <x:c r="A9" s="18" t="str">
        <x:v>ASG008</x:v>
      </x:c>
      <x:c r="B9" s="18" t="str">
        <x:v>MGR006</x:v>
      </x:c>
      <x:c r="C9" s="18" t="str">
        <x:v>ROLE_MGR</x:v>
      </x:c>
      <x:c r="D9" s="18" t="str">
        <x:v>REG002</x:v>
      </x:c>
      <x:c r="E9" s="18" t="str">
        <x:v>BR006</x:v>
      </x:c>
      <x:c r="F9" s="18" t="str">
        <x:v>VP002</x:v>
      </x:c>
      <x:c r="G9" s="20" t="n">
        <x:v>43831.5</x:v>
      </x:c>
      <x:c r="H9" s="20"/>
      <x:c r="I9" s="19" t="b">
        <x:v>1</x:v>
      </x:c>
    </x:row>
    <x:row r="10" ht="15" hidden="0" customHeight="1">
      <x:c r="A10" s="18" t="str">
        <x:v>ASG009</x:v>
      </x:c>
      <x:c r="B10" s="18" t="str">
        <x:v>EMP001</x:v>
      </x:c>
      <x:c r="C10" s="18" t="str">
        <x:v>ROLE_LO</x:v>
      </x:c>
      <x:c r="D10" s="18" t="str">
        <x:v>REG001</x:v>
      </x:c>
      <x:c r="E10" s="18" t="str">
        <x:v>BR001</x:v>
      </x:c>
      <x:c r="F10" s="18" t="str">
        <x:v>MGR001</x:v>
      </x:c>
      <x:c r="G10" s="20" t="n">
        <x:v>45658.5</x:v>
      </x:c>
      <x:c r="H10" s="20"/>
      <x:c r="I10" s="19" t="b">
        <x:v>1</x:v>
      </x:c>
    </x:row>
    <x:row r="11" ht="15" hidden="0" customHeight="1">
      <x:c r="A11" s="18" t="str">
        <x:v>ASG010</x:v>
      </x:c>
      <x:c r="B11" s="18" t="str">
        <x:v>EMP002</x:v>
      </x:c>
      <x:c r="C11" s="18" t="str">
        <x:v>ROLE_LO</x:v>
      </x:c>
      <x:c r="D11" s="18" t="str">
        <x:v>REG001</x:v>
      </x:c>
      <x:c r="E11" s="18" t="str">
        <x:v>BR001</x:v>
      </x:c>
      <x:c r="F11" s="18" t="str">
        <x:v>MGR001</x:v>
      </x:c>
      <x:c r="G11" s="20" t="n">
        <x:v>45658.5</x:v>
      </x:c>
      <x:c r="H11" s="20"/>
      <x:c r="I11" s="19" t="b">
        <x:v>1</x:v>
      </x:c>
    </x:row>
    <x:row r="12" ht="15" hidden="0" customHeight="1">
      <x:c r="A12" s="18" t="str">
        <x:v>ASG011</x:v>
      </x:c>
      <x:c r="B12" s="18" t="str">
        <x:v>EMP003</x:v>
      </x:c>
      <x:c r="C12" s="18" t="str">
        <x:v>ROLE_LO</x:v>
      </x:c>
      <x:c r="D12" s="18" t="str">
        <x:v>REG001</x:v>
      </x:c>
      <x:c r="E12" s="18" t="str">
        <x:v>BR001</x:v>
      </x:c>
      <x:c r="F12" s="18" t="str">
        <x:v>MGR001</x:v>
      </x:c>
      <x:c r="G12" s="20" t="n">
        <x:v>45658.5</x:v>
      </x:c>
      <x:c r="H12" s="20"/>
      <x:c r="I12" s="19" t="b">
        <x:v>1</x:v>
      </x:c>
    </x:row>
    <x:row r="13" ht="15" hidden="0" customHeight="1">
      <x:c r="A13" s="18" t="str">
        <x:v>ASG012</x:v>
      </x:c>
      <x:c r="B13" s="18" t="str">
        <x:v>EMP004</x:v>
      </x:c>
      <x:c r="C13" s="18" t="str">
        <x:v>ROLE_LO</x:v>
      </x:c>
      <x:c r="D13" s="18" t="str">
        <x:v>REG001</x:v>
      </x:c>
      <x:c r="E13" s="18" t="str">
        <x:v>BR002</x:v>
      </x:c>
      <x:c r="F13" s="18" t="str">
        <x:v>MGR002</x:v>
      </x:c>
      <x:c r="G13" s="20" t="n">
        <x:v>45658.5</x:v>
      </x:c>
      <x:c r="H13" s="20"/>
      <x:c r="I13" s="19" t="b">
        <x:v>1</x:v>
      </x:c>
    </x:row>
    <x:row r="14" ht="15" hidden="0" customHeight="1">
      <x:c r="A14" s="18" t="str">
        <x:v>ASG013</x:v>
      </x:c>
      <x:c r="B14" s="18" t="str">
        <x:v>EMP005</x:v>
      </x:c>
      <x:c r="C14" s="18" t="str">
        <x:v>ROLE_LO</x:v>
      </x:c>
      <x:c r="D14" s="18" t="str">
        <x:v>REG001</x:v>
      </x:c>
      <x:c r="E14" s="18" t="str">
        <x:v>BR002</x:v>
      </x:c>
      <x:c r="F14" s="18" t="str">
        <x:v>MGR002</x:v>
      </x:c>
      <x:c r="G14" s="20" t="n">
        <x:v>45658.5</x:v>
      </x:c>
      <x:c r="H14" s="20"/>
      <x:c r="I14" s="19" t="b">
        <x:v>1</x:v>
      </x:c>
    </x:row>
    <x:row r="15" ht="15" hidden="0" customHeight="1">
      <x:c r="A15" s="18" t="str">
        <x:v>ASG014</x:v>
      </x:c>
      <x:c r="B15" s="18" t="str">
        <x:v>EMP006</x:v>
      </x:c>
      <x:c r="C15" s="18" t="str">
        <x:v>ROLE_LO</x:v>
      </x:c>
      <x:c r="D15" s="18" t="str">
        <x:v>REG001</x:v>
      </x:c>
      <x:c r="E15" s="18" t="str">
        <x:v>BR002</x:v>
      </x:c>
      <x:c r="F15" s="18" t="str">
        <x:v>MGR002</x:v>
      </x:c>
      <x:c r="G15" s="20" t="n">
        <x:v>45658.5</x:v>
      </x:c>
      <x:c r="H15" s="20"/>
      <x:c r="I15" s="19" t="b">
        <x:v>1</x:v>
      </x:c>
    </x:row>
    <x:row r="16" ht="15" hidden="0" customHeight="1">
      <x:c r="A16" s="18" t="str">
        <x:v>ASG015</x:v>
      </x:c>
      <x:c r="B16" s="18" t="str">
        <x:v>EMP007</x:v>
      </x:c>
      <x:c r="C16" s="18" t="str">
        <x:v>ROLE_LO</x:v>
      </x:c>
      <x:c r="D16" s="18" t="str">
        <x:v>REG001</x:v>
      </x:c>
      <x:c r="E16" s="18" t="str">
        <x:v>BR003</x:v>
      </x:c>
      <x:c r="F16" s="18" t="str">
        <x:v>MGR003</x:v>
      </x:c>
      <x:c r="G16" s="20" t="n">
        <x:v>45658.5</x:v>
      </x:c>
      <x:c r="H16" s="20"/>
      <x:c r="I16" s="19" t="b">
        <x:v>1</x:v>
      </x:c>
    </x:row>
    <x:row r="17" ht="15" hidden="0" customHeight="1">
      <x:c r="A17" s="18" t="str">
        <x:v>ASG016</x:v>
      </x:c>
      <x:c r="B17" s="18" t="str">
        <x:v>EMP008</x:v>
      </x:c>
      <x:c r="C17" s="18" t="str">
        <x:v>ROLE_LO</x:v>
      </x:c>
      <x:c r="D17" s="18" t="str">
        <x:v>REG001</x:v>
      </x:c>
      <x:c r="E17" s="18" t="str">
        <x:v>BR003</x:v>
      </x:c>
      <x:c r="F17" s="18" t="str">
        <x:v>MGR003</x:v>
      </x:c>
      <x:c r="G17" s="20" t="n">
        <x:v>45658.5</x:v>
      </x:c>
      <x:c r="H17" s="20"/>
      <x:c r="I17" s="19" t="b">
        <x:v>1</x:v>
      </x:c>
    </x:row>
    <x:row r="18" ht="15" hidden="0" customHeight="1">
      <x:c r="A18" s="18" t="str">
        <x:v>ASG017</x:v>
      </x:c>
      <x:c r="B18" s="18" t="str">
        <x:v>EMP009</x:v>
      </x:c>
      <x:c r="C18" s="18" t="str">
        <x:v>ROLE_LO</x:v>
      </x:c>
      <x:c r="D18" s="18" t="str">
        <x:v>REG002</x:v>
      </x:c>
      <x:c r="E18" s="18" t="str">
        <x:v>BR004</x:v>
      </x:c>
      <x:c r="F18" s="18" t="str">
        <x:v>MGR004</x:v>
      </x:c>
      <x:c r="G18" s="20" t="n">
        <x:v>45658.5</x:v>
      </x:c>
      <x:c r="H18" s="20"/>
      <x:c r="I18" s="19" t="b">
        <x:v>1</x:v>
      </x:c>
    </x:row>
    <x:row r="19" ht="15" hidden="0" customHeight="1">
      <x:c r="A19" s="18" t="str">
        <x:v>ASG018</x:v>
      </x:c>
      <x:c r="B19" s="18" t="str">
        <x:v>EMP010</x:v>
      </x:c>
      <x:c r="C19" s="18" t="str">
        <x:v>ROLE_LO</x:v>
      </x:c>
      <x:c r="D19" s="18" t="str">
        <x:v>REG002</x:v>
      </x:c>
      <x:c r="E19" s="18" t="str">
        <x:v>BR004</x:v>
      </x:c>
      <x:c r="F19" s="18" t="str">
        <x:v>MGR004</x:v>
      </x:c>
      <x:c r="G19" s="20" t="n">
        <x:v>45658.5</x:v>
      </x:c>
      <x:c r="H19" s="20"/>
      <x:c r="I19" s="19" t="b">
        <x:v>1</x:v>
      </x:c>
    </x:row>
    <x:row r="20" ht="15" hidden="0" customHeight="1">
      <x:c r="A20" s="18" t="str">
        <x:v>ASG019</x:v>
      </x:c>
      <x:c r="B20" s="18" t="str">
        <x:v>EMP011</x:v>
      </x:c>
      <x:c r="C20" s="18" t="str">
        <x:v>ROLE_LO</x:v>
      </x:c>
      <x:c r="D20" s="18" t="str">
        <x:v>REG002</x:v>
      </x:c>
      <x:c r="E20" s="18" t="str">
        <x:v>BR004</x:v>
      </x:c>
      <x:c r="F20" s="18" t="str">
        <x:v>MGR004</x:v>
      </x:c>
      <x:c r="G20" s="20" t="n">
        <x:v>45658.5</x:v>
      </x:c>
      <x:c r="H20" s="20"/>
      <x:c r="I20" s="19" t="b">
        <x:v>1</x:v>
      </x:c>
    </x:row>
    <x:row r="21" ht="15" hidden="0" customHeight="1">
      <x:c r="A21" s="18" t="str">
        <x:v>ASG020</x:v>
      </x:c>
      <x:c r="B21" s="18" t="str">
        <x:v>EMP012</x:v>
      </x:c>
      <x:c r="C21" s="18" t="str">
        <x:v>ROLE_LO</x:v>
      </x:c>
      <x:c r="D21" s="18" t="str">
        <x:v>REG002</x:v>
      </x:c>
      <x:c r="E21" s="18" t="str">
        <x:v>BR005</x:v>
      </x:c>
      <x:c r="F21" s="18" t="str">
        <x:v>MGR005</x:v>
      </x:c>
      <x:c r="G21" s="20" t="n">
        <x:v>45658.5</x:v>
      </x:c>
      <x:c r="H21" s="20"/>
      <x:c r="I21" s="19" t="b">
        <x:v>1</x:v>
      </x:c>
    </x:row>
    <x:row r="22" ht="15" hidden="0" customHeight="1">
      <x:c r="A22" s="18" t="str">
        <x:v>ASG021</x:v>
      </x:c>
      <x:c r="B22" s="18" t="str">
        <x:v>EMP013</x:v>
      </x:c>
      <x:c r="C22" s="18" t="str">
        <x:v>ROLE_LO</x:v>
      </x:c>
      <x:c r="D22" s="18" t="str">
        <x:v>REG002</x:v>
      </x:c>
      <x:c r="E22" s="18" t="str">
        <x:v>BR005</x:v>
      </x:c>
      <x:c r="F22" s="18" t="str">
        <x:v>MGR005</x:v>
      </x:c>
      <x:c r="G22" s="20" t="n">
        <x:v>45658.5</x:v>
      </x:c>
      <x:c r="H22" s="20"/>
      <x:c r="I22" s="19" t="b">
        <x:v>1</x:v>
      </x:c>
    </x:row>
    <x:row r="23" ht="15" hidden="0" customHeight="1">
      <x:c r="A23" s="18" t="str">
        <x:v>ASG022</x:v>
      </x:c>
      <x:c r="B23" s="18" t="str">
        <x:v>EMP014</x:v>
      </x:c>
      <x:c r="C23" s="18" t="str">
        <x:v>ROLE_LO</x:v>
      </x:c>
      <x:c r="D23" s="18" t="str">
        <x:v>REG002</x:v>
      </x:c>
      <x:c r="E23" s="18" t="str">
        <x:v>BR006</x:v>
      </x:c>
      <x:c r="F23" s="18" t="str">
        <x:v>MGR006</x:v>
      </x:c>
      <x:c r="G23" s="20" t="n">
        <x:v>45658.5</x:v>
      </x:c>
      <x:c r="H23" s="20"/>
      <x:c r="I23" s="19" t="b">
        <x:v>1</x:v>
      </x:c>
    </x:row>
    <x:row r="24" ht="15" hidden="0" customHeight="1">
      <x:c r="A24" s="18" t="str">
        <x:v>ASG023</x:v>
      </x:c>
      <x:c r="B24" s="18" t="str">
        <x:v>EMP015</x:v>
      </x:c>
      <x:c r="C24" s="18" t="str">
        <x:v>ROLE_LO</x:v>
      </x:c>
      <x:c r="D24" s="18" t="str">
        <x:v>REG002</x:v>
      </x:c>
      <x:c r="E24" s="18" t="str">
        <x:v>BR006</x:v>
      </x:c>
      <x:c r="F24" s="18" t="str">
        <x:v>MGR006</x:v>
      </x:c>
      <x:c r="G24" s="20" t="n">
        <x:v>45658.5</x:v>
      </x:c>
      <x:c r="H24" s="20"/>
      <x:c r="I24" s="19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a91db0b58fb4350"/>
  </x:tableParts>
</x:worksheet>
</file>

<file path=xl/worksheets/sheet5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4" hidden="0" customWidth="1"/>
    <x:col min="3" max="3" width="15" hidden="0" customWidth="1"/>
    <x:col min="4" max="4" width="17" hidden="0" customWidth="1"/>
    <x:col min="5" max="5" width="12" hidden="0" customWidth="1"/>
  </x:cols>
  <x:sheetData>
    <x:row r="1" ht="30" hidden="0" customHeight="1">
      <x:c r="A1" s="15" t="str">
        <x:v>job_role_id</x:v>
      </x:c>
      <x:c r="B1" s="16" t="str">
        <x:v>job_role_name</x:v>
      </x:c>
      <x:c r="C1" s="16" t="str">
        <x:v>role_category</x:v>
      </x:c>
      <x:c r="D1" s="16" t="str">
        <x:v>hierarchy_level</x:v>
      </x:c>
      <x:c r="E1" s="17" t="str">
        <x:v>is_active</x:v>
      </x:c>
    </x:row>
    <x:row r="2" ht="15" hidden="0" customHeight="1">
      <x:c r="A2" s="18" t="str">
        <x:v>ROLE_VP</x:v>
      </x:c>
      <x:c r="B2" s="18" t="str">
        <x:v>Regional Vice President</x:v>
      </x:c>
      <x:c r="C2" s="18" t="str">
        <x:v>Executive</x:v>
      </x:c>
      <x:c r="D2" s="18" t="n">
        <x:v>3</x:v>
      </x:c>
      <x:c r="E2" s="19" t="b">
        <x:v>1</x:v>
      </x:c>
    </x:row>
    <x:row r="3" ht="15" hidden="0" customHeight="1">
      <x:c r="A3" s="18" t="str">
        <x:v>ROLE_MGR</x:v>
      </x:c>
      <x:c r="B3" s="18" t="str">
        <x:v>Branch Manager</x:v>
      </x:c>
      <x:c r="C3" s="18" t="str">
        <x:v>Management</x:v>
      </x:c>
      <x:c r="D3" s="18" t="n">
        <x:v>2</x:v>
      </x:c>
      <x:c r="E3" s="19" t="b">
        <x:v>1</x:v>
      </x:c>
    </x:row>
    <x:row r="4" ht="15" hidden="0" customHeight="1">
      <x:c r="A4" s="18" t="str">
        <x:v>ROLE_LO</x:v>
      </x:c>
      <x:c r="B4" s="18" t="str">
        <x:v>Loan Officer</x:v>
      </x:c>
      <x:c r="C4" s="18" t="str">
        <x:v>Individual Contributor</x:v>
      </x:c>
      <x:c r="D4" s="18" t="n">
        <x:v>1</x:v>
      </x:c>
      <x:c r="E4" s="19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8a14933ee3bf4f00"/>
  </x:tableParts>
</x:worksheet>
</file>

<file path=xl/worksheets/sheet6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0" hidden="0" customHeight="1">
      <x:c r="A1" s="15" t="str">
        <x:v>cycle_id</x:v>
      </x:c>
      <x:c r="B1" s="16" t="str">
        <x:v>cycle_name</x:v>
      </x:c>
      <x:c r="C1" s="16" t="str">
        <x:v>start_date</x:v>
      </x:c>
      <x:c r="D1" s="16" t="str">
        <x:v>end_date</x:v>
      </x:c>
      <x:c r="E1" s="16" t="str">
        <x:v>review_due_date</x:v>
      </x:c>
      <x:c r="F1" s="17" t="str">
        <x:v>cycle_status</x:v>
      </x:c>
    </x:row>
    <x:row r="2" ht="15" hidden="0" customHeight="1">
      <x:c r="A2" s="18" t="str">
        <x:v>CY2025Q1</x:v>
      </x:c>
      <x:c r="B2" s="18" t="str">
        <x:v>2025 Q1</x:v>
      </x:c>
      <x:c r="C2" s="20" t="n">
        <x:v>45658.5</x:v>
      </x:c>
      <x:c r="D2" s="20" t="n">
        <x:v>45747.5</x:v>
      </x:c>
      <x:c r="E2" s="20" t="n">
        <x:v>45762.5</x:v>
      </x:c>
      <x:c r="F2" s="18" t="str">
        <x:v>Closed</x:v>
      </x:c>
    </x:row>
    <x:row r="3" ht="15" hidden="0" customHeight="1">
      <x:c r="A3" s="18" t="str">
        <x:v>CY2025Q2</x:v>
      </x:c>
      <x:c r="B3" s="18" t="str">
        <x:v>2025 Q2</x:v>
      </x:c>
      <x:c r="C3" s="20" t="n">
        <x:v>45748.5</x:v>
      </x:c>
      <x:c r="D3" s="20" t="n">
        <x:v>45838.5</x:v>
      </x:c>
      <x:c r="E3" s="20" t="n">
        <x:v>45853.5</x:v>
      </x:c>
      <x:c r="F3" s="18" t="str">
        <x:v>Closed</x:v>
      </x:c>
    </x:row>
    <x:row r="4" ht="15" hidden="0" customHeight="1">
      <x:c r="A4" s="18" t="str">
        <x:v>CY2025Q3</x:v>
      </x:c>
      <x:c r="B4" s="18" t="str">
        <x:v>2025 Q3</x:v>
      </x:c>
      <x:c r="C4" s="20" t="n">
        <x:v>45839.5</x:v>
      </x:c>
      <x:c r="D4" s="20" t="n">
        <x:v>45930.5</x:v>
      </x:c>
      <x:c r="E4" s="20" t="n">
        <x:v>45945.5</x:v>
      </x:c>
      <x:c r="F4" s="18" t="str">
        <x:v>Closed</x:v>
      </x:c>
    </x:row>
    <x:row r="5" ht="15" hidden="0" customHeight="1">
      <x:c r="A5" s="18" t="str">
        <x:v>CY2025Q4</x:v>
      </x:c>
      <x:c r="B5" s="18" t="str">
        <x:v>2025 Q4</x:v>
      </x:c>
      <x:c r="C5" s="20" t="n">
        <x:v>45931.5</x:v>
      </x:c>
      <x:c r="D5" s="20" t="n">
        <x:v>46022.5</x:v>
      </x:c>
      <x:c r="E5" s="20" t="n">
        <x:v>46037.5</x:v>
      </x:c>
      <x:c r="F5" s="18" t="str">
        <x:v>Closed</x:v>
      </x:c>
    </x:row>
    <x:row r="6" ht="15" hidden="0" customHeight="1">
      <x:c r="A6" s="18" t="str">
        <x:v>CY2026Q1</x:v>
      </x:c>
      <x:c r="B6" s="18" t="str">
        <x:v>2026 Q1</x:v>
      </x:c>
      <x:c r="C6" s="20" t="n">
        <x:v>46023.5</x:v>
      </x:c>
      <x:c r="D6" s="20" t="n">
        <x:v>46112.5</x:v>
      </x:c>
      <x:c r="E6" s="20" t="n">
        <x:v>46127.5</x:v>
      </x:c>
      <x:c r="F6" s="18" t="str">
        <x:v>Closed</x:v>
      </x:c>
    </x:row>
    <x:row r="7" ht="15" hidden="0" customHeight="1">
      <x:c r="A7" s="18" t="str">
        <x:v>CY2026Q2</x:v>
      </x:c>
      <x:c r="B7" s="18" t="str">
        <x:v>2026 Q2</x:v>
      </x:c>
      <x:c r="C7" s="20" t="n">
        <x:v>46113.5</x:v>
      </x:c>
      <x:c r="D7" s="20" t="n">
        <x:v>46203.5</x:v>
      </x:c>
      <x:c r="E7" s="20" t="n">
        <x:v>46218.5</x:v>
      </x:c>
      <x:c r="F7" s="18" t="str">
        <x:v>Closed</x:v>
      </x:c>
    </x:row>
    <x:row r="8" ht="15" hidden="0" customHeight="1">
      <x:c r="A8" s="18" t="str">
        <x:v>CY2026Q3</x:v>
      </x:c>
      <x:c r="B8" s="18" t="str">
        <x:v>2026 Q3</x:v>
      </x:c>
      <x:c r="C8" s="20" t="n">
        <x:v>46204.5</x:v>
      </x:c>
      <x:c r="D8" s="20" t="n">
        <x:v>46295.5</x:v>
      </x:c>
      <x:c r="E8" s="20" t="n">
        <x:v>46310.5</x:v>
      </x:c>
      <x:c r="F8" s="18" t="str">
        <x:v>Closed</x:v>
      </x:c>
    </x:row>
  </x:sheetData>
  <x:pageMargins left="0.7" right="0.7" top="0.75" bottom="0.75" header="0.3" footer="0.3"/>
  <x:tableParts count="1">
    <x:tablePart xmlns:r="http://schemas.openxmlformats.org/officeDocument/2006/relationships" r:id="R4e560bbab23548b9"/>
  </x:tableParts>
</x:worksheet>
</file>

<file path=xl/worksheets/sheet7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12" hidden="0" customWidth="1"/>
    <x:col min="4" max="4" width="22" hidden="0" customWidth="1"/>
    <x:col min="5" max="5" width="12" hidden="0" customWidth="1"/>
    <x:col min="6" max="6" width="15" hidden="0" customWidth="1"/>
    <x:col min="7" max="7" width="14" hidden="0" customWidth="1"/>
    <x:col min="8" max="8" width="52" hidden="0" customWidth="1"/>
    <x:col min="9" max="9" width="14" hidden="0" customWidth="1"/>
    <x:col min="10" max="10" width="14" hidden="0" customWidth="1"/>
  </x:cols>
  <x:sheetData>
    <x:row r="1" ht="30" hidden="0" customHeight="1">
      <x:c r="A1" s="15" t="str">
        <x:v>review_id</x:v>
      </x:c>
      <x:c r="B1" s="16" t="str">
        <x:v>employee_id</x:v>
      </x:c>
      <x:c r="C1" s="16" t="str">
        <x:v>cycle_id</x:v>
      </x:c>
      <x:c r="D1" s="16" t="str">
        <x:v>reviewer_employee_id</x:v>
      </x:c>
      <x:c r="E1" s="16" t="str">
        <x:v>branch_id</x:v>
      </x:c>
      <x:c r="F1" s="16" t="str">
        <x:v>review_status</x:v>
      </x:c>
      <x:c r="G1" s="16" t="str">
        <x:v>final_rating</x:v>
      </x:c>
      <x:c r="H1" s="16" t="str">
        <x:v>rating_rationale</x:v>
      </x:c>
      <x:c r="I1" s="16" t="str">
        <x:v>review_date</x:v>
      </x:c>
      <x:c r="J1" s="17" t="str">
        <x:v>completed_date</x:v>
      </x:c>
    </x:row>
    <x:row r="2" ht="24" hidden="0" customHeight="1">
      <x:c r="A2" s="18" t="str">
        <x:v>REV0001</x:v>
      </x:c>
      <x:c r="B2" s="18" t="str">
        <x:v>EMP001</x:v>
      </x:c>
      <x:c r="C2" s="18" t="str">
        <x:v>CY2025Q1</x:v>
      </x:c>
      <x:c r="D2" s="18" t="str">
        <x:v>MGR001</x:v>
      </x:c>
      <x:c r="E2" s="18" t="str">
        <x:v>BR001</x:v>
      </x:c>
      <x:c r="F2" s="18" t="str">
        <x:v>Completed</x:v>
      </x:c>
      <x:c r="G2" s="18" t="n">
        <x:v>5</x:v>
      </x:c>
      <x:c r="H2" s="21" t="str">
        <x:v>Significantly exceeds expectations. Loan production, competency evidence, and quarterly discussion were considered.</x:v>
      </x:c>
      <x:c r="I2" s="20" t="n">
        <x:v>45729.5</x:v>
      </x:c>
      <x:c r="J2" s="20" t="n">
        <x:v>45731.5</x:v>
      </x:c>
    </x:row>
    <x:row r="3" ht="24" hidden="0" customHeight="1">
      <x:c r="A3" s="18" t="str">
        <x:v>REV0002</x:v>
      </x:c>
      <x:c r="B3" s="18" t="str">
        <x:v>EMP002</x:v>
      </x:c>
      <x:c r="C3" s="18" t="str">
        <x:v>CY2025Q1</x:v>
      </x:c>
      <x:c r="D3" s="18" t="str">
        <x:v>MGR001</x:v>
      </x:c>
      <x:c r="E3" s="18" t="str">
        <x:v>BR001</x:v>
      </x:c>
      <x:c r="F3" s="18" t="str">
        <x:v>Completed</x:v>
      </x:c>
      <x:c r="G3" s="18" t="n">
        <x:v>4</x:v>
      </x:c>
      <x:c r="H3" s="21" t="str">
        <x:v>Exceeds expectations. Loan production, competency evidence, and quarterly discussion were considered.</x:v>
      </x:c>
      <x:c r="I3" s="20" t="n">
        <x:v>45730.5</x:v>
      </x:c>
      <x:c r="J3" s="20" t="n">
        <x:v>45732.5</x:v>
      </x:c>
    </x:row>
    <x:row r="4" ht="24" hidden="0" customHeight="1">
      <x:c r="A4" s="18" t="str">
        <x:v>REV0003</x:v>
      </x:c>
      <x:c r="B4" s="18" t="str">
        <x:v>EMP003</x:v>
      </x:c>
      <x:c r="C4" s="18" t="str">
        <x:v>CY2025Q1</x:v>
      </x:c>
      <x:c r="D4" s="18" t="str">
        <x:v>MGR001</x:v>
      </x:c>
      <x:c r="E4" s="18" t="str">
        <x:v>BR001</x:v>
      </x:c>
      <x:c r="F4" s="18" t="str">
        <x:v>Completed</x:v>
      </x:c>
      <x:c r="G4" s="18" t="n">
        <x:v>3</x:v>
      </x:c>
      <x:c r="H4" s="21" t="str">
        <x:v>Meets expectations. Loan production, competency evidence, and quarterly discussion were considered.</x:v>
      </x:c>
      <x:c r="I4" s="20" t="n">
        <x:v>45731.5</x:v>
      </x:c>
      <x:c r="J4" s="20" t="n">
        <x:v>45733.5</x:v>
      </x:c>
    </x:row>
    <x:row r="5" ht="24" hidden="0" customHeight="1">
      <x:c r="A5" s="18" t="str">
        <x:v>REV0004</x:v>
      </x:c>
      <x:c r="B5" s="18" t="str">
        <x:v>EMP004</x:v>
      </x:c>
      <x:c r="C5" s="18" t="str">
        <x:v>CY2025Q1</x:v>
      </x:c>
      <x:c r="D5" s="18" t="str">
        <x:v>MGR002</x:v>
      </x:c>
      <x:c r="E5" s="18" t="str">
        <x:v>BR002</x:v>
      </x:c>
      <x:c r="F5" s="18" t="str">
        <x:v>Completed</x:v>
      </x:c>
      <x:c r="G5" s="18" t="n">
        <x:v>2</x:v>
      </x:c>
      <x:c r="H5" s="21" t="str">
        <x:v>Partially meets expectations. Loan production, competency evidence, and quarterly discussion were considered.</x:v>
      </x:c>
      <x:c r="I5" s="20" t="n">
        <x:v>45732.5</x:v>
      </x:c>
      <x:c r="J5" s="20" t="n">
        <x:v>45734.5</x:v>
      </x:c>
    </x:row>
    <x:row r="6" ht="24" hidden="0" customHeight="1">
      <x:c r="A6" s="18" t="str">
        <x:v>REV0005</x:v>
      </x:c>
      <x:c r="B6" s="18" t="str">
        <x:v>EMP005</x:v>
      </x:c>
      <x:c r="C6" s="18" t="str">
        <x:v>CY2025Q1</x:v>
      </x:c>
      <x:c r="D6" s="18" t="str">
        <x:v>MGR002</x:v>
      </x:c>
      <x:c r="E6" s="18" t="str">
        <x:v>BR002</x:v>
      </x:c>
      <x:c r="F6" s="18" t="str">
        <x:v>Completed</x:v>
      </x:c>
      <x:c r="G6" s="18" t="n">
        <x:v>4</x:v>
      </x:c>
      <x:c r="H6" s="21" t="str">
        <x:v>Exceeds expectations. Loan production, competency evidence, and quarterly discussion were considered.</x:v>
      </x:c>
      <x:c r="I6" s="20" t="n">
        <x:v>45733.5</x:v>
      </x:c>
      <x:c r="J6" s="20" t="n">
        <x:v>45735.5</x:v>
      </x:c>
    </x:row>
    <x:row r="7" ht="24" hidden="0" customHeight="1">
      <x:c r="A7" s="18" t="str">
        <x:v>REV0006</x:v>
      </x:c>
      <x:c r="B7" s="18" t="str">
        <x:v>EMP006</x:v>
      </x:c>
      <x:c r="C7" s="18" t="str">
        <x:v>CY2025Q1</x:v>
      </x:c>
      <x:c r="D7" s="18" t="str">
        <x:v>MGR002</x:v>
      </x:c>
      <x:c r="E7" s="18" t="str">
        <x:v>BR002</x:v>
      </x:c>
      <x:c r="F7" s="18" t="str">
        <x:v>Completed</x:v>
      </x:c>
      <x:c r="G7" s="18" t="n">
        <x:v>4</x:v>
      </x:c>
      <x:c r="H7" s="21" t="str">
        <x:v>Exceeds expectations. Loan production, competency evidence, and quarterly discussion were considered.</x:v>
      </x:c>
      <x:c r="I7" s="20" t="n">
        <x:v>45734.5</x:v>
      </x:c>
      <x:c r="J7" s="20" t="n">
        <x:v>45736.5</x:v>
      </x:c>
    </x:row>
    <x:row r="8" ht="24" hidden="0" customHeight="1">
      <x:c r="A8" s="18" t="str">
        <x:v>REV0007</x:v>
      </x:c>
      <x:c r="B8" s="18" t="str">
        <x:v>EMP007</x:v>
      </x:c>
      <x:c r="C8" s="18" t="str">
        <x:v>CY2025Q1</x:v>
      </x:c>
      <x:c r="D8" s="18" t="str">
        <x:v>MGR003</x:v>
      </x:c>
      <x:c r="E8" s="18" t="str">
        <x:v>BR003</x:v>
      </x:c>
      <x:c r="F8" s="18" t="str">
        <x:v>Completed</x:v>
      </x:c>
      <x:c r="G8" s="18" t="n">
        <x:v>2</x:v>
      </x:c>
      <x:c r="H8" s="21" t="str">
        <x:v>Partially meets expectations. Loan production, competency evidence, and quarterly discussion were considered.</x:v>
      </x:c>
      <x:c r="I8" s="20" t="n">
        <x:v>45735.5</x:v>
      </x:c>
      <x:c r="J8" s="20" t="n">
        <x:v>45737.5</x:v>
      </x:c>
    </x:row>
    <x:row r="9" ht="24" hidden="0" customHeight="1">
      <x:c r="A9" s="18" t="str">
        <x:v>REV0008</x:v>
      </x:c>
      <x:c r="B9" s="18" t="str">
        <x:v>EMP008</x:v>
      </x:c>
      <x:c r="C9" s="18" t="str">
        <x:v>CY2025Q1</x:v>
      </x:c>
      <x:c r="D9" s="18" t="str">
        <x:v>MGR003</x:v>
      </x:c>
      <x:c r="E9" s="18" t="str">
        <x:v>BR003</x:v>
      </x:c>
      <x:c r="F9" s="18" t="str">
        <x:v>Completed</x:v>
      </x:c>
      <x:c r="G9" s="18" t="n">
        <x:v>1</x:v>
      </x:c>
      <x:c r="H9" s="21" t="str">
        <x:v>Improvement required. Loan production, competency evidence, and quarterly discussion were considered.</x:v>
      </x:c>
      <x:c r="I9" s="20" t="n">
        <x:v>45736.5</x:v>
      </x:c>
      <x:c r="J9" s="20" t="n">
        <x:v>45738.5</x:v>
      </x:c>
    </x:row>
    <x:row r="10" ht="24" hidden="0" customHeight="1">
      <x:c r="A10" s="18" t="str">
        <x:v>REV0009</x:v>
      </x:c>
      <x:c r="B10" s="18" t="str">
        <x:v>EMP009</x:v>
      </x:c>
      <x:c r="C10" s="18" t="str">
        <x:v>CY2025Q1</x:v>
      </x:c>
      <x:c r="D10" s="18" t="str">
        <x:v>MGR004</x:v>
      </x:c>
      <x:c r="E10" s="18" t="str">
        <x:v>BR004</x:v>
      </x:c>
      <x:c r="F10" s="18" t="str">
        <x:v>Completed</x:v>
      </x:c>
      <x:c r="G10" s="18" t="n">
        <x:v>5</x:v>
      </x:c>
      <x:c r="H10" s="21" t="str">
        <x:v>Significantly exceeds expectations. Loan production, competency evidence, and quarterly discussion were considered.</x:v>
      </x:c>
      <x:c r="I10" s="20" t="n">
        <x:v>45737.5</x:v>
      </x:c>
      <x:c r="J10" s="20" t="n">
        <x:v>45739.5</x:v>
      </x:c>
    </x:row>
    <x:row r="11" ht="24" hidden="0" customHeight="1">
      <x:c r="A11" s="18" t="str">
        <x:v>REV0010</x:v>
      </x:c>
      <x:c r="B11" s="18" t="str">
        <x:v>EMP010</x:v>
      </x:c>
      <x:c r="C11" s="18" t="str">
        <x:v>CY2025Q1</x:v>
      </x:c>
      <x:c r="D11" s="18" t="str">
        <x:v>MGR004</x:v>
      </x:c>
      <x:c r="E11" s="18" t="str">
        <x:v>BR004</x:v>
      </x:c>
      <x:c r="F11" s="18" t="str">
        <x:v>Completed</x:v>
      </x:c>
      <x:c r="G11" s="18" t="n">
        <x:v>4</x:v>
      </x:c>
      <x:c r="H11" s="21" t="str">
        <x:v>Exceeds expectations. Loan production, competency evidence, and quarterly discussion were considered.</x:v>
      </x:c>
      <x:c r="I11" s="20" t="n">
        <x:v>45738.5</x:v>
      </x:c>
      <x:c r="J11" s="20" t="n">
        <x:v>45740.5</x:v>
      </x:c>
    </x:row>
    <x:row r="12" ht="24" hidden="0" customHeight="1">
      <x:c r="A12" s="18" t="str">
        <x:v>REV0011</x:v>
      </x:c>
      <x:c r="B12" s="18" t="str">
        <x:v>EMP011</x:v>
      </x:c>
      <x:c r="C12" s="18" t="str">
        <x:v>CY2025Q1</x:v>
      </x:c>
      <x:c r="D12" s="18" t="str">
        <x:v>MGR004</x:v>
      </x:c>
      <x:c r="E12" s="18" t="str">
        <x:v>BR004</x:v>
      </x:c>
      <x:c r="F12" s="18" t="str">
        <x:v>Completed</x:v>
      </x:c>
      <x:c r="G12" s="18" t="n">
        <x:v>3</x:v>
      </x:c>
      <x:c r="H12" s="21" t="str">
        <x:v>Meets expectations. Loan production, competency evidence, and quarterly discussion were considered.</x:v>
      </x:c>
      <x:c r="I12" s="20" t="n">
        <x:v>45739.5</x:v>
      </x:c>
      <x:c r="J12" s="20" t="n">
        <x:v>45741.5</x:v>
      </x:c>
    </x:row>
    <x:row r="13" ht="24" hidden="0" customHeight="1">
      <x:c r="A13" s="18" t="str">
        <x:v>REV0012</x:v>
      </x:c>
      <x:c r="B13" s="18" t="str">
        <x:v>EMP012</x:v>
      </x:c>
      <x:c r="C13" s="18" t="str">
        <x:v>CY2025Q1</x:v>
      </x:c>
      <x:c r="D13" s="18" t="str">
        <x:v>MGR005</x:v>
      </x:c>
      <x:c r="E13" s="18" t="str">
        <x:v>BR005</x:v>
      </x:c>
      <x:c r="F13" s="18" t="str">
        <x:v>Completed</x:v>
      </x:c>
      <x:c r="G13" s="18" t="n">
        <x:v>3</x:v>
      </x:c>
      <x:c r="H13" s="21" t="str">
        <x:v>Meets expectations. Loan production, competency evidence, and quarterly discussion were considered.</x:v>
      </x:c>
      <x:c r="I13" s="20" t="n">
        <x:v>45740.5</x:v>
      </x:c>
      <x:c r="J13" s="20" t="n">
        <x:v>45742.5</x:v>
      </x:c>
    </x:row>
    <x:row r="14" ht="24" hidden="0" customHeight="1">
      <x:c r="A14" s="18" t="str">
        <x:v>REV0013</x:v>
      </x:c>
      <x:c r="B14" s="18" t="str">
        <x:v>EMP013</x:v>
      </x:c>
      <x:c r="C14" s="18" t="str">
        <x:v>CY2025Q1</x:v>
      </x:c>
      <x:c r="D14" s="18" t="str">
        <x:v>MGR005</x:v>
      </x:c>
      <x:c r="E14" s="18" t="str">
        <x:v>BR005</x:v>
      </x:c>
      <x:c r="F14" s="18" t="str">
        <x:v>Completed</x:v>
      </x:c>
      <x:c r="G14" s="18" t="n">
        <x:v>4</x:v>
      </x:c>
      <x:c r="H14" s="21" t="str">
        <x:v>Exceeds expectations. Loan production, competency evidence, and quarterly discussion were considered.</x:v>
      </x:c>
      <x:c r="I14" s="20" t="n">
        <x:v>45729.5</x:v>
      </x:c>
      <x:c r="J14" s="20" t="n">
        <x:v>45731.5</x:v>
      </x:c>
    </x:row>
    <x:row r="15" ht="24" hidden="0" customHeight="1">
      <x:c r="A15" s="18" t="str">
        <x:v>REV0014</x:v>
      </x:c>
      <x:c r="B15" s="18" t="str">
        <x:v>EMP014</x:v>
      </x:c>
      <x:c r="C15" s="18" t="str">
        <x:v>CY2025Q1</x:v>
      </x:c>
      <x:c r="D15" s="18" t="str">
        <x:v>MGR006</x:v>
      </x:c>
      <x:c r="E15" s="18" t="str">
        <x:v>BR006</x:v>
      </x:c>
      <x:c r="F15" s="18" t="str">
        <x:v>Completed</x:v>
      </x:c>
      <x:c r="G15" s="18" t="n">
        <x:v>2</x:v>
      </x:c>
      <x:c r="H15" s="21" t="str">
        <x:v>Partially meets expectations. Loan production, competency evidence, and quarterly discussion were considered.</x:v>
      </x:c>
      <x:c r="I15" s="20" t="n">
        <x:v>45730.5</x:v>
      </x:c>
      <x:c r="J15" s="20" t="n">
        <x:v>45732.5</x:v>
      </x:c>
    </x:row>
    <x:row r="16" ht="24" hidden="0" customHeight="1">
      <x:c r="A16" s="18" t="str">
        <x:v>REV0015</x:v>
      </x:c>
      <x:c r="B16" s="18" t="str">
        <x:v>EMP015</x:v>
      </x:c>
      <x:c r="C16" s="18" t="str">
        <x:v>CY2025Q1</x:v>
      </x:c>
      <x:c r="D16" s="18" t="str">
        <x:v>MGR006</x:v>
      </x:c>
      <x:c r="E16" s="18" t="str">
        <x:v>BR006</x:v>
      </x:c>
      <x:c r="F16" s="18" t="str">
        <x:v>Completed</x:v>
      </x:c>
      <x:c r="G16" s="18" t="n">
        <x:v>1</x:v>
      </x:c>
      <x:c r="H16" s="21" t="str">
        <x:v>Improvement required. Loan production, competency evidence, and quarterly discussion were considered.</x:v>
      </x:c>
      <x:c r="I16" s="20" t="n">
        <x:v>45731.5</x:v>
      </x:c>
      <x:c r="J16" s="20" t="n">
        <x:v>45733.5</x:v>
      </x:c>
    </x:row>
    <x:row r="17" ht="24" hidden="0" customHeight="1">
      <x:c r="A17" s="18" t="str">
        <x:v>REV0016</x:v>
      </x:c>
      <x:c r="B17" s="18" t="str">
        <x:v>EMP001</x:v>
      </x:c>
      <x:c r="C17" s="18" t="str">
        <x:v>CY2025Q2</x:v>
      </x:c>
      <x:c r="D17" s="18" t="str">
        <x:v>MGR001</x:v>
      </x:c>
      <x:c r="E17" s="18" t="str">
        <x:v>BR001</x:v>
      </x:c>
      <x:c r="F17" s="18" t="str">
        <x:v>Completed</x:v>
      </x:c>
      <x:c r="G17" s="18" t="n">
        <x:v>5</x:v>
      </x:c>
      <x:c r="H17" s="21" t="str">
        <x:v>Significantly exceeds expectations. Loan production, competency evidence, and quarterly discussion were considered.</x:v>
      </x:c>
      <x:c r="I17" s="20" t="n">
        <x:v>45820.5</x:v>
      </x:c>
      <x:c r="J17" s="20" t="n">
        <x:v>45822.5</x:v>
      </x:c>
    </x:row>
    <x:row r="18" ht="24" hidden="0" customHeight="1">
      <x:c r="A18" s="18" t="str">
        <x:v>REV0017</x:v>
      </x:c>
      <x:c r="B18" s="18" t="str">
        <x:v>EMP002</x:v>
      </x:c>
      <x:c r="C18" s="18" t="str">
        <x:v>CY2025Q2</x:v>
      </x:c>
      <x:c r="D18" s="18" t="str">
        <x:v>MGR001</x:v>
      </x:c>
      <x:c r="E18" s="18" t="str">
        <x:v>BR001</x:v>
      </x:c>
      <x:c r="F18" s="18" t="str">
        <x:v>Completed</x:v>
      </x:c>
      <x:c r="G18" s="18" t="n">
        <x:v>4</x:v>
      </x:c>
      <x:c r="H18" s="21" t="str">
        <x:v>Exceeds expectations. Loan production, competency evidence, and quarterly discussion were considered.</x:v>
      </x:c>
      <x:c r="I18" s="20" t="n">
        <x:v>45821.5</x:v>
      </x:c>
      <x:c r="J18" s="20" t="n">
        <x:v>45823.5</x:v>
      </x:c>
    </x:row>
    <x:row r="19" ht="24" hidden="0" customHeight="1">
      <x:c r="A19" s="18" t="str">
        <x:v>REV0018</x:v>
      </x:c>
      <x:c r="B19" s="18" t="str">
        <x:v>EMP003</x:v>
      </x:c>
      <x:c r="C19" s="18" t="str">
        <x:v>CY2025Q2</x:v>
      </x:c>
      <x:c r="D19" s="18" t="str">
        <x:v>MGR001</x:v>
      </x:c>
      <x:c r="E19" s="18" t="str">
        <x:v>BR001</x:v>
      </x:c>
      <x:c r="F19" s="18" t="str">
        <x:v>Completed</x:v>
      </x:c>
      <x:c r="G19" s="18" t="n">
        <x:v>2</x:v>
      </x:c>
      <x:c r="H19" s="21" t="str">
        <x:v>Partially meets expectations. Loan production, competency evidence, and quarterly discussion were considered.</x:v>
      </x:c>
      <x:c r="I19" s="20" t="n">
        <x:v>45822.5</x:v>
      </x:c>
      <x:c r="J19" s="20" t="n">
        <x:v>45824.5</x:v>
      </x:c>
    </x:row>
    <x:row r="20" ht="24" hidden="0" customHeight="1">
      <x:c r="A20" s="18" t="str">
        <x:v>REV0019</x:v>
      </x:c>
      <x:c r="B20" s="18" t="str">
        <x:v>EMP004</x:v>
      </x:c>
      <x:c r="C20" s="18" t="str">
        <x:v>CY2025Q2</x:v>
      </x:c>
      <x:c r="D20" s="18" t="str">
        <x:v>MGR002</x:v>
      </x:c>
      <x:c r="E20" s="18" t="str">
        <x:v>BR002</x:v>
      </x:c>
      <x:c r="F20" s="18" t="str">
        <x:v>Completed</x:v>
      </x:c>
      <x:c r="G20" s="18" t="n">
        <x:v>2</x:v>
      </x:c>
      <x:c r="H20" s="21" t="str">
        <x:v>Partially meets expectations. Loan production, competency evidence, and quarterly discussion were considered.</x:v>
      </x:c>
      <x:c r="I20" s="20" t="n">
        <x:v>45823.5</x:v>
      </x:c>
      <x:c r="J20" s="20" t="n">
        <x:v>45825.5</x:v>
      </x:c>
    </x:row>
    <x:row r="21" ht="24" hidden="0" customHeight="1">
      <x:c r="A21" s="18" t="str">
        <x:v>REV0020</x:v>
      </x:c>
      <x:c r="B21" s="18" t="str">
        <x:v>EMP005</x:v>
      </x:c>
      <x:c r="C21" s="18" t="str">
        <x:v>CY2025Q2</x:v>
      </x:c>
      <x:c r="D21" s="18" t="str">
        <x:v>MGR002</x:v>
      </x:c>
      <x:c r="E21" s="18" t="str">
        <x:v>BR002</x:v>
      </x:c>
      <x:c r="F21" s="18" t="str">
        <x:v>Completed</x:v>
      </x:c>
      <x:c r="G21" s="18" t="n">
        <x:v>4</x:v>
      </x:c>
      <x:c r="H21" s="21" t="str">
        <x:v>Exceeds expectations. Loan production, competency evidence, and quarterly discussion were considered.</x:v>
      </x:c>
      <x:c r="I21" s="20" t="n">
        <x:v>45824.5</x:v>
      </x:c>
      <x:c r="J21" s="20" t="n">
        <x:v>45826.5</x:v>
      </x:c>
    </x:row>
    <x:row r="22" ht="24" hidden="0" customHeight="1">
      <x:c r="A22" s="18" t="str">
        <x:v>REV0021</x:v>
      </x:c>
      <x:c r="B22" s="18" t="str">
        <x:v>EMP006</x:v>
      </x:c>
      <x:c r="C22" s="18" t="str">
        <x:v>CY2025Q2</x:v>
      </x:c>
      <x:c r="D22" s="18" t="str">
        <x:v>MGR002</x:v>
      </x:c>
      <x:c r="E22" s="18" t="str">
        <x:v>BR002</x:v>
      </x:c>
      <x:c r="F22" s="18" t="str">
        <x:v>Completed</x:v>
      </x:c>
      <x:c r="G22" s="18" t="n">
        <x:v>3</x:v>
      </x:c>
      <x:c r="H22" s="21" t="str">
        <x:v>Meets expectations. Loan production, competency evidence, and quarterly discussion were considered.</x:v>
      </x:c>
      <x:c r="I22" s="20" t="n">
        <x:v>45825.5</x:v>
      </x:c>
      <x:c r="J22" s="20" t="n">
        <x:v>45827.5</x:v>
      </x:c>
    </x:row>
    <x:row r="23" ht="24" hidden="0" customHeight="1">
      <x:c r="A23" s="18" t="str">
        <x:v>REV0022</x:v>
      </x:c>
      <x:c r="B23" s="18" t="str">
        <x:v>EMP007</x:v>
      </x:c>
      <x:c r="C23" s="18" t="str">
        <x:v>CY2025Q2</x:v>
      </x:c>
      <x:c r="D23" s="18" t="str">
        <x:v>MGR003</x:v>
      </x:c>
      <x:c r="E23" s="18" t="str">
        <x:v>BR003</x:v>
      </x:c>
      <x:c r="F23" s="18" t="str">
        <x:v>Completed</x:v>
      </x:c>
      <x:c r="G23" s="18" t="n">
        <x:v>2</x:v>
      </x:c>
      <x:c r="H23" s="21" t="str">
        <x:v>Partially meets expectations. Loan production, competency evidence, and quarterly discussion were considered.</x:v>
      </x:c>
      <x:c r="I23" s="20" t="n">
        <x:v>45826.5</x:v>
      </x:c>
      <x:c r="J23" s="20" t="n">
        <x:v>45828.5</x:v>
      </x:c>
    </x:row>
    <x:row r="24" ht="24" hidden="0" customHeight="1">
      <x:c r="A24" s="18" t="str">
        <x:v>REV0023</x:v>
      </x:c>
      <x:c r="B24" s="18" t="str">
        <x:v>EMP008</x:v>
      </x:c>
      <x:c r="C24" s="18" t="str">
        <x:v>CY2025Q2</x:v>
      </x:c>
      <x:c r="D24" s="18" t="str">
        <x:v>MGR003</x:v>
      </x:c>
      <x:c r="E24" s="18" t="str">
        <x:v>BR003</x:v>
      </x:c>
      <x:c r="F24" s="18" t="str">
        <x:v>Completed</x:v>
      </x:c>
      <x:c r="G24" s="18" t="n">
        <x:v>1</x:v>
      </x:c>
      <x:c r="H24" s="21" t="str">
        <x:v>Improvement required. Loan production, competency evidence, and quarterly discussion were considered.</x:v>
      </x:c>
      <x:c r="I24" s="20" t="n">
        <x:v>45827.5</x:v>
      </x:c>
      <x:c r="J24" s="20" t="n">
        <x:v>45829.5</x:v>
      </x:c>
    </x:row>
    <x:row r="25" ht="24" hidden="0" customHeight="1">
      <x:c r="A25" s="18" t="str">
        <x:v>REV0024</x:v>
      </x:c>
      <x:c r="B25" s="18" t="str">
        <x:v>EMP009</x:v>
      </x:c>
      <x:c r="C25" s="18" t="str">
        <x:v>CY2025Q2</x:v>
      </x:c>
      <x:c r="D25" s="18" t="str">
        <x:v>MGR004</x:v>
      </x:c>
      <x:c r="E25" s="18" t="str">
        <x:v>BR004</x:v>
      </x:c>
      <x:c r="F25" s="18" t="str">
        <x:v>Completed</x:v>
      </x:c>
      <x:c r="G25" s="18" t="n">
        <x:v>5</x:v>
      </x:c>
      <x:c r="H25" s="21" t="str">
        <x:v>Significantly exceeds expectations. Loan production, competency evidence, and quarterly discussion were considered.</x:v>
      </x:c>
      <x:c r="I25" s="20" t="n">
        <x:v>45828.5</x:v>
      </x:c>
      <x:c r="J25" s="20" t="n">
        <x:v>45830.5</x:v>
      </x:c>
    </x:row>
    <x:row r="26" ht="24" hidden="0" customHeight="1">
      <x:c r="A26" s="18" t="str">
        <x:v>REV0025</x:v>
      </x:c>
      <x:c r="B26" s="18" t="str">
        <x:v>EMP010</x:v>
      </x:c>
      <x:c r="C26" s="18" t="str">
        <x:v>CY2025Q2</x:v>
      </x:c>
      <x:c r="D26" s="18" t="str">
        <x:v>MGR004</x:v>
      </x:c>
      <x:c r="E26" s="18" t="str">
        <x:v>BR004</x:v>
      </x:c>
      <x:c r="F26" s="18" t="str">
        <x:v>Completed</x:v>
      </x:c>
      <x:c r="G26" s="18" t="n">
        <x:v>3</x:v>
      </x:c>
      <x:c r="H26" s="21" t="str">
        <x:v>Meets expectations. Loan production, competency evidence, and quarterly discussion were considered.</x:v>
      </x:c>
      <x:c r="I26" s="20" t="n">
        <x:v>45829.5</x:v>
      </x:c>
      <x:c r="J26" s="20" t="n">
        <x:v>45831.5</x:v>
      </x:c>
    </x:row>
    <x:row r="27" ht="24" hidden="0" customHeight="1">
      <x:c r="A27" s="18" t="str">
        <x:v>REV0026</x:v>
      </x:c>
      <x:c r="B27" s="18" t="str">
        <x:v>EMP011</x:v>
      </x:c>
      <x:c r="C27" s="18" t="str">
        <x:v>CY2025Q2</x:v>
      </x:c>
      <x:c r="D27" s="18" t="str">
        <x:v>MGR004</x:v>
      </x:c>
      <x:c r="E27" s="18" t="str">
        <x:v>BR004</x:v>
      </x:c>
      <x:c r="F27" s="18" t="str">
        <x:v>Completed</x:v>
      </x:c>
      <x:c r="G27" s="18" t="n">
        <x:v>4</x:v>
      </x:c>
      <x:c r="H27" s="21" t="str">
        <x:v>Exceeds expectations. Loan production, competency evidence, and quarterly discussion were considered.</x:v>
      </x:c>
      <x:c r="I27" s="20" t="n">
        <x:v>45830.5</x:v>
      </x:c>
      <x:c r="J27" s="20" t="n">
        <x:v>45832.5</x:v>
      </x:c>
    </x:row>
    <x:row r="28" ht="24" hidden="0" customHeight="1">
      <x:c r="A28" s="18" t="str">
        <x:v>REV0027</x:v>
      </x:c>
      <x:c r="B28" s="18" t="str">
        <x:v>EMP012</x:v>
      </x:c>
      <x:c r="C28" s="18" t="str">
        <x:v>CY2025Q2</x:v>
      </x:c>
      <x:c r="D28" s="18" t="str">
        <x:v>MGR005</x:v>
      </x:c>
      <x:c r="E28" s="18" t="str">
        <x:v>BR005</x:v>
      </x:c>
      <x:c r="F28" s="18" t="str">
        <x:v>Completed</x:v>
      </x:c>
      <x:c r="G28" s="18" t="n">
        <x:v>2</x:v>
      </x:c>
      <x:c r="H28" s="21" t="str">
        <x:v>Partially meets expectations. Loan production, competency evidence, and quarterly discussion were considered.</x:v>
      </x:c>
      <x:c r="I28" s="20" t="n">
        <x:v>45831.5</x:v>
      </x:c>
      <x:c r="J28" s="20" t="n">
        <x:v>45833.5</x:v>
      </x:c>
    </x:row>
    <x:row r="29" ht="24" hidden="0" customHeight="1">
      <x:c r="A29" s="18" t="str">
        <x:v>REV0028</x:v>
      </x:c>
      <x:c r="B29" s="18" t="str">
        <x:v>EMP013</x:v>
      </x:c>
      <x:c r="C29" s="18" t="str">
        <x:v>CY2025Q2</x:v>
      </x:c>
      <x:c r="D29" s="18" t="str">
        <x:v>MGR005</x:v>
      </x:c>
      <x:c r="E29" s="18" t="str">
        <x:v>BR005</x:v>
      </x:c>
      <x:c r="F29" s="18" t="str">
        <x:v>Completed</x:v>
      </x:c>
      <x:c r="G29" s="18" t="n">
        <x:v>4</x:v>
      </x:c>
      <x:c r="H29" s="21" t="str">
        <x:v>Exceeds expectations. Loan production, competency evidence, and quarterly discussion were considered.</x:v>
      </x:c>
      <x:c r="I29" s="20" t="n">
        <x:v>45820.5</x:v>
      </x:c>
      <x:c r="J29" s="20" t="n">
        <x:v>45822.5</x:v>
      </x:c>
    </x:row>
    <x:row r="30" ht="24" hidden="0" customHeight="1">
      <x:c r="A30" s="18" t="str">
        <x:v>REV0029</x:v>
      </x:c>
      <x:c r="B30" s="18" t="str">
        <x:v>EMP014</x:v>
      </x:c>
      <x:c r="C30" s="18" t="str">
        <x:v>CY2025Q2</x:v>
      </x:c>
      <x:c r="D30" s="18" t="str">
        <x:v>MGR006</x:v>
      </x:c>
      <x:c r="E30" s="18" t="str">
        <x:v>BR006</x:v>
      </x:c>
      <x:c r="F30" s="18" t="str">
        <x:v>Completed</x:v>
      </x:c>
      <x:c r="G30" s="18" t="n">
        <x:v>3</x:v>
      </x:c>
      <x:c r="H30" s="21" t="str">
        <x:v>Meets expectations. Loan production, competency evidence, and quarterly discussion were considered.</x:v>
      </x:c>
      <x:c r="I30" s="20" t="n">
        <x:v>45821.5</x:v>
      </x:c>
      <x:c r="J30" s="20" t="n">
        <x:v>45823.5</x:v>
      </x:c>
    </x:row>
    <x:row r="31" ht="24" hidden="0" customHeight="1">
      <x:c r="A31" s="18" t="str">
        <x:v>REV0030</x:v>
      </x:c>
      <x:c r="B31" s="18" t="str">
        <x:v>EMP015</x:v>
      </x:c>
      <x:c r="C31" s="18" t="str">
        <x:v>CY2025Q2</x:v>
      </x:c>
      <x:c r="D31" s="18" t="str">
        <x:v>MGR006</x:v>
      </x:c>
      <x:c r="E31" s="18" t="str">
        <x:v>BR006</x:v>
      </x:c>
      <x:c r="F31" s="18" t="str">
        <x:v>Completed</x:v>
      </x:c>
      <x:c r="G31" s="18" t="n">
        <x:v>1</x:v>
      </x:c>
      <x:c r="H31" s="21" t="str">
        <x:v>Improvement required. Loan production, competency evidence, and quarterly discussion were considered.</x:v>
      </x:c>
      <x:c r="I31" s="20" t="n">
        <x:v>45822.5</x:v>
      </x:c>
      <x:c r="J31" s="20" t="n">
        <x:v>45824.5</x:v>
      </x:c>
    </x:row>
    <x:row r="32" ht="24" hidden="0" customHeight="1">
      <x:c r="A32" s="18" t="str">
        <x:v>REV0031</x:v>
      </x:c>
      <x:c r="B32" s="18" t="str">
        <x:v>EMP001</x:v>
      </x:c>
      <x:c r="C32" s="18" t="str">
        <x:v>CY2025Q3</x:v>
      </x:c>
      <x:c r="D32" s="18" t="str">
        <x:v>MGR001</x:v>
      </x:c>
      <x:c r="E32" s="18" t="str">
        <x:v>BR001</x:v>
      </x:c>
      <x:c r="F32" s="18" t="str">
        <x:v>Completed</x:v>
      </x:c>
      <x:c r="G32" s="18" t="n">
        <x:v>5</x:v>
      </x:c>
      <x:c r="H32" s="21" t="str">
        <x:v>Significantly exceeds expectations. Loan production, competency evidence, and quarterly discussion were considered.</x:v>
      </x:c>
      <x:c r="I32" s="20" t="n">
        <x:v>45912.5</x:v>
      </x:c>
      <x:c r="J32" s="20" t="n">
        <x:v>45914.5</x:v>
      </x:c>
    </x:row>
    <x:row r="33" ht="24" hidden="0" customHeight="1">
      <x:c r="A33" s="18" t="str">
        <x:v>REV0032</x:v>
      </x:c>
      <x:c r="B33" s="18" t="str">
        <x:v>EMP002</x:v>
      </x:c>
      <x:c r="C33" s="18" t="str">
        <x:v>CY2025Q3</x:v>
      </x:c>
      <x:c r="D33" s="18" t="str">
        <x:v>MGR001</x:v>
      </x:c>
      <x:c r="E33" s="18" t="str">
        <x:v>BR001</x:v>
      </x:c>
      <x:c r="F33" s="18" t="str">
        <x:v>Completed</x:v>
      </x:c>
      <x:c r="G33" s="18" t="n">
        <x:v>4</x:v>
      </x:c>
      <x:c r="H33" s="21" t="str">
        <x:v>Exceeds expectations. Loan production, competency evidence, and quarterly discussion were considered.</x:v>
      </x:c>
      <x:c r="I33" s="20" t="n">
        <x:v>45913.5</x:v>
      </x:c>
      <x:c r="J33" s="20" t="n">
        <x:v>45915.5</x:v>
      </x:c>
    </x:row>
    <x:row r="34" ht="24" hidden="0" customHeight="1">
      <x:c r="A34" s="18" t="str">
        <x:v>REV0033</x:v>
      </x:c>
      <x:c r="B34" s="18" t="str">
        <x:v>EMP003</x:v>
      </x:c>
      <x:c r="C34" s="18" t="str">
        <x:v>CY2025Q3</x:v>
      </x:c>
      <x:c r="D34" s="18" t="str">
        <x:v>MGR001</x:v>
      </x:c>
      <x:c r="E34" s="18" t="str">
        <x:v>BR001</x:v>
      </x:c>
      <x:c r="F34" s="18" t="str">
        <x:v>Completed</x:v>
      </x:c>
      <x:c r="G34" s="18" t="n">
        <x:v>3</x:v>
      </x:c>
      <x:c r="H34" s="21" t="str">
        <x:v>Meets expectations. Loan production, competency evidence, and quarterly discussion were considered.</x:v>
      </x:c>
      <x:c r="I34" s="20" t="n">
        <x:v>45914.5</x:v>
      </x:c>
      <x:c r="J34" s="20" t="n">
        <x:v>45916.5</x:v>
      </x:c>
    </x:row>
    <x:row r="35" ht="24" hidden="0" customHeight="1">
      <x:c r="A35" s="18" t="str">
        <x:v>REV0034</x:v>
      </x:c>
      <x:c r="B35" s="18" t="str">
        <x:v>EMP004</x:v>
      </x:c>
      <x:c r="C35" s="18" t="str">
        <x:v>CY2025Q3</x:v>
      </x:c>
      <x:c r="D35" s="18" t="str">
        <x:v>MGR002</x:v>
      </x:c>
      <x:c r="E35" s="18" t="str">
        <x:v>BR002</x:v>
      </x:c>
      <x:c r="F35" s="18" t="str">
        <x:v>Completed</x:v>
      </x:c>
      <x:c r="G35" s="18" t="n">
        <x:v>3</x:v>
      </x:c>
      <x:c r="H35" s="21" t="str">
        <x:v>Meets expectations. Loan production, competency evidence, and quarterly discussion were considered.</x:v>
      </x:c>
      <x:c r="I35" s="20" t="n">
        <x:v>45915.5</x:v>
      </x:c>
      <x:c r="J35" s="20" t="n">
        <x:v>45917.5</x:v>
      </x:c>
    </x:row>
    <x:row r="36" ht="24" hidden="0" customHeight="1">
      <x:c r="A36" s="18" t="str">
        <x:v>REV0035</x:v>
      </x:c>
      <x:c r="B36" s="18" t="str">
        <x:v>EMP005</x:v>
      </x:c>
      <x:c r="C36" s="18" t="str">
        <x:v>CY2025Q3</x:v>
      </x:c>
      <x:c r="D36" s="18" t="str">
        <x:v>MGR002</x:v>
      </x:c>
      <x:c r="E36" s="18" t="str">
        <x:v>BR002</x:v>
      </x:c>
      <x:c r="F36" s="18" t="str">
        <x:v>Completed</x:v>
      </x:c>
      <x:c r="G36" s="18" t="n">
        <x:v>4</x:v>
      </x:c>
      <x:c r="H36" s="21" t="str">
        <x:v>Exceeds expectations. Loan production, competency evidence, and quarterly discussion were considered.</x:v>
      </x:c>
      <x:c r="I36" s="20" t="n">
        <x:v>45916.5</x:v>
      </x:c>
      <x:c r="J36" s="20" t="n">
        <x:v>45918.5</x:v>
      </x:c>
    </x:row>
    <x:row r="37" ht="24" hidden="0" customHeight="1">
      <x:c r="A37" s="18" t="str">
        <x:v>REV0036</x:v>
      </x:c>
      <x:c r="B37" s="18" t="str">
        <x:v>EMP006</x:v>
      </x:c>
      <x:c r="C37" s="18" t="str">
        <x:v>CY2025Q3</x:v>
      </x:c>
      <x:c r="D37" s="18" t="str">
        <x:v>MGR002</x:v>
      </x:c>
      <x:c r="E37" s="18" t="str">
        <x:v>BR002</x:v>
      </x:c>
      <x:c r="F37" s="18" t="str">
        <x:v>Completed</x:v>
      </x:c>
      <x:c r="G37" s="18" t="n">
        <x:v>2</x:v>
      </x:c>
      <x:c r="H37" s="21" t="str">
        <x:v>Partially meets expectations. Loan production, competency evidence, and quarterly discussion were considered.</x:v>
      </x:c>
      <x:c r="I37" s="20" t="n">
        <x:v>45917.5</x:v>
      </x:c>
      <x:c r="J37" s="20" t="n">
        <x:v>45919.5</x:v>
      </x:c>
    </x:row>
    <x:row r="38" ht="24" hidden="0" customHeight="1">
      <x:c r="A38" s="18" t="str">
        <x:v>REV0037</x:v>
      </x:c>
      <x:c r="B38" s="18" t="str">
        <x:v>EMP007</x:v>
      </x:c>
      <x:c r="C38" s="18" t="str">
        <x:v>CY2025Q3</x:v>
      </x:c>
      <x:c r="D38" s="18" t="str">
        <x:v>MGR003</x:v>
      </x:c>
      <x:c r="E38" s="18" t="str">
        <x:v>BR003</x:v>
      </x:c>
      <x:c r="F38" s="18" t="str">
        <x:v>Completed</x:v>
      </x:c>
      <x:c r="G38" s="18" t="n">
        <x:v>2</x:v>
      </x:c>
      <x:c r="H38" s="21" t="str">
        <x:v>Partially meets expectations. Loan production, competency evidence, and quarterly discussion were considered.</x:v>
      </x:c>
      <x:c r="I38" s="20" t="n">
        <x:v>45918.5</x:v>
      </x:c>
      <x:c r="J38" s="20" t="n">
        <x:v>45920.5</x:v>
      </x:c>
    </x:row>
    <x:row r="39" ht="24" hidden="0" customHeight="1">
      <x:c r="A39" s="18" t="str">
        <x:v>REV0038</x:v>
      </x:c>
      <x:c r="B39" s="18" t="str">
        <x:v>EMP008</x:v>
      </x:c>
      <x:c r="C39" s="18" t="str">
        <x:v>CY2025Q3</x:v>
      </x:c>
      <x:c r="D39" s="18" t="str">
        <x:v>MGR003</x:v>
      </x:c>
      <x:c r="E39" s="18" t="str">
        <x:v>BR003</x:v>
      </x:c>
      <x:c r="F39" s="18" t="str">
        <x:v>Completed</x:v>
      </x:c>
      <x:c r="G39" s="18" t="n">
        <x:v>1</x:v>
      </x:c>
      <x:c r="H39" s="21" t="str">
        <x:v>Improvement required. Loan production, competency evidence, and quarterly discussion were considered.</x:v>
      </x:c>
      <x:c r="I39" s="20" t="n">
        <x:v>45919.5</x:v>
      </x:c>
      <x:c r="J39" s="20" t="n">
        <x:v>45921.5</x:v>
      </x:c>
    </x:row>
    <x:row r="40" ht="24" hidden="0" customHeight="1">
      <x:c r="A40" s="18" t="str">
        <x:v>REV0039</x:v>
      </x:c>
      <x:c r="B40" s="18" t="str">
        <x:v>EMP009</x:v>
      </x:c>
      <x:c r="C40" s="18" t="str">
        <x:v>CY2025Q3</x:v>
      </x:c>
      <x:c r="D40" s="18" t="str">
        <x:v>MGR004</x:v>
      </x:c>
      <x:c r="E40" s="18" t="str">
        <x:v>BR004</x:v>
      </x:c>
      <x:c r="F40" s="18" t="str">
        <x:v>Completed</x:v>
      </x:c>
      <x:c r="G40" s="18" t="n">
        <x:v>5</x:v>
      </x:c>
      <x:c r="H40" s="21" t="str">
        <x:v>Significantly exceeds expectations. Loan production, competency evidence, and quarterly discussion were considered.</x:v>
      </x:c>
      <x:c r="I40" s="20" t="n">
        <x:v>45920.5</x:v>
      </x:c>
      <x:c r="J40" s="20" t="n">
        <x:v>45922.5</x:v>
      </x:c>
    </x:row>
    <x:row r="41" ht="24" hidden="0" customHeight="1">
      <x:c r="A41" s="18" t="str">
        <x:v>REV0040</x:v>
      </x:c>
      <x:c r="B41" s="18" t="str">
        <x:v>EMP010</x:v>
      </x:c>
      <x:c r="C41" s="18" t="str">
        <x:v>CY2025Q3</x:v>
      </x:c>
      <x:c r="D41" s="18" t="str">
        <x:v>MGR004</x:v>
      </x:c>
      <x:c r="E41" s="18" t="str">
        <x:v>BR004</x:v>
      </x:c>
      <x:c r="F41" s="18" t="str">
        <x:v>Completed</x:v>
      </x:c>
      <x:c r="G41" s="18" t="n">
        <x:v>4</x:v>
      </x:c>
      <x:c r="H41" s="21" t="str">
        <x:v>Exceeds expectations. Loan production, competency evidence, and quarterly discussion were considered.</x:v>
      </x:c>
      <x:c r="I41" s="20" t="n">
        <x:v>45921.5</x:v>
      </x:c>
      <x:c r="J41" s="20" t="n">
        <x:v>45923.5</x:v>
      </x:c>
    </x:row>
    <x:row r="42" ht="24" hidden="0" customHeight="1">
      <x:c r="A42" s="18" t="str">
        <x:v>REV0041</x:v>
      </x:c>
      <x:c r="B42" s="18" t="str">
        <x:v>EMP011</x:v>
      </x:c>
      <x:c r="C42" s="18" t="str">
        <x:v>CY2025Q3</x:v>
      </x:c>
      <x:c r="D42" s="18" t="str">
        <x:v>MGR004</x:v>
      </x:c>
      <x:c r="E42" s="18" t="str">
        <x:v>BR004</x:v>
      </x:c>
      <x:c r="F42" s="18" t="str">
        <x:v>Completed</x:v>
      </x:c>
      <x:c r="G42" s="18" t="n">
        <x:v>3</x:v>
      </x:c>
      <x:c r="H42" s="21" t="str">
        <x:v>Meets expectations. Loan production, competency evidence, and quarterly discussion were considered.</x:v>
      </x:c>
      <x:c r="I42" s="20" t="n">
        <x:v>45922.5</x:v>
      </x:c>
      <x:c r="J42" s="20" t="n">
        <x:v>45924.5</x:v>
      </x:c>
    </x:row>
    <x:row r="43" ht="24" hidden="0" customHeight="1">
      <x:c r="A43" s="18" t="str">
        <x:v>REV0042</x:v>
      </x:c>
      <x:c r="B43" s="18" t="str">
        <x:v>EMP012</x:v>
      </x:c>
      <x:c r="C43" s="18" t="str">
        <x:v>CY2025Q3</x:v>
      </x:c>
      <x:c r="D43" s="18" t="str">
        <x:v>MGR005</x:v>
      </x:c>
      <x:c r="E43" s="18" t="str">
        <x:v>BR005</x:v>
      </x:c>
      <x:c r="F43" s="18" t="str">
        <x:v>Completed</x:v>
      </x:c>
      <x:c r="G43" s="18" t="n">
        <x:v>2</x:v>
      </x:c>
      <x:c r="H43" s="21" t="str">
        <x:v>Partially meets expectations. Loan production, competency evidence, and quarterly discussion were considered.</x:v>
      </x:c>
      <x:c r="I43" s="20" t="n">
        <x:v>45923.5</x:v>
      </x:c>
      <x:c r="J43" s="20" t="n">
        <x:v>45925.5</x:v>
      </x:c>
    </x:row>
    <x:row r="44" ht="24" hidden="0" customHeight="1">
      <x:c r="A44" s="18" t="str">
        <x:v>REV0043</x:v>
      </x:c>
      <x:c r="B44" s="18" t="str">
        <x:v>EMP013</x:v>
      </x:c>
      <x:c r="C44" s="18" t="str">
        <x:v>CY2025Q3</x:v>
      </x:c>
      <x:c r="D44" s="18" t="str">
        <x:v>MGR005</x:v>
      </x:c>
      <x:c r="E44" s="18" t="str">
        <x:v>BR005</x:v>
      </x:c>
      <x:c r="F44" s="18" t="str">
        <x:v>Completed</x:v>
      </x:c>
      <x:c r="G44" s="18" t="n">
        <x:v>3</x:v>
      </x:c>
      <x:c r="H44" s="21" t="str">
        <x:v>Meets expectations. Loan production, competency evidence, and quarterly discussion were considered.</x:v>
      </x:c>
      <x:c r="I44" s="20" t="n">
        <x:v>45912.5</x:v>
      </x:c>
      <x:c r="J44" s="20" t="n">
        <x:v>45914.5</x:v>
      </x:c>
    </x:row>
    <x:row r="45" ht="24" hidden="0" customHeight="1">
      <x:c r="A45" s="18" t="str">
        <x:v>REV0044</x:v>
      </x:c>
      <x:c r="B45" s="18" t="str">
        <x:v>EMP014</x:v>
      </x:c>
      <x:c r="C45" s="18" t="str">
        <x:v>CY2025Q3</x:v>
      </x:c>
      <x:c r="D45" s="18" t="str">
        <x:v>MGR006</x:v>
      </x:c>
      <x:c r="E45" s="18" t="str">
        <x:v>BR006</x:v>
      </x:c>
      <x:c r="F45" s="18" t="str">
        <x:v>Completed</x:v>
      </x:c>
      <x:c r="G45" s="18" t="n">
        <x:v>3</x:v>
      </x:c>
      <x:c r="H45" s="21" t="str">
        <x:v>Meets expectations. Loan production, competency evidence, and quarterly discussion were considered.</x:v>
      </x:c>
      <x:c r="I45" s="20" t="n">
        <x:v>45913.5</x:v>
      </x:c>
      <x:c r="J45" s="20" t="n">
        <x:v>45915.5</x:v>
      </x:c>
    </x:row>
    <x:row r="46" ht="24" hidden="0" customHeight="1">
      <x:c r="A46" s="18" t="str">
        <x:v>REV0045</x:v>
      </x:c>
      <x:c r="B46" s="18" t="str">
        <x:v>EMP015</x:v>
      </x:c>
      <x:c r="C46" s="18" t="str">
        <x:v>CY2025Q3</x:v>
      </x:c>
      <x:c r="D46" s="18" t="str">
        <x:v>MGR006</x:v>
      </x:c>
      <x:c r="E46" s="18" t="str">
        <x:v>BR006</x:v>
      </x:c>
      <x:c r="F46" s="18" t="str">
        <x:v>Completed</x:v>
      </x:c>
      <x:c r="G46" s="18" t="n">
        <x:v>1</x:v>
      </x:c>
      <x:c r="H46" s="21" t="str">
        <x:v>Improvement required. Loan production, competency evidence, and quarterly discussion were considered.</x:v>
      </x:c>
      <x:c r="I46" s="20" t="n">
        <x:v>45914.5</x:v>
      </x:c>
      <x:c r="J46" s="20" t="n">
        <x:v>45916.5</x:v>
      </x:c>
    </x:row>
    <x:row r="47" ht="24" hidden="0" customHeight="1">
      <x:c r="A47" s="18" t="str">
        <x:v>REV0046</x:v>
      </x:c>
      <x:c r="B47" s="18" t="str">
        <x:v>EMP001</x:v>
      </x:c>
      <x:c r="C47" s="18" t="str">
        <x:v>CY2025Q4</x:v>
      </x:c>
      <x:c r="D47" s="18" t="str">
        <x:v>MGR001</x:v>
      </x:c>
      <x:c r="E47" s="18" t="str">
        <x:v>BR001</x:v>
      </x:c>
      <x:c r="F47" s="18" t="str">
        <x:v>Completed</x:v>
      </x:c>
      <x:c r="G47" s="18" t="n">
        <x:v>5</x:v>
      </x:c>
      <x:c r="H47" s="21" t="str">
        <x:v>Significantly exceeds expectations. Loan production, competency evidence, and quarterly discussion were considered.</x:v>
      </x:c>
      <x:c r="I47" s="20" t="n">
        <x:v>46004.5</x:v>
      </x:c>
      <x:c r="J47" s="20" t="n">
        <x:v>46006.5</x:v>
      </x:c>
    </x:row>
    <x:row r="48" ht="24" hidden="0" customHeight="1">
      <x:c r="A48" s="18" t="str">
        <x:v>REV0047</x:v>
      </x:c>
      <x:c r="B48" s="18" t="str">
        <x:v>EMP002</x:v>
      </x:c>
      <x:c r="C48" s="18" t="str">
        <x:v>CY2025Q4</x:v>
      </x:c>
      <x:c r="D48" s="18" t="str">
        <x:v>MGR001</x:v>
      </x:c>
      <x:c r="E48" s="18" t="str">
        <x:v>BR001</x:v>
      </x:c>
      <x:c r="F48" s="18" t="str">
        <x:v>Completed</x:v>
      </x:c>
      <x:c r="G48" s="18" t="n">
        <x:v>3</x:v>
      </x:c>
      <x:c r="H48" s="21" t="str">
        <x:v>Meets expectations. Loan production, competency evidence, and quarterly discussion were considered.</x:v>
      </x:c>
      <x:c r="I48" s="20" t="n">
        <x:v>46005.5</x:v>
      </x:c>
      <x:c r="J48" s="20" t="n">
        <x:v>46007.5</x:v>
      </x:c>
    </x:row>
    <x:row r="49" ht="24" hidden="0" customHeight="1">
      <x:c r="A49" s="18" t="str">
        <x:v>REV0048</x:v>
      </x:c>
      <x:c r="B49" s="18" t="str">
        <x:v>EMP003</x:v>
      </x:c>
      <x:c r="C49" s="18" t="str">
        <x:v>CY2025Q4</x:v>
      </x:c>
      <x:c r="D49" s="18" t="str">
        <x:v>MGR001</x:v>
      </x:c>
      <x:c r="E49" s="18" t="str">
        <x:v>BR001</x:v>
      </x:c>
      <x:c r="F49" s="18" t="str">
        <x:v>Completed</x:v>
      </x:c>
      <x:c r="G49" s="18" t="n">
        <x:v>4</x:v>
      </x:c>
      <x:c r="H49" s="21" t="str">
        <x:v>Exceeds expectations. Loan production, competency evidence, and quarterly discussion were considered.</x:v>
      </x:c>
      <x:c r="I49" s="20" t="n">
        <x:v>46006.5</x:v>
      </x:c>
      <x:c r="J49" s="20" t="n">
        <x:v>46008.5</x:v>
      </x:c>
    </x:row>
    <x:row r="50" ht="24" hidden="0" customHeight="1">
      <x:c r="A50" s="18" t="str">
        <x:v>REV0049</x:v>
      </x:c>
      <x:c r="B50" s="18" t="str">
        <x:v>EMP004</x:v>
      </x:c>
      <x:c r="C50" s="18" t="str">
        <x:v>CY2025Q4</x:v>
      </x:c>
      <x:c r="D50" s="18" t="str">
        <x:v>MGR002</x:v>
      </x:c>
      <x:c r="E50" s="18" t="str">
        <x:v>BR002</x:v>
      </x:c>
      <x:c r="F50" s="18" t="str">
        <x:v>Completed</x:v>
      </x:c>
      <x:c r="G50" s="18" t="n">
        <x:v>2</x:v>
      </x:c>
      <x:c r="H50" s="21" t="str">
        <x:v>Partially meets expectations. Loan production, competency evidence, and quarterly discussion were considered.</x:v>
      </x:c>
      <x:c r="I50" s="20" t="n">
        <x:v>46007.5</x:v>
      </x:c>
      <x:c r="J50" s="20" t="n">
        <x:v>46009.5</x:v>
      </x:c>
    </x:row>
    <x:row r="51" ht="24" hidden="0" customHeight="1">
      <x:c r="A51" s="18" t="str">
        <x:v>REV0050</x:v>
      </x:c>
      <x:c r="B51" s="18" t="str">
        <x:v>EMP005</x:v>
      </x:c>
      <x:c r="C51" s="18" t="str">
        <x:v>CY2025Q4</x:v>
      </x:c>
      <x:c r="D51" s="18" t="str">
        <x:v>MGR002</x:v>
      </x:c>
      <x:c r="E51" s="18" t="str">
        <x:v>BR002</x:v>
      </x:c>
      <x:c r="F51" s="18" t="str">
        <x:v>Completed</x:v>
      </x:c>
      <x:c r="G51" s="18" t="n">
        <x:v>4</x:v>
      </x:c>
      <x:c r="H51" s="21" t="str">
        <x:v>Exceeds expectations. Loan production, competency evidence, and quarterly discussion were considered.</x:v>
      </x:c>
      <x:c r="I51" s="20" t="n">
        <x:v>46008.5</x:v>
      </x:c>
      <x:c r="J51" s="20" t="n">
        <x:v>46010.5</x:v>
      </x:c>
    </x:row>
    <x:row r="52" ht="24" hidden="0" customHeight="1">
      <x:c r="A52" s="18" t="str">
        <x:v>REV0051</x:v>
      </x:c>
      <x:c r="B52" s="18" t="str">
        <x:v>EMP006</x:v>
      </x:c>
      <x:c r="C52" s="18" t="str">
        <x:v>CY2025Q4</x:v>
      </x:c>
      <x:c r="D52" s="18" t="str">
        <x:v>MGR002</x:v>
      </x:c>
      <x:c r="E52" s="18" t="str">
        <x:v>BR002</x:v>
      </x:c>
      <x:c r="F52" s="18" t="str">
        <x:v>Completed</x:v>
      </x:c>
      <x:c r="G52" s="18" t="n">
        <x:v>3</x:v>
      </x:c>
      <x:c r="H52" s="21" t="str">
        <x:v>Meets expectations. Loan production, competency evidence, and quarterly discussion were considered.</x:v>
      </x:c>
      <x:c r="I52" s="20" t="n">
        <x:v>46009.5</x:v>
      </x:c>
      <x:c r="J52" s="20" t="n">
        <x:v>46011.5</x:v>
      </x:c>
    </x:row>
    <x:row r="53" ht="24" hidden="0" customHeight="1">
      <x:c r="A53" s="18" t="str">
        <x:v>REV0052</x:v>
      </x:c>
      <x:c r="B53" s="18" t="str">
        <x:v>EMP007</x:v>
      </x:c>
      <x:c r="C53" s="18" t="str">
        <x:v>CY2025Q4</x:v>
      </x:c>
      <x:c r="D53" s="18" t="str">
        <x:v>MGR003</x:v>
      </x:c>
      <x:c r="E53" s="18" t="str">
        <x:v>BR003</x:v>
      </x:c>
      <x:c r="F53" s="18" t="str">
        <x:v>Completed</x:v>
      </x:c>
      <x:c r="G53" s="18" t="n">
        <x:v>2</x:v>
      </x:c>
      <x:c r="H53" s="21" t="str">
        <x:v>Partially meets expectations. Loan production, competency evidence, and quarterly discussion were considered.</x:v>
      </x:c>
      <x:c r="I53" s="20" t="n">
        <x:v>46010.5</x:v>
      </x:c>
      <x:c r="J53" s="20" t="n">
        <x:v>46012.5</x:v>
      </x:c>
    </x:row>
    <x:row r="54" ht="24" hidden="0" customHeight="1">
      <x:c r="A54" s="18" t="str">
        <x:v>REV0053</x:v>
      </x:c>
      <x:c r="B54" s="18" t="str">
        <x:v>EMP008</x:v>
      </x:c>
      <x:c r="C54" s="18" t="str">
        <x:v>CY2025Q4</x:v>
      </x:c>
      <x:c r="D54" s="18" t="str">
        <x:v>MGR003</x:v>
      </x:c>
      <x:c r="E54" s="18" t="str">
        <x:v>BR003</x:v>
      </x:c>
      <x:c r="F54" s="18" t="str">
        <x:v>Completed</x:v>
      </x:c>
      <x:c r="G54" s="18" t="n">
        <x:v>1</x:v>
      </x:c>
      <x:c r="H54" s="21" t="str">
        <x:v>Improvement required. Loan production, competency evidence, and quarterly discussion were considered.</x:v>
      </x:c>
      <x:c r="I54" s="20" t="n">
        <x:v>46011.5</x:v>
      </x:c>
      <x:c r="J54" s="20" t="n">
        <x:v>46013.5</x:v>
      </x:c>
    </x:row>
    <x:row r="55" ht="24" hidden="0" customHeight="1">
      <x:c r="A55" s="18" t="str">
        <x:v>REV0054</x:v>
      </x:c>
      <x:c r="B55" s="18" t="str">
        <x:v>EMP009</x:v>
      </x:c>
      <x:c r="C55" s="18" t="str">
        <x:v>CY2025Q4</x:v>
      </x:c>
      <x:c r="D55" s="18" t="str">
        <x:v>MGR004</x:v>
      </x:c>
      <x:c r="E55" s="18" t="str">
        <x:v>BR004</x:v>
      </x:c>
      <x:c r="F55" s="18" t="str">
        <x:v>Completed</x:v>
      </x:c>
      <x:c r="G55" s="18" t="n">
        <x:v>5</x:v>
      </x:c>
      <x:c r="H55" s="21" t="str">
        <x:v>Significantly exceeds expectations. Loan production, competency evidence, and quarterly discussion were considered.</x:v>
      </x:c>
      <x:c r="I55" s="20" t="n">
        <x:v>46012.5</x:v>
      </x:c>
      <x:c r="J55" s="20" t="n">
        <x:v>46014.5</x:v>
      </x:c>
    </x:row>
    <x:row r="56" ht="24" hidden="0" customHeight="1">
      <x:c r="A56" s="18" t="str">
        <x:v>REV0055</x:v>
      </x:c>
      <x:c r="B56" s="18" t="str">
        <x:v>EMP010</x:v>
      </x:c>
      <x:c r="C56" s="18" t="str">
        <x:v>CY2025Q4</x:v>
      </x:c>
      <x:c r="D56" s="18" t="str">
        <x:v>MGR004</x:v>
      </x:c>
      <x:c r="E56" s="18" t="str">
        <x:v>BR004</x:v>
      </x:c>
      <x:c r="F56" s="18" t="str">
        <x:v>Completed</x:v>
      </x:c>
      <x:c r="G56" s="18" t="n">
        <x:v>4</x:v>
      </x:c>
      <x:c r="H56" s="21" t="str">
        <x:v>Exceeds expectations. Loan production, competency evidence, and quarterly discussion were considered.</x:v>
      </x:c>
      <x:c r="I56" s="20" t="n">
        <x:v>46013.5</x:v>
      </x:c>
      <x:c r="J56" s="20" t="n">
        <x:v>46015.5</x:v>
      </x:c>
    </x:row>
    <x:row r="57" ht="24" hidden="0" customHeight="1">
      <x:c r="A57" s="18" t="str">
        <x:v>REV0056</x:v>
      </x:c>
      <x:c r="B57" s="18" t="str">
        <x:v>EMP011</x:v>
      </x:c>
      <x:c r="C57" s="18" t="str">
        <x:v>CY2025Q4</x:v>
      </x:c>
      <x:c r="D57" s="18" t="str">
        <x:v>MGR004</x:v>
      </x:c>
      <x:c r="E57" s="18" t="str">
        <x:v>BR004</x:v>
      </x:c>
      <x:c r="F57" s="18" t="str">
        <x:v>Completed</x:v>
      </x:c>
      <x:c r="G57" s="18" t="n">
        <x:v>3</x:v>
      </x:c>
      <x:c r="H57" s="21" t="str">
        <x:v>Meets expectations. Loan production, competency evidence, and quarterly discussion were considered.</x:v>
      </x:c>
      <x:c r="I57" s="20" t="n">
        <x:v>46014.5</x:v>
      </x:c>
      <x:c r="J57" s="20" t="n">
        <x:v>46016.5</x:v>
      </x:c>
    </x:row>
    <x:row r="58" ht="24" hidden="0" customHeight="1">
      <x:c r="A58" s="18" t="str">
        <x:v>REV0057</x:v>
      </x:c>
      <x:c r="B58" s="18" t="str">
        <x:v>EMP012</x:v>
      </x:c>
      <x:c r="C58" s="18" t="str">
        <x:v>CY2025Q4</x:v>
      </x:c>
      <x:c r="D58" s="18" t="str">
        <x:v>MGR005</x:v>
      </x:c>
      <x:c r="E58" s="18" t="str">
        <x:v>BR005</x:v>
      </x:c>
      <x:c r="F58" s="18" t="str">
        <x:v>Completed</x:v>
      </x:c>
      <x:c r="G58" s="18" t="n">
        <x:v>2</x:v>
      </x:c>
      <x:c r="H58" s="21" t="str">
        <x:v>Partially meets expectations. Loan production, competency evidence, and quarterly discussion were considered.</x:v>
      </x:c>
      <x:c r="I58" s="20" t="n">
        <x:v>46015.5</x:v>
      </x:c>
      <x:c r="J58" s="20" t="n">
        <x:v>46017.5</x:v>
      </x:c>
    </x:row>
    <x:row r="59" ht="24" hidden="0" customHeight="1">
      <x:c r="A59" s="18" t="str">
        <x:v>REV0058</x:v>
      </x:c>
      <x:c r="B59" s="18" t="str">
        <x:v>EMP013</x:v>
      </x:c>
      <x:c r="C59" s="18" t="str">
        <x:v>CY2025Q4</x:v>
      </x:c>
      <x:c r="D59" s="18" t="str">
        <x:v>MGR005</x:v>
      </x:c>
      <x:c r="E59" s="18" t="str">
        <x:v>BR005</x:v>
      </x:c>
      <x:c r="F59" s="18" t="str">
        <x:v>Completed</x:v>
      </x:c>
      <x:c r="G59" s="18" t="n">
        <x:v>4</x:v>
      </x:c>
      <x:c r="H59" s="21" t="str">
        <x:v>Exceeds expectations. Loan production, competency evidence, and quarterly discussion were considered.</x:v>
      </x:c>
      <x:c r="I59" s="20" t="n">
        <x:v>46004.5</x:v>
      </x:c>
      <x:c r="J59" s="20" t="n">
        <x:v>46006.5</x:v>
      </x:c>
    </x:row>
    <x:row r="60" ht="24" hidden="0" customHeight="1">
      <x:c r="A60" s="18" t="str">
        <x:v>REV0059</x:v>
      </x:c>
      <x:c r="B60" s="18" t="str">
        <x:v>EMP014</x:v>
      </x:c>
      <x:c r="C60" s="18" t="str">
        <x:v>CY2025Q4</x:v>
      </x:c>
      <x:c r="D60" s="18" t="str">
        <x:v>MGR006</x:v>
      </x:c>
      <x:c r="E60" s="18" t="str">
        <x:v>BR006</x:v>
      </x:c>
      <x:c r="F60" s="18" t="str">
        <x:v>Completed</x:v>
      </x:c>
      <x:c r="G60" s="18" t="n">
        <x:v>3</x:v>
      </x:c>
      <x:c r="H60" s="21" t="str">
        <x:v>Meets expectations. Loan production, competency evidence, and quarterly discussion were considered.</x:v>
      </x:c>
      <x:c r="I60" s="20" t="n">
        <x:v>46005.5</x:v>
      </x:c>
      <x:c r="J60" s="20" t="n">
        <x:v>46007.5</x:v>
      </x:c>
    </x:row>
    <x:row r="61" ht="24" hidden="0" customHeight="1">
      <x:c r="A61" s="18" t="str">
        <x:v>REV0060</x:v>
      </x:c>
      <x:c r="B61" s="18" t="str">
        <x:v>EMP015</x:v>
      </x:c>
      <x:c r="C61" s="18" t="str">
        <x:v>CY2025Q4</x:v>
      </x:c>
      <x:c r="D61" s="18" t="str">
        <x:v>MGR006</x:v>
      </x:c>
      <x:c r="E61" s="18" t="str">
        <x:v>BR006</x:v>
      </x:c>
      <x:c r="F61" s="18" t="str">
        <x:v>Completed</x:v>
      </x:c>
      <x:c r="G61" s="18" t="n">
        <x:v>1</x:v>
      </x:c>
      <x:c r="H61" s="21" t="str">
        <x:v>Improvement required. Loan production, competency evidence, and quarterly discussion were considered.</x:v>
      </x:c>
      <x:c r="I61" s="20" t="n">
        <x:v>46006.5</x:v>
      </x:c>
      <x:c r="J61" s="20" t="n">
        <x:v>46008.5</x:v>
      </x:c>
    </x:row>
    <x:row r="62" ht="24" hidden="0" customHeight="1">
      <x:c r="A62" s="18" t="str">
        <x:v>REV0061</x:v>
      </x:c>
      <x:c r="B62" s="18" t="str">
        <x:v>EMP001</x:v>
      </x:c>
      <x:c r="C62" s="18" t="str">
        <x:v>CY2026Q1</x:v>
      </x:c>
      <x:c r="D62" s="18" t="str">
        <x:v>MGR001</x:v>
      </x:c>
      <x:c r="E62" s="18" t="str">
        <x:v>BR001</x:v>
      </x:c>
      <x:c r="F62" s="18" t="str">
        <x:v>Completed</x:v>
      </x:c>
      <x:c r="G62" s="18" t="n">
        <x:v>5</x:v>
      </x:c>
      <x:c r="H62" s="21" t="str">
        <x:v>Significantly exceeds expectations. Loan production, competency evidence, and quarterly discussion were considered.</x:v>
      </x:c>
      <x:c r="I62" s="20" t="n">
        <x:v>46094.5</x:v>
      </x:c>
      <x:c r="J62" s="20" t="n">
        <x:v>46096.5</x:v>
      </x:c>
    </x:row>
    <x:row r="63" ht="24" hidden="0" customHeight="1">
      <x:c r="A63" s="18" t="str">
        <x:v>REV0062</x:v>
      </x:c>
      <x:c r="B63" s="18" t="str">
        <x:v>EMP002</x:v>
      </x:c>
      <x:c r="C63" s="18" t="str">
        <x:v>CY2026Q1</x:v>
      </x:c>
      <x:c r="D63" s="18" t="str">
        <x:v>MGR001</x:v>
      </x:c>
      <x:c r="E63" s="18" t="str">
        <x:v>BR001</x:v>
      </x:c>
      <x:c r="F63" s="18" t="str">
        <x:v>Completed</x:v>
      </x:c>
      <x:c r="G63" s="18" t="n">
        <x:v>4</x:v>
      </x:c>
      <x:c r="H63" s="21" t="str">
        <x:v>Exceeds expectations. Loan production, competency evidence, and quarterly discussion were considered.</x:v>
      </x:c>
      <x:c r="I63" s="20" t="n">
        <x:v>46095.5</x:v>
      </x:c>
      <x:c r="J63" s="20" t="n">
        <x:v>46097.5</x:v>
      </x:c>
    </x:row>
    <x:row r="64" ht="24" hidden="0" customHeight="1">
      <x:c r="A64" s="18" t="str">
        <x:v>REV0063</x:v>
      </x:c>
      <x:c r="B64" s="18" t="str">
        <x:v>EMP003</x:v>
      </x:c>
      <x:c r="C64" s="18" t="str">
        <x:v>CY2026Q1</x:v>
      </x:c>
      <x:c r="D64" s="18" t="str">
        <x:v>MGR001</x:v>
      </x:c>
      <x:c r="E64" s="18" t="str">
        <x:v>BR001</x:v>
      </x:c>
      <x:c r="F64" s="18" t="str">
        <x:v>Completed</x:v>
      </x:c>
      <x:c r="G64" s="18" t="n">
        <x:v>3</x:v>
      </x:c>
      <x:c r="H64" s="21" t="str">
        <x:v>Meets expectations. Loan production, competency evidence, and quarterly discussion were considered.</x:v>
      </x:c>
      <x:c r="I64" s="20" t="n">
        <x:v>46096.5</x:v>
      </x:c>
      <x:c r="J64" s="20" t="n">
        <x:v>46098.5</x:v>
      </x:c>
    </x:row>
    <x:row r="65" ht="24" hidden="0" customHeight="1">
      <x:c r="A65" s="18" t="str">
        <x:v>REV0064</x:v>
      </x:c>
      <x:c r="B65" s="18" t="str">
        <x:v>EMP004</x:v>
      </x:c>
      <x:c r="C65" s="18" t="str">
        <x:v>CY2026Q1</x:v>
      </x:c>
      <x:c r="D65" s="18" t="str">
        <x:v>MGR002</x:v>
      </x:c>
      <x:c r="E65" s="18" t="str">
        <x:v>BR002</x:v>
      </x:c>
      <x:c r="F65" s="18" t="str">
        <x:v>Completed</x:v>
      </x:c>
      <x:c r="G65" s="18" t="n">
        <x:v>2</x:v>
      </x:c>
      <x:c r="H65" s="21" t="str">
        <x:v>Partially meets expectations. Loan production, competency evidence, and quarterly discussion were considered.</x:v>
      </x:c>
      <x:c r="I65" s="20" t="n">
        <x:v>46097.5</x:v>
      </x:c>
      <x:c r="J65" s="20" t="n">
        <x:v>46099.5</x:v>
      </x:c>
    </x:row>
    <x:row r="66" ht="24" hidden="0" customHeight="1">
      <x:c r="A66" s="18" t="str">
        <x:v>REV0065</x:v>
      </x:c>
      <x:c r="B66" s="18" t="str">
        <x:v>EMP005</x:v>
      </x:c>
      <x:c r="C66" s="18" t="str">
        <x:v>CY2026Q1</x:v>
      </x:c>
      <x:c r="D66" s="18" t="str">
        <x:v>MGR002</x:v>
      </x:c>
      <x:c r="E66" s="18" t="str">
        <x:v>BR002</x:v>
      </x:c>
      <x:c r="F66" s="18" t="str">
        <x:v>Completed</x:v>
      </x:c>
      <x:c r="G66" s="18" t="n">
        <x:v>3</x:v>
      </x:c>
      <x:c r="H66" s="21" t="str">
        <x:v>Meets expectations. Loan production, competency evidence, and quarterly discussion were considered.</x:v>
      </x:c>
      <x:c r="I66" s="20" t="n">
        <x:v>46098.5</x:v>
      </x:c>
      <x:c r="J66" s="20" t="n">
        <x:v>46100.5</x:v>
      </x:c>
    </x:row>
    <x:row r="67" ht="24" hidden="0" customHeight="1">
      <x:c r="A67" s="18" t="str">
        <x:v>REV0066</x:v>
      </x:c>
      <x:c r="B67" s="18" t="str">
        <x:v>EMP006</x:v>
      </x:c>
      <x:c r="C67" s="18" t="str">
        <x:v>CY2026Q1</x:v>
      </x:c>
      <x:c r="D67" s="18" t="str">
        <x:v>MGR002</x:v>
      </x:c>
      <x:c r="E67" s="18" t="str">
        <x:v>BR002</x:v>
      </x:c>
      <x:c r="F67" s="18" t="str">
        <x:v>Completed</x:v>
      </x:c>
      <x:c r="G67" s="18" t="n">
        <x:v>3</x:v>
      </x:c>
      <x:c r="H67" s="21" t="str">
        <x:v>Meets expectations. Loan production, competency evidence, and quarterly discussion were considered.</x:v>
      </x:c>
      <x:c r="I67" s="20" t="n">
        <x:v>46099.5</x:v>
      </x:c>
      <x:c r="J67" s="20" t="n">
        <x:v>46101.5</x:v>
      </x:c>
    </x:row>
    <x:row r="68" ht="24" hidden="0" customHeight="1">
      <x:c r="A68" s="18" t="str">
        <x:v>REV0067</x:v>
      </x:c>
      <x:c r="B68" s="18" t="str">
        <x:v>EMP007</x:v>
      </x:c>
      <x:c r="C68" s="18" t="str">
        <x:v>CY2026Q1</x:v>
      </x:c>
      <x:c r="D68" s="18" t="str">
        <x:v>MGR003</x:v>
      </x:c>
      <x:c r="E68" s="18" t="str">
        <x:v>BR003</x:v>
      </x:c>
      <x:c r="F68" s="18" t="str">
        <x:v>Completed</x:v>
      </x:c>
      <x:c r="G68" s="18" t="n">
        <x:v>2</x:v>
      </x:c>
      <x:c r="H68" s="21" t="str">
        <x:v>Partially meets expectations. Loan production, competency evidence, and quarterly discussion were considered.</x:v>
      </x:c>
      <x:c r="I68" s="20" t="n">
        <x:v>46100.5</x:v>
      </x:c>
      <x:c r="J68" s="20" t="n">
        <x:v>46102.5</x:v>
      </x:c>
    </x:row>
    <x:row r="69" ht="24" hidden="0" customHeight="1">
      <x:c r="A69" s="18" t="str">
        <x:v>REV0068</x:v>
      </x:c>
      <x:c r="B69" s="18" t="str">
        <x:v>EMP008</x:v>
      </x:c>
      <x:c r="C69" s="18" t="str">
        <x:v>CY2026Q1</x:v>
      </x:c>
      <x:c r="D69" s="18" t="str">
        <x:v>MGR003</x:v>
      </x:c>
      <x:c r="E69" s="18" t="str">
        <x:v>BR003</x:v>
      </x:c>
      <x:c r="F69" s="18" t="str">
        <x:v>Completed</x:v>
      </x:c>
      <x:c r="G69" s="18" t="n">
        <x:v>1</x:v>
      </x:c>
      <x:c r="H69" s="21" t="str">
        <x:v>Improvement required. Loan production, competency evidence, and quarterly discussion were considered.</x:v>
      </x:c>
      <x:c r="I69" s="20" t="n">
        <x:v>46101.5</x:v>
      </x:c>
      <x:c r="J69" s="20" t="n">
        <x:v>46103.5</x:v>
      </x:c>
    </x:row>
    <x:row r="70" ht="24" hidden="0" customHeight="1">
      <x:c r="A70" s="18" t="str">
        <x:v>REV0069</x:v>
      </x:c>
      <x:c r="B70" s="18" t="str">
        <x:v>EMP009</x:v>
      </x:c>
      <x:c r="C70" s="18" t="str">
        <x:v>CY2026Q1</x:v>
      </x:c>
      <x:c r="D70" s="18" t="str">
        <x:v>MGR004</x:v>
      </x:c>
      <x:c r="E70" s="18" t="str">
        <x:v>BR004</x:v>
      </x:c>
      <x:c r="F70" s="18" t="str">
        <x:v>Completed</x:v>
      </x:c>
      <x:c r="G70" s="18" t="n">
        <x:v>5</x:v>
      </x:c>
      <x:c r="H70" s="21" t="str">
        <x:v>Significantly exceeds expectations. Loan production, competency evidence, and quarterly discussion were considered.</x:v>
      </x:c>
      <x:c r="I70" s="20" t="n">
        <x:v>46102.5</x:v>
      </x:c>
      <x:c r="J70" s="20" t="n">
        <x:v>46104.5</x:v>
      </x:c>
    </x:row>
    <x:row r="71" ht="24" hidden="0" customHeight="1">
      <x:c r="A71" s="18" t="str">
        <x:v>REV0070</x:v>
      </x:c>
      <x:c r="B71" s="18" t="str">
        <x:v>EMP010</x:v>
      </x:c>
      <x:c r="C71" s="18" t="str">
        <x:v>CY2026Q1</x:v>
      </x:c>
      <x:c r="D71" s="18" t="str">
        <x:v>MGR004</x:v>
      </x:c>
      <x:c r="E71" s="18" t="str">
        <x:v>BR004</x:v>
      </x:c>
      <x:c r="F71" s="18" t="str">
        <x:v>Completed</x:v>
      </x:c>
      <x:c r="G71" s="18" t="n">
        <x:v>4</x:v>
      </x:c>
      <x:c r="H71" s="21" t="str">
        <x:v>Exceeds expectations. Loan production, competency evidence, and quarterly discussion were considered.</x:v>
      </x:c>
      <x:c r="I71" s="20" t="n">
        <x:v>46103.5</x:v>
      </x:c>
      <x:c r="J71" s="20" t="n">
        <x:v>46105.5</x:v>
      </x:c>
    </x:row>
    <x:row r="72" ht="24" hidden="0" customHeight="1">
      <x:c r="A72" s="18" t="str">
        <x:v>REV0071</x:v>
      </x:c>
      <x:c r="B72" s="18" t="str">
        <x:v>EMP011</x:v>
      </x:c>
      <x:c r="C72" s="18" t="str">
        <x:v>CY2026Q1</x:v>
      </x:c>
      <x:c r="D72" s="18" t="str">
        <x:v>MGR004</x:v>
      </x:c>
      <x:c r="E72" s="18" t="str">
        <x:v>BR004</x:v>
      </x:c>
      <x:c r="F72" s="18" t="str">
        <x:v>Completed</x:v>
      </x:c>
      <x:c r="G72" s="18" t="n">
        <x:v>3</x:v>
      </x:c>
      <x:c r="H72" s="21" t="str">
        <x:v>Meets expectations. Loan production, competency evidence, and quarterly discussion were considered.</x:v>
      </x:c>
      <x:c r="I72" s="20" t="n">
        <x:v>46104.5</x:v>
      </x:c>
      <x:c r="J72" s="20" t="n">
        <x:v>46106.5</x:v>
      </x:c>
    </x:row>
    <x:row r="73" ht="24" hidden="0" customHeight="1">
      <x:c r="A73" s="18" t="str">
        <x:v>REV0072</x:v>
      </x:c>
      <x:c r="B73" s="18" t="str">
        <x:v>EMP012</x:v>
      </x:c>
      <x:c r="C73" s="18" t="str">
        <x:v>CY2026Q1</x:v>
      </x:c>
      <x:c r="D73" s="18" t="str">
        <x:v>MGR005</x:v>
      </x:c>
      <x:c r="E73" s="18" t="str">
        <x:v>BR005</x:v>
      </x:c>
      <x:c r="F73" s="18" t="str">
        <x:v>Completed</x:v>
      </x:c>
      <x:c r="G73" s="18" t="n">
        <x:v>2</x:v>
      </x:c>
      <x:c r="H73" s="21" t="str">
        <x:v>Partially meets expectations. Loan production, competency evidence, and quarterly discussion were considered.</x:v>
      </x:c>
      <x:c r="I73" s="20" t="n">
        <x:v>46105.5</x:v>
      </x:c>
      <x:c r="J73" s="20" t="n">
        <x:v>46107.5</x:v>
      </x:c>
    </x:row>
    <x:row r="74" ht="24" hidden="0" customHeight="1">
      <x:c r="A74" s="18" t="str">
        <x:v>REV0073</x:v>
      </x:c>
      <x:c r="B74" s="18" t="str">
        <x:v>EMP013</x:v>
      </x:c>
      <x:c r="C74" s="18" t="str">
        <x:v>CY2026Q1</x:v>
      </x:c>
      <x:c r="D74" s="18" t="str">
        <x:v>MGR005</x:v>
      </x:c>
      <x:c r="E74" s="18" t="str">
        <x:v>BR005</x:v>
      </x:c>
      <x:c r="F74" s="18" t="str">
        <x:v>Completed</x:v>
      </x:c>
      <x:c r="G74" s="18" t="n">
        <x:v>4</x:v>
      </x:c>
      <x:c r="H74" s="21" t="str">
        <x:v>Exceeds expectations. Loan production, competency evidence, and quarterly discussion were considered.</x:v>
      </x:c>
      <x:c r="I74" s="20" t="n">
        <x:v>46094.5</x:v>
      </x:c>
      <x:c r="J74" s="20" t="n">
        <x:v>46096.5</x:v>
      </x:c>
    </x:row>
    <x:row r="75" ht="24" hidden="0" customHeight="1">
      <x:c r="A75" s="18" t="str">
        <x:v>REV0074</x:v>
      </x:c>
      <x:c r="B75" s="18" t="str">
        <x:v>EMP014</x:v>
      </x:c>
      <x:c r="C75" s="18" t="str">
        <x:v>CY2026Q1</x:v>
      </x:c>
      <x:c r="D75" s="18" t="str">
        <x:v>MGR006</x:v>
      </x:c>
      <x:c r="E75" s="18" t="str">
        <x:v>BR006</x:v>
      </x:c>
      <x:c r="F75" s="18" t="str">
        <x:v>Completed</x:v>
      </x:c>
      <x:c r="G75" s="18" t="n">
        <x:v>4</x:v>
      </x:c>
      <x:c r="H75" s="21" t="str">
        <x:v>Exceeds expectations. Loan production, competency evidence, and quarterly discussion were considered.</x:v>
      </x:c>
      <x:c r="I75" s="20" t="n">
        <x:v>46095.5</x:v>
      </x:c>
      <x:c r="J75" s="20" t="n">
        <x:v>46097.5</x:v>
      </x:c>
    </x:row>
    <x:row r="76" ht="24" hidden="0" customHeight="1">
      <x:c r="A76" s="18" t="str">
        <x:v>REV0075</x:v>
      </x:c>
      <x:c r="B76" s="18" t="str">
        <x:v>EMP015</x:v>
      </x:c>
      <x:c r="C76" s="18" t="str">
        <x:v>CY2026Q1</x:v>
      </x:c>
      <x:c r="D76" s="18" t="str">
        <x:v>MGR006</x:v>
      </x:c>
      <x:c r="E76" s="18" t="str">
        <x:v>BR006</x:v>
      </x:c>
      <x:c r="F76" s="18" t="str">
        <x:v>Completed</x:v>
      </x:c>
      <x:c r="G76" s="18" t="n">
        <x:v>1</x:v>
      </x:c>
      <x:c r="H76" s="21" t="str">
        <x:v>Improvement required. Loan production, competency evidence, and quarterly discussion were considered.</x:v>
      </x:c>
      <x:c r="I76" s="20" t="n">
        <x:v>46096.5</x:v>
      </x:c>
      <x:c r="J76" s="20" t="n">
        <x:v>46098.5</x:v>
      </x:c>
    </x:row>
    <x:row r="77" ht="24" hidden="0" customHeight="1">
      <x:c r="A77" s="18" t="str">
        <x:v>REV0076</x:v>
      </x:c>
      <x:c r="B77" s="18" t="str">
        <x:v>EMP001</x:v>
      </x:c>
      <x:c r="C77" s="18" t="str">
        <x:v>CY2026Q2</x:v>
      </x:c>
      <x:c r="D77" s="18" t="str">
        <x:v>MGR001</x:v>
      </x:c>
      <x:c r="E77" s="18" t="str">
        <x:v>BR001</x:v>
      </x:c>
      <x:c r="F77" s="18" t="str">
        <x:v>Completed</x:v>
      </x:c>
      <x:c r="G77" s="18" t="n">
        <x:v>5</x:v>
      </x:c>
      <x:c r="H77" s="21" t="str">
        <x:v>Significantly exceeds expectations. Loan production, competency evidence, and quarterly discussion were considered.</x:v>
      </x:c>
      <x:c r="I77" s="20" t="n">
        <x:v>46185.5</x:v>
      </x:c>
      <x:c r="J77" s="20" t="n">
        <x:v>46187.5</x:v>
      </x:c>
    </x:row>
    <x:row r="78" ht="24" hidden="0" customHeight="1">
      <x:c r="A78" s="18" t="str">
        <x:v>REV0077</x:v>
      </x:c>
      <x:c r="B78" s="18" t="str">
        <x:v>EMP002</x:v>
      </x:c>
      <x:c r="C78" s="18" t="str">
        <x:v>CY2026Q2</x:v>
      </x:c>
      <x:c r="D78" s="18" t="str">
        <x:v>MGR001</x:v>
      </x:c>
      <x:c r="E78" s="18" t="str">
        <x:v>BR001</x:v>
      </x:c>
      <x:c r="F78" s="18" t="str">
        <x:v>Completed</x:v>
      </x:c>
      <x:c r="G78" s="18" t="n">
        <x:v>4</x:v>
      </x:c>
      <x:c r="H78" s="21" t="str">
        <x:v>Exceeds expectations. Loan production, competency evidence, and quarterly discussion were considered.</x:v>
      </x:c>
      <x:c r="I78" s="20" t="n">
        <x:v>46186.5</x:v>
      </x:c>
      <x:c r="J78" s="20" t="n">
        <x:v>46188.5</x:v>
      </x:c>
    </x:row>
    <x:row r="79" ht="24" hidden="0" customHeight="1">
      <x:c r="A79" s="18" t="str">
        <x:v>REV0078</x:v>
      </x:c>
      <x:c r="B79" s="18" t="str">
        <x:v>EMP003</x:v>
      </x:c>
      <x:c r="C79" s="18" t="str">
        <x:v>CY2026Q2</x:v>
      </x:c>
      <x:c r="D79" s="18" t="str">
        <x:v>MGR001</x:v>
      </x:c>
      <x:c r="E79" s="18" t="str">
        <x:v>BR001</x:v>
      </x:c>
      <x:c r="F79" s="18" t="str">
        <x:v>Completed</x:v>
      </x:c>
      <x:c r="G79" s="18" t="n">
        <x:v>3</x:v>
      </x:c>
      <x:c r="H79" s="21" t="str">
        <x:v>Meets expectations. Loan production, competency evidence, and quarterly discussion were considered.</x:v>
      </x:c>
      <x:c r="I79" s="20" t="n">
        <x:v>46187.5</x:v>
      </x:c>
      <x:c r="J79" s="20" t="n">
        <x:v>46189.5</x:v>
      </x:c>
    </x:row>
    <x:row r="80" ht="24" hidden="0" customHeight="1">
      <x:c r="A80" s="18" t="str">
        <x:v>REV0079</x:v>
      </x:c>
      <x:c r="B80" s="18" t="str">
        <x:v>EMP004</x:v>
      </x:c>
      <x:c r="C80" s="18" t="str">
        <x:v>CY2026Q2</x:v>
      </x:c>
      <x:c r="D80" s="18" t="str">
        <x:v>MGR002</x:v>
      </x:c>
      <x:c r="E80" s="18" t="str">
        <x:v>BR002</x:v>
      </x:c>
      <x:c r="F80" s="18" t="str">
        <x:v>Completed</x:v>
      </x:c>
      <x:c r="G80" s="18" t="n">
        <x:v>2</x:v>
      </x:c>
      <x:c r="H80" s="21" t="str">
        <x:v>Partially meets expectations. Loan production, competency evidence, and quarterly discussion were considered.</x:v>
      </x:c>
      <x:c r="I80" s="20" t="n">
        <x:v>46188.5</x:v>
      </x:c>
      <x:c r="J80" s="20" t="n">
        <x:v>46190.5</x:v>
      </x:c>
    </x:row>
    <x:row r="81" ht="24" hidden="0" customHeight="1">
      <x:c r="A81" s="18" t="str">
        <x:v>REV0080</x:v>
      </x:c>
      <x:c r="B81" s="18" t="str">
        <x:v>EMP005</x:v>
      </x:c>
      <x:c r="C81" s="18" t="str">
        <x:v>CY2026Q2</x:v>
      </x:c>
      <x:c r="D81" s="18" t="str">
        <x:v>MGR002</x:v>
      </x:c>
      <x:c r="E81" s="18" t="str">
        <x:v>BR002</x:v>
      </x:c>
      <x:c r="F81" s="18" t="str">
        <x:v>Completed</x:v>
      </x:c>
      <x:c r="G81" s="18" t="n">
        <x:v>4</x:v>
      </x:c>
      <x:c r="H81" s="21" t="str">
        <x:v>Exceeds expectations. Loan production, competency evidence, and quarterly discussion were considered.</x:v>
      </x:c>
      <x:c r="I81" s="20" t="n">
        <x:v>46189.5</x:v>
      </x:c>
      <x:c r="J81" s="20" t="n">
        <x:v>46191.5</x:v>
      </x:c>
    </x:row>
    <x:row r="82" ht="24" hidden="0" customHeight="1">
      <x:c r="A82" s="18" t="str">
        <x:v>REV0081</x:v>
      </x:c>
      <x:c r="B82" s="18" t="str">
        <x:v>EMP006</x:v>
      </x:c>
      <x:c r="C82" s="18" t="str">
        <x:v>CY2026Q2</x:v>
      </x:c>
      <x:c r="D82" s="18" t="str">
        <x:v>MGR002</x:v>
      </x:c>
      <x:c r="E82" s="18" t="str">
        <x:v>BR002</x:v>
      </x:c>
      <x:c r="F82" s="18" t="str">
        <x:v>Completed</x:v>
      </x:c>
      <x:c r="G82" s="18" t="n">
        <x:v>3</x:v>
      </x:c>
      <x:c r="H82" s="21" t="str">
        <x:v>Meets expectations. Loan production, competency evidence, and quarterly discussion were considered.</x:v>
      </x:c>
      <x:c r="I82" s="20" t="n">
        <x:v>46190.5</x:v>
      </x:c>
      <x:c r="J82" s="20" t="n">
        <x:v>46192.5</x:v>
      </x:c>
    </x:row>
    <x:row r="83" ht="24" hidden="0" customHeight="1">
      <x:c r="A83" s="18" t="str">
        <x:v>REV0082</x:v>
      </x:c>
      <x:c r="B83" s="18" t="str">
        <x:v>EMP007</x:v>
      </x:c>
      <x:c r="C83" s="18" t="str">
        <x:v>CY2026Q2</x:v>
      </x:c>
      <x:c r="D83" s="18" t="str">
        <x:v>MGR003</x:v>
      </x:c>
      <x:c r="E83" s="18" t="str">
        <x:v>BR003</x:v>
      </x:c>
      <x:c r="F83" s="18" t="str">
        <x:v>Completed</x:v>
      </x:c>
      <x:c r="G83" s="18" t="n">
        <x:v>3</x:v>
      </x:c>
      <x:c r="H83" s="21" t="str">
        <x:v>Meets expectations. Loan production, competency evidence, and quarterly discussion were considered.</x:v>
      </x:c>
      <x:c r="I83" s="20" t="n">
        <x:v>46191.5</x:v>
      </x:c>
      <x:c r="J83" s="20" t="n">
        <x:v>46193.5</x:v>
      </x:c>
    </x:row>
    <x:row r="84" ht="24" hidden="0" customHeight="1">
      <x:c r="A84" s="18" t="str">
        <x:v>REV0083</x:v>
      </x:c>
      <x:c r="B84" s="18" t="str">
        <x:v>EMP008</x:v>
      </x:c>
      <x:c r="C84" s="18" t="str">
        <x:v>CY2026Q2</x:v>
      </x:c>
      <x:c r="D84" s="18" t="str">
        <x:v>MGR003</x:v>
      </x:c>
      <x:c r="E84" s="18" t="str">
        <x:v>BR003</x:v>
      </x:c>
      <x:c r="F84" s="18" t="str">
        <x:v>Completed</x:v>
      </x:c>
      <x:c r="G84" s="18" t="n">
        <x:v>1</x:v>
      </x:c>
      <x:c r="H84" s="21" t="str">
        <x:v>Improvement required. Loan production, competency evidence, and quarterly discussion were considered.</x:v>
      </x:c>
      <x:c r="I84" s="20" t="n">
        <x:v>46192.5</x:v>
      </x:c>
      <x:c r="J84" s="20" t="n">
        <x:v>46194.5</x:v>
      </x:c>
    </x:row>
    <x:row r="85" ht="24" hidden="0" customHeight="1">
      <x:c r="A85" s="18" t="str">
        <x:v>REV0084</x:v>
      </x:c>
      <x:c r="B85" s="18" t="str">
        <x:v>EMP009</x:v>
      </x:c>
      <x:c r="C85" s="18" t="str">
        <x:v>CY2026Q2</x:v>
      </x:c>
      <x:c r="D85" s="18" t="str">
        <x:v>MGR004</x:v>
      </x:c>
      <x:c r="E85" s="18" t="str">
        <x:v>BR004</x:v>
      </x:c>
      <x:c r="F85" s="18" t="str">
        <x:v>Completed</x:v>
      </x:c>
      <x:c r="G85" s="18" t="n">
        <x:v>5</x:v>
      </x:c>
      <x:c r="H85" s="21" t="str">
        <x:v>Significantly exceeds expectations. Loan production, competency evidence, and quarterly discussion were considered.</x:v>
      </x:c>
      <x:c r="I85" s="20" t="n">
        <x:v>46193.5</x:v>
      </x:c>
      <x:c r="J85" s="20" t="n">
        <x:v>46195.5</x:v>
      </x:c>
    </x:row>
    <x:row r="86" ht="24" hidden="0" customHeight="1">
      <x:c r="A86" s="18" t="str">
        <x:v>REV0085</x:v>
      </x:c>
      <x:c r="B86" s="18" t="str">
        <x:v>EMP010</x:v>
      </x:c>
      <x:c r="C86" s="18" t="str">
        <x:v>CY2026Q2</x:v>
      </x:c>
      <x:c r="D86" s="18" t="str">
        <x:v>MGR004</x:v>
      </x:c>
      <x:c r="E86" s="18" t="str">
        <x:v>BR004</x:v>
      </x:c>
      <x:c r="F86" s="18" t="str">
        <x:v>Completed</x:v>
      </x:c>
      <x:c r="G86" s="18" t="n">
        <x:v>4</x:v>
      </x:c>
      <x:c r="H86" s="21" t="str">
        <x:v>Exceeds expectations. Loan production, competency evidence, and quarterly discussion were considered.</x:v>
      </x:c>
      <x:c r="I86" s="20" t="n">
        <x:v>46194.5</x:v>
      </x:c>
      <x:c r="J86" s="20" t="n">
        <x:v>46196.5</x:v>
      </x:c>
    </x:row>
    <x:row r="87" ht="24" hidden="0" customHeight="1">
      <x:c r="A87" s="18" t="str">
        <x:v>REV0086</x:v>
      </x:c>
      <x:c r="B87" s="18" t="str">
        <x:v>EMP011</x:v>
      </x:c>
      <x:c r="C87" s="18" t="str">
        <x:v>CY2026Q2</x:v>
      </x:c>
      <x:c r="D87" s="18" t="str">
        <x:v>MGR004</x:v>
      </x:c>
      <x:c r="E87" s="18" t="str">
        <x:v>BR004</x:v>
      </x:c>
      <x:c r="F87" s="18" t="str">
        <x:v>Completed</x:v>
      </x:c>
      <x:c r="G87" s="18" t="n">
        <x:v>3</x:v>
      </x:c>
      <x:c r="H87" s="21" t="str">
        <x:v>Meets expectations. Loan production, competency evidence, and quarterly discussion were considered.</x:v>
      </x:c>
      <x:c r="I87" s="20" t="n">
        <x:v>46195.5</x:v>
      </x:c>
      <x:c r="J87" s="20" t="n">
        <x:v>46197.5</x:v>
      </x:c>
    </x:row>
    <x:row r="88" ht="24" hidden="0" customHeight="1">
      <x:c r="A88" s="18" t="str">
        <x:v>REV0087</x:v>
      </x:c>
      <x:c r="B88" s="18" t="str">
        <x:v>EMP012</x:v>
      </x:c>
      <x:c r="C88" s="18" t="str">
        <x:v>CY2026Q2</x:v>
      </x:c>
      <x:c r="D88" s="18" t="str">
        <x:v>MGR005</x:v>
      </x:c>
      <x:c r="E88" s="18" t="str">
        <x:v>BR005</x:v>
      </x:c>
      <x:c r="F88" s="18" t="str">
        <x:v>Completed</x:v>
      </x:c>
      <x:c r="G88" s="18" t="n">
        <x:v>2</x:v>
      </x:c>
      <x:c r="H88" s="21" t="str">
        <x:v>Partially meets expectations. Loan production, competency evidence, and quarterly discussion were considered.</x:v>
      </x:c>
      <x:c r="I88" s="20" t="n">
        <x:v>46196.5</x:v>
      </x:c>
      <x:c r="J88" s="20" t="n">
        <x:v>46198.5</x:v>
      </x:c>
    </x:row>
    <x:row r="89" ht="24" hidden="0" customHeight="1">
      <x:c r="A89" s="18" t="str">
        <x:v>REV0088</x:v>
      </x:c>
      <x:c r="B89" s="18" t="str">
        <x:v>EMP013</x:v>
      </x:c>
      <x:c r="C89" s="18" t="str">
        <x:v>CY2026Q2</x:v>
      </x:c>
      <x:c r="D89" s="18" t="str">
        <x:v>MGR005</x:v>
      </x:c>
      <x:c r="E89" s="18" t="str">
        <x:v>BR005</x:v>
      </x:c>
      <x:c r="F89" s="18" t="str">
        <x:v>Completed</x:v>
      </x:c>
      <x:c r="G89" s="18" t="n">
        <x:v>4</x:v>
      </x:c>
      <x:c r="H89" s="21" t="str">
        <x:v>Exceeds expectations. Loan production, competency evidence, and quarterly discussion were considered.</x:v>
      </x:c>
      <x:c r="I89" s="20" t="n">
        <x:v>46185.5</x:v>
      </x:c>
      <x:c r="J89" s="20" t="n">
        <x:v>46187.5</x:v>
      </x:c>
    </x:row>
    <x:row r="90" ht="24" hidden="0" customHeight="1">
      <x:c r="A90" s="18" t="str">
        <x:v>REV0089</x:v>
      </x:c>
      <x:c r="B90" s="18" t="str">
        <x:v>EMP014</x:v>
      </x:c>
      <x:c r="C90" s="18" t="str">
        <x:v>CY2026Q2</x:v>
      </x:c>
      <x:c r="D90" s="18" t="str">
        <x:v>MGR006</x:v>
      </x:c>
      <x:c r="E90" s="18" t="str">
        <x:v>BR006</x:v>
      </x:c>
      <x:c r="F90" s="18" t="str">
        <x:v>Completed</x:v>
      </x:c>
      <x:c r="G90" s="18" t="n">
        <x:v>3</x:v>
      </x:c>
      <x:c r="H90" s="21" t="str">
        <x:v>Meets expectations. Loan production, competency evidence, and quarterly discussion were considered.</x:v>
      </x:c>
      <x:c r="I90" s="20" t="n">
        <x:v>46186.5</x:v>
      </x:c>
      <x:c r="J90" s="20" t="n">
        <x:v>46188.5</x:v>
      </x:c>
    </x:row>
    <x:row r="91" ht="24" hidden="0" customHeight="1">
      <x:c r="A91" s="18" t="str">
        <x:v>REV0090</x:v>
      </x:c>
      <x:c r="B91" s="18" t="str">
        <x:v>EMP015</x:v>
      </x:c>
      <x:c r="C91" s="18" t="str">
        <x:v>CY2026Q2</x:v>
      </x:c>
      <x:c r="D91" s="18" t="str">
        <x:v>MGR006</x:v>
      </x:c>
      <x:c r="E91" s="18" t="str">
        <x:v>BR006</x:v>
      </x:c>
      <x:c r="F91" s="18" t="str">
        <x:v>Completed</x:v>
      </x:c>
      <x:c r="G91" s="18" t="n">
        <x:v>1</x:v>
      </x:c>
      <x:c r="H91" s="21" t="str">
        <x:v>Improvement required. Loan production, competency evidence, and quarterly discussion were considered.</x:v>
      </x:c>
      <x:c r="I91" s="20" t="n">
        <x:v>46187.5</x:v>
      </x:c>
      <x:c r="J91" s="20" t="n">
        <x:v>46189.5</x:v>
      </x:c>
    </x:row>
    <x:row r="92" ht="24" hidden="0" customHeight="1">
      <x:c r="A92" s="18" t="str">
        <x:v>REV0091</x:v>
      </x:c>
      <x:c r="B92" s="18" t="str">
        <x:v>EMP001</x:v>
      </x:c>
      <x:c r="C92" s="18" t="str">
        <x:v>CY2026Q3</x:v>
      </x:c>
      <x:c r="D92" s="18" t="str">
        <x:v>MGR001</x:v>
      </x:c>
      <x:c r="E92" s="18" t="str">
        <x:v>BR001</x:v>
      </x:c>
      <x:c r="F92" s="18" t="str">
        <x:v>Completed</x:v>
      </x:c>
      <x:c r="G92" s="18" t="n">
        <x:v>5</x:v>
      </x:c>
      <x:c r="H92" s="21" t="str">
        <x:v>Significantly exceeds expectations. Loan production, competency evidence, and quarterly discussion were considered.</x:v>
      </x:c>
      <x:c r="I92" s="20" t="n">
        <x:v>46277.5</x:v>
      </x:c>
      <x:c r="J92" s="20" t="n">
        <x:v>46279.5</x:v>
      </x:c>
    </x:row>
    <x:row r="93" ht="24" hidden="0" customHeight="1">
      <x:c r="A93" s="18" t="str">
        <x:v>REV0092</x:v>
      </x:c>
      <x:c r="B93" s="18" t="str">
        <x:v>EMP002</x:v>
      </x:c>
      <x:c r="C93" s="18" t="str">
        <x:v>CY2026Q3</x:v>
      </x:c>
      <x:c r="D93" s="18" t="str">
        <x:v>MGR001</x:v>
      </x:c>
      <x:c r="E93" s="18" t="str">
        <x:v>BR001</x:v>
      </x:c>
      <x:c r="F93" s="18" t="str">
        <x:v>Completed</x:v>
      </x:c>
      <x:c r="G93" s="18" t="n">
        <x:v>4</x:v>
      </x:c>
      <x:c r="H93" s="21" t="str">
        <x:v>Exceeds expectations. Loan production, competency evidence, and quarterly discussion were considered.</x:v>
      </x:c>
      <x:c r="I93" s="20" t="n">
        <x:v>46278.5</x:v>
      </x:c>
      <x:c r="J93" s="20" t="n">
        <x:v>46280.5</x:v>
      </x:c>
    </x:row>
    <x:row r="94" ht="24" hidden="0" customHeight="1">
      <x:c r="A94" s="18" t="str">
        <x:v>REV0093</x:v>
      </x:c>
      <x:c r="B94" s="18" t="str">
        <x:v>EMP003</x:v>
      </x:c>
      <x:c r="C94" s="18" t="str">
        <x:v>CY2026Q3</x:v>
      </x:c>
      <x:c r="D94" s="18" t="str">
        <x:v>MGR001</x:v>
      </x:c>
      <x:c r="E94" s="18" t="str">
        <x:v>BR001</x:v>
      </x:c>
      <x:c r="F94" s="18" t="str">
        <x:v>Completed</x:v>
      </x:c>
      <x:c r="G94" s="18" t="n">
        <x:v>3</x:v>
      </x:c>
      <x:c r="H94" s="21" t="str">
        <x:v>Meets expectations. Loan production, competency evidence, and quarterly discussion were considered.</x:v>
      </x:c>
      <x:c r="I94" s="20" t="n">
        <x:v>46279.5</x:v>
      </x:c>
      <x:c r="J94" s="20" t="n">
        <x:v>46281.5</x:v>
      </x:c>
    </x:row>
    <x:row r="95" ht="24" hidden="0" customHeight="1">
      <x:c r="A95" s="18" t="str">
        <x:v>REV0094</x:v>
      </x:c>
      <x:c r="B95" s="18" t="str">
        <x:v>EMP004</x:v>
      </x:c>
      <x:c r="C95" s="18" t="str">
        <x:v>CY2026Q3</x:v>
      </x:c>
      <x:c r="D95" s="18" t="str">
        <x:v>MGR002</x:v>
      </x:c>
      <x:c r="E95" s="18" t="str">
        <x:v>BR002</x:v>
      </x:c>
      <x:c r="F95" s="18" t="str">
        <x:v>Completed</x:v>
      </x:c>
      <x:c r="G95" s="18" t="n">
        <x:v>2</x:v>
      </x:c>
      <x:c r="H95" s="21" t="str">
        <x:v>Partially meets expectations. Loan production, competency evidence, and quarterly discussion were considered.</x:v>
      </x:c>
      <x:c r="I95" s="20" t="n">
        <x:v>46280.5</x:v>
      </x:c>
      <x:c r="J95" s="20" t="n">
        <x:v>46282.5</x:v>
      </x:c>
    </x:row>
    <x:row r="96" ht="24" hidden="0" customHeight="1">
      <x:c r="A96" s="18" t="str">
        <x:v>REV0095</x:v>
      </x:c>
      <x:c r="B96" s="18" t="str">
        <x:v>EMP005</x:v>
      </x:c>
      <x:c r="C96" s="18" t="str">
        <x:v>CY2026Q3</x:v>
      </x:c>
      <x:c r="D96" s="18" t="str">
        <x:v>MGR002</x:v>
      </x:c>
      <x:c r="E96" s="18" t="str">
        <x:v>BR002</x:v>
      </x:c>
      <x:c r="F96" s="18" t="str">
        <x:v>Completed</x:v>
      </x:c>
      <x:c r="G96" s="18" t="n">
        <x:v>4</x:v>
      </x:c>
      <x:c r="H96" s="21" t="str">
        <x:v>Exceeds expectations. Loan production, competency evidence, and quarterly discussion were considered.</x:v>
      </x:c>
      <x:c r="I96" s="20" t="n">
        <x:v>46281.5</x:v>
      </x:c>
      <x:c r="J96" s="20" t="n">
        <x:v>46283.5</x:v>
      </x:c>
    </x:row>
    <x:row r="97" ht="24" hidden="0" customHeight="1">
      <x:c r="A97" s="18" t="str">
        <x:v>REV0096</x:v>
      </x:c>
      <x:c r="B97" s="18" t="str">
        <x:v>EMP006</x:v>
      </x:c>
      <x:c r="C97" s="18" t="str">
        <x:v>CY2026Q3</x:v>
      </x:c>
      <x:c r="D97" s="18" t="str">
        <x:v>MGR002</x:v>
      </x:c>
      <x:c r="E97" s="18" t="str">
        <x:v>BR002</x:v>
      </x:c>
      <x:c r="F97" s="18" t="str">
        <x:v>Completed</x:v>
      </x:c>
      <x:c r="G97" s="18" t="n">
        <x:v>4</x:v>
      </x:c>
      <x:c r="H97" s="21" t="str">
        <x:v>Exceeds expectations. Loan production, competency evidence, and quarterly discussion were considered.</x:v>
      </x:c>
      <x:c r="I97" s="20" t="n">
        <x:v>46282.5</x:v>
      </x:c>
      <x:c r="J97" s="20" t="n">
        <x:v>46284.5</x:v>
      </x:c>
    </x:row>
    <x:row r="98" ht="24" hidden="0" customHeight="1">
      <x:c r="A98" s="18" t="str">
        <x:v>REV0097</x:v>
      </x:c>
      <x:c r="B98" s="18" t="str">
        <x:v>EMP007</x:v>
      </x:c>
      <x:c r="C98" s="18" t="str">
        <x:v>CY2026Q3</x:v>
      </x:c>
      <x:c r="D98" s="18" t="str">
        <x:v>MGR003</x:v>
      </x:c>
      <x:c r="E98" s="18" t="str">
        <x:v>BR003</x:v>
      </x:c>
      <x:c r="F98" s="18" t="str">
        <x:v>Completed</x:v>
      </x:c>
      <x:c r="G98" s="18" t="n">
        <x:v>2</x:v>
      </x:c>
      <x:c r="H98" s="21" t="str">
        <x:v>Partially meets expectations. Loan production, competency evidence, and quarterly discussion were considered.</x:v>
      </x:c>
      <x:c r="I98" s="20" t="n">
        <x:v>46283.5</x:v>
      </x:c>
      <x:c r="J98" s="20" t="n">
        <x:v>46285.5</x:v>
      </x:c>
    </x:row>
    <x:row r="99" ht="24" hidden="0" customHeight="1">
      <x:c r="A99" s="18" t="str">
        <x:v>REV0098</x:v>
      </x:c>
      <x:c r="B99" s="18" t="str">
        <x:v>EMP008</x:v>
      </x:c>
      <x:c r="C99" s="18" t="str">
        <x:v>CY2026Q3</x:v>
      </x:c>
      <x:c r="D99" s="18" t="str">
        <x:v>MGR003</x:v>
      </x:c>
      <x:c r="E99" s="18" t="str">
        <x:v>BR003</x:v>
      </x:c>
      <x:c r="F99" s="18" t="str">
        <x:v>Completed</x:v>
      </x:c>
      <x:c r="G99" s="18" t="n">
        <x:v>1</x:v>
      </x:c>
      <x:c r="H99" s="21" t="str">
        <x:v>Improvement required. Loan production, competency evidence, and quarterly discussion were considered.</x:v>
      </x:c>
      <x:c r="I99" s="20" t="n">
        <x:v>46284.5</x:v>
      </x:c>
      <x:c r="J99" s="20" t="n">
        <x:v>46286.5</x:v>
      </x:c>
    </x:row>
    <x:row r="100" ht="24" hidden="0" customHeight="1">
      <x:c r="A100" s="18" t="str">
        <x:v>REV0099</x:v>
      </x:c>
      <x:c r="B100" s="18" t="str">
        <x:v>EMP009</x:v>
      </x:c>
      <x:c r="C100" s="18" t="str">
        <x:v>CY2026Q3</x:v>
      </x:c>
      <x:c r="D100" s="18" t="str">
        <x:v>MGR004</x:v>
      </x:c>
      <x:c r="E100" s="18" t="str">
        <x:v>BR004</x:v>
      </x:c>
      <x:c r="F100" s="18" t="str">
        <x:v>Completed</x:v>
      </x:c>
      <x:c r="G100" s="18" t="n">
        <x:v>5</x:v>
      </x:c>
      <x:c r="H100" s="21" t="str">
        <x:v>Significantly exceeds expectations. Loan production, competency evidence, and quarterly discussion were considered.</x:v>
      </x:c>
      <x:c r="I100" s="20" t="n">
        <x:v>46285.5</x:v>
      </x:c>
      <x:c r="J100" s="20" t="n">
        <x:v>46287.5</x:v>
      </x:c>
    </x:row>
    <x:row r="101" ht="24" hidden="0" customHeight="1">
      <x:c r="A101" s="18" t="str">
        <x:v>REV0100</x:v>
      </x:c>
      <x:c r="B101" s="18" t="str">
        <x:v>EMP010</x:v>
      </x:c>
      <x:c r="C101" s="18" t="str">
        <x:v>CY2026Q3</x:v>
      </x:c>
      <x:c r="D101" s="18" t="str">
        <x:v>MGR004</x:v>
      </x:c>
      <x:c r="E101" s="18" t="str">
        <x:v>BR004</x:v>
      </x:c>
      <x:c r="F101" s="18" t="str">
        <x:v>Completed</x:v>
      </x:c>
      <x:c r="G101" s="18" t="n">
        <x:v>4</x:v>
      </x:c>
      <x:c r="H101" s="21" t="str">
        <x:v>Exceeds expectations. Loan production, competency evidence, and quarterly discussion were considered.</x:v>
      </x:c>
      <x:c r="I101" s="20" t="n">
        <x:v>46286.5</x:v>
      </x:c>
      <x:c r="J101" s="20" t="n">
        <x:v>46288.5</x:v>
      </x:c>
    </x:row>
    <x:row r="102" ht="24" hidden="0" customHeight="1">
      <x:c r="A102" s="18" t="str">
        <x:v>REV0101</x:v>
      </x:c>
      <x:c r="B102" s="18" t="str">
        <x:v>EMP011</x:v>
      </x:c>
      <x:c r="C102" s="18" t="str">
        <x:v>CY2026Q3</x:v>
      </x:c>
      <x:c r="D102" s="18" t="str">
        <x:v>MGR004</x:v>
      </x:c>
      <x:c r="E102" s="18" t="str">
        <x:v>BR004</x:v>
      </x:c>
      <x:c r="F102" s="18" t="str">
        <x:v>Completed</x:v>
      </x:c>
      <x:c r="G102" s="18" t="n">
        <x:v>2</x:v>
      </x:c>
      <x:c r="H102" s="21" t="str">
        <x:v>Partially meets expectations. Loan production, competency evidence, and quarterly discussion were considered.</x:v>
      </x:c>
      <x:c r="I102" s="20" t="n">
        <x:v>46287.5</x:v>
      </x:c>
      <x:c r="J102" s="20" t="n">
        <x:v>46289.5</x:v>
      </x:c>
    </x:row>
    <x:row r="103" ht="24" hidden="0" customHeight="1">
      <x:c r="A103" s="18" t="str">
        <x:v>REV0102</x:v>
      </x:c>
      <x:c r="B103" s="18" t="str">
        <x:v>EMP012</x:v>
      </x:c>
      <x:c r="C103" s="18" t="str">
        <x:v>CY2026Q3</x:v>
      </x:c>
      <x:c r="D103" s="18" t="str">
        <x:v>MGR005</x:v>
      </x:c>
      <x:c r="E103" s="18" t="str">
        <x:v>BR005</x:v>
      </x:c>
      <x:c r="F103" s="18" t="str">
        <x:v>Completed</x:v>
      </x:c>
      <x:c r="G103" s="18" t="n">
        <x:v>3</x:v>
      </x:c>
      <x:c r="H103" s="21" t="str">
        <x:v>Meets expectations. Loan production, competency evidence, and quarterly discussion were considered.</x:v>
      </x:c>
      <x:c r="I103" s="20" t="n">
        <x:v>46288.5</x:v>
      </x:c>
      <x:c r="J103" s="20" t="n">
        <x:v>46290.5</x:v>
      </x:c>
    </x:row>
    <x:row r="104" ht="24" hidden="0" customHeight="1">
      <x:c r="A104" s="18" t="str">
        <x:v>REV0103</x:v>
      </x:c>
      <x:c r="B104" s="18" t="str">
        <x:v>EMP013</x:v>
      </x:c>
      <x:c r="C104" s="18" t="str">
        <x:v>CY2026Q3</x:v>
      </x:c>
      <x:c r="D104" s="18" t="str">
        <x:v>MGR005</x:v>
      </x:c>
      <x:c r="E104" s="18" t="str">
        <x:v>BR005</x:v>
      </x:c>
      <x:c r="F104" s="18" t="str">
        <x:v>Completed</x:v>
      </x:c>
      <x:c r="G104" s="18" t="n">
        <x:v>4</x:v>
      </x:c>
      <x:c r="H104" s="21" t="str">
        <x:v>Exceeds expectations. Loan production, competency evidence, and quarterly discussion were considered.</x:v>
      </x:c>
      <x:c r="I104" s="20" t="n">
        <x:v>46277.5</x:v>
      </x:c>
      <x:c r="J104" s="20" t="n">
        <x:v>46279.5</x:v>
      </x:c>
    </x:row>
    <x:row r="105" ht="24" hidden="0" customHeight="1">
      <x:c r="A105" s="18" t="str">
        <x:v>REV0104</x:v>
      </x:c>
      <x:c r="B105" s="18" t="str">
        <x:v>EMP014</x:v>
      </x:c>
      <x:c r="C105" s="18" t="str">
        <x:v>CY2026Q3</x:v>
      </x:c>
      <x:c r="D105" s="18" t="str">
        <x:v>MGR006</x:v>
      </x:c>
      <x:c r="E105" s="18" t="str">
        <x:v>BR006</x:v>
      </x:c>
      <x:c r="F105" s="18" t="str">
        <x:v>Completed</x:v>
      </x:c>
      <x:c r="G105" s="18" t="n">
        <x:v>3</x:v>
      </x:c>
      <x:c r="H105" s="21" t="str">
        <x:v>Meets expectations. Loan production, competency evidence, and quarterly discussion were considered.</x:v>
      </x:c>
      <x:c r="I105" s="20" t="n">
        <x:v>46278.5</x:v>
      </x:c>
      <x:c r="J105" s="20" t="n">
        <x:v>46280.5</x:v>
      </x:c>
    </x:row>
    <x:row r="106" ht="24" hidden="0" customHeight="1">
      <x:c r="A106" s="18" t="str">
        <x:v>REV0105</x:v>
      </x:c>
      <x:c r="B106" s="18" t="str">
        <x:v>EMP015</x:v>
      </x:c>
      <x:c r="C106" s="18" t="str">
        <x:v>CY2026Q3</x:v>
      </x:c>
      <x:c r="D106" s="18" t="str">
        <x:v>MGR006</x:v>
      </x:c>
      <x:c r="E106" s="18" t="str">
        <x:v>BR006</x:v>
      </x:c>
      <x:c r="F106" s="18" t="str">
        <x:v>Completed</x:v>
      </x:c>
      <x:c r="G106" s="18" t="n">
        <x:v>1</x:v>
      </x:c>
      <x:c r="H106" s="21" t="str">
        <x:v>Improvement required. Loan production, competency evidence, and quarterly discussion were considered.</x:v>
      </x:c>
      <x:c r="I106" s="20" t="n">
        <x:v>46279.5</x:v>
      </x:c>
      <x:c r="J106" s="20" t="n">
        <x:v>46281.5</x:v>
      </x:c>
    </x:row>
  </x:sheetData>
  <x:conditionalFormatting sqref="G2:G106">
    <x:cfRule type="cellIs" dxfId="0" priority="1" operator="equal">
      <x:formula>1</x:formula>
    </x:cfRule>
    <x:cfRule type="cellIs" dxfId="1" priority="2" operator="equal">
      <x:formula>5</x:formula>
    </x:cfRule>
  </x:conditionalFormatting>
  <x:dataValidations count="1">
    <x:dataValidation type="whole" operator="between" sqref="G2:G106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8c4b0ae51151411c"/>
  </x:tableParts>
</x:worksheet>
</file>

<file path=xl/worksheets/sheet8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3" hidden="0" customWidth="1"/>
    <x:col min="4" max="4" width="21" hidden="0" customWidth="1"/>
    <x:col min="5" max="5" width="14" hidden="0" customWidth="1"/>
    <x:col min="6" max="6" width="18" hidden="0" customWidth="1"/>
    <x:col min="7" max="7" width="16" hidden="0" customWidth="1"/>
    <x:col min="8" max="8" width="24" hidden="0" customWidth="1"/>
    <x:col min="9" max="9" width="17" hidden="0" customWidth="1"/>
  </x:cols>
  <x:sheetData>
    <x:row r="1" ht="30" hidden="0" customHeight="1">
      <x:c r="A1" s="15" t="str">
        <x:v>meeting_id</x:v>
      </x:c>
      <x:c r="B1" s="16" t="str">
        <x:v>review_id</x:v>
      </x:c>
      <x:c r="C1" s="16" t="str">
        <x:v>employee_id</x:v>
      </x:c>
      <x:c r="D1" s="16" t="str">
        <x:v>manager_employee_id</x:v>
      </x:c>
      <x:c r="E1" s="16" t="str">
        <x:v>meeting_date</x:v>
      </x:c>
      <x:c r="F1" s="16" t="str">
        <x:v>duration_minutes</x:v>
      </x:c>
      <x:c r="G1" s="16" t="str">
        <x:v>meeting_status</x:v>
      </x:c>
      <x:c r="H1" s="16" t="str">
        <x:v>meeting_purpose</x:v>
      </x:c>
      <x:c r="I1" s="17" t="str">
        <x:v>meeting_channel</x:v>
      </x:c>
    </x:row>
    <x:row r="2" ht="15" hidden="0" customHeight="1">
      <x:c r="A2" s="18" t="str">
        <x:v>MTG0001</x:v>
      </x:c>
      <x:c r="B2" s="18" t="str">
        <x:v>REV0001</x:v>
      </x:c>
      <x:c r="C2" s="18" t="str">
        <x:v>EMP001</x:v>
      </x:c>
      <x:c r="D2" s="18" t="str">
        <x:v>MGR001</x:v>
      </x:c>
      <x:c r="E2" s="20" t="n">
        <x:v>45729.5</x:v>
      </x:c>
      <x:c r="F2" s="18" t="n">
        <x:v>60</x:v>
      </x:c>
      <x:c r="G2" s="18" t="str">
        <x:v>Completed</x:v>
      </x:c>
      <x:c r="H2" s="18" t="str">
        <x:v>Quarterly performance and development review</x:v>
      </x:c>
      <x:c r="I2" s="18" t="str">
        <x:v>In person</x:v>
      </x:c>
    </x:row>
    <x:row r="3" ht="15" hidden="0" customHeight="1">
      <x:c r="A3" s="18" t="str">
        <x:v>MTG0002</x:v>
      </x:c>
      <x:c r="B3" s="18" t="str">
        <x:v>REV0002</x:v>
      </x:c>
      <x:c r="C3" s="18" t="str">
        <x:v>EMP002</x:v>
      </x:c>
      <x:c r="D3" s="18" t="str">
        <x:v>MGR001</x:v>
      </x:c>
      <x:c r="E3" s="20" t="n">
        <x:v>45730.5</x:v>
      </x:c>
      <x:c r="F3" s="18" t="n">
        <x:v>60</x:v>
      </x:c>
      <x:c r="G3" s="18" t="str">
        <x:v>Completed</x:v>
      </x:c>
      <x:c r="H3" s="18" t="str">
        <x:v>Quarterly performance and development review</x:v>
      </x:c>
      <x:c r="I3" s="18" t="str">
        <x:v>In person</x:v>
      </x:c>
    </x:row>
    <x:row r="4" ht="15" hidden="0" customHeight="1">
      <x:c r="A4" s="18" t="str">
        <x:v>MTG0003</x:v>
      </x:c>
      <x:c r="B4" s="18" t="str">
        <x:v>REV0003</x:v>
      </x:c>
      <x:c r="C4" s="18" t="str">
        <x:v>EMP003</x:v>
      </x:c>
      <x:c r="D4" s="18" t="str">
        <x:v>MGR001</x:v>
      </x:c>
      <x:c r="E4" s="20" t="n">
        <x:v>45731.5</x:v>
      </x:c>
      <x:c r="F4" s="18" t="n">
        <x:v>60</x:v>
      </x:c>
      <x:c r="G4" s="18" t="str">
        <x:v>Completed</x:v>
      </x:c>
      <x:c r="H4" s="18" t="str">
        <x:v>Quarterly performance and development review</x:v>
      </x:c>
      <x:c r="I4" s="18" t="str">
        <x:v>In person</x:v>
      </x:c>
    </x:row>
    <x:row r="5" ht="15" hidden="0" customHeight="1">
      <x:c r="A5" s="18" t="str">
        <x:v>MTG0004</x:v>
      </x:c>
      <x:c r="B5" s="18" t="str">
        <x:v>REV0004</x:v>
      </x:c>
      <x:c r="C5" s="18" t="str">
        <x:v>EMP004</x:v>
      </x:c>
      <x:c r="D5" s="18" t="str">
        <x:v>MGR002</x:v>
      </x:c>
      <x:c r="E5" s="20" t="n">
        <x:v>45732.5</x:v>
      </x:c>
      <x:c r="F5" s="18" t="n">
        <x:v>60</x:v>
      </x:c>
      <x:c r="G5" s="18" t="str">
        <x:v>Completed</x:v>
      </x:c>
      <x:c r="H5" s="18" t="str">
        <x:v>Quarterly performance and development review</x:v>
      </x:c>
      <x:c r="I5" s="18" t="str">
        <x:v>In person</x:v>
      </x:c>
    </x:row>
    <x:row r="6" ht="15" hidden="0" customHeight="1">
      <x:c r="A6" s="18" t="str">
        <x:v>MTG0005</x:v>
      </x:c>
      <x:c r="B6" s="18" t="str">
        <x:v>REV0005</x:v>
      </x:c>
      <x:c r="C6" s="18" t="str">
        <x:v>EMP005</x:v>
      </x:c>
      <x:c r="D6" s="18" t="str">
        <x:v>MGR002</x:v>
      </x:c>
      <x:c r="E6" s="20" t="n">
        <x:v>45733.5</x:v>
      </x:c>
      <x:c r="F6" s="18" t="n">
        <x:v>60</x:v>
      </x:c>
      <x:c r="G6" s="18" t="str">
        <x:v>Completed</x:v>
      </x:c>
      <x:c r="H6" s="18" t="str">
        <x:v>Quarterly performance and development review</x:v>
      </x:c>
      <x:c r="I6" s="18" t="str">
        <x:v>In person</x:v>
      </x:c>
    </x:row>
    <x:row r="7" ht="15" hidden="0" customHeight="1">
      <x:c r="A7" s="18" t="str">
        <x:v>MTG0006</x:v>
      </x:c>
      <x:c r="B7" s="18" t="str">
        <x:v>REV0006</x:v>
      </x:c>
      <x:c r="C7" s="18" t="str">
        <x:v>EMP006</x:v>
      </x:c>
      <x:c r="D7" s="18" t="str">
        <x:v>MGR002</x:v>
      </x:c>
      <x:c r="E7" s="20" t="n">
        <x:v>45734.5</x:v>
      </x:c>
      <x:c r="F7" s="18" t="n">
        <x:v>60</x:v>
      </x:c>
      <x:c r="G7" s="18" t="str">
        <x:v>Completed</x:v>
      </x:c>
      <x:c r="H7" s="18" t="str">
        <x:v>Quarterly performance and development review</x:v>
      </x:c>
      <x:c r="I7" s="18" t="str">
        <x:v>In person</x:v>
      </x:c>
    </x:row>
    <x:row r="8" ht="15" hidden="0" customHeight="1">
      <x:c r="A8" s="18" t="str">
        <x:v>MTG0007</x:v>
      </x:c>
      <x:c r="B8" s="18" t="str">
        <x:v>REV0007</x:v>
      </x:c>
      <x:c r="C8" s="18" t="str">
        <x:v>EMP007</x:v>
      </x:c>
      <x:c r="D8" s="18" t="str">
        <x:v>MGR003</x:v>
      </x:c>
      <x:c r="E8" s="20" t="n">
        <x:v>45735.5</x:v>
      </x:c>
      <x:c r="F8" s="18" t="n">
        <x:v>60</x:v>
      </x:c>
      <x:c r="G8" s="18" t="str">
        <x:v>Completed</x:v>
      </x:c>
      <x:c r="H8" s="18" t="str">
        <x:v>Quarterly performance and development review</x:v>
      </x:c>
      <x:c r="I8" s="18" t="str">
        <x:v>In person</x:v>
      </x:c>
    </x:row>
    <x:row r="9" ht="15" hidden="0" customHeight="1">
      <x:c r="A9" s="18" t="str">
        <x:v>MTG0008</x:v>
      </x:c>
      <x:c r="B9" s="18" t="str">
        <x:v>REV0008</x:v>
      </x:c>
      <x:c r="C9" s="18" t="str">
        <x:v>EMP008</x:v>
      </x:c>
      <x:c r="D9" s="18" t="str">
        <x:v>MGR003</x:v>
      </x:c>
      <x:c r="E9" s="20" t="n">
        <x:v>45736.5</x:v>
      </x:c>
      <x:c r="F9" s="18" t="n">
        <x:v>60</x:v>
      </x:c>
      <x:c r="G9" s="18" t="str">
        <x:v>Completed</x:v>
      </x:c>
      <x:c r="H9" s="18" t="str">
        <x:v>Quarterly performance and development review</x:v>
      </x:c>
      <x:c r="I9" s="18" t="str">
        <x:v>In person</x:v>
      </x:c>
    </x:row>
    <x:row r="10" ht="15" hidden="0" customHeight="1">
      <x:c r="A10" s="18" t="str">
        <x:v>MTG0009</x:v>
      </x:c>
      <x:c r="B10" s="18" t="str">
        <x:v>REV0009</x:v>
      </x:c>
      <x:c r="C10" s="18" t="str">
        <x:v>EMP009</x:v>
      </x:c>
      <x:c r="D10" s="18" t="str">
        <x:v>MGR004</x:v>
      </x:c>
      <x:c r="E10" s="20" t="n">
        <x:v>45737.5</x:v>
      </x:c>
      <x:c r="F10" s="18" t="n">
        <x:v>60</x:v>
      </x:c>
      <x:c r="G10" s="18" t="str">
        <x:v>Completed</x:v>
      </x:c>
      <x:c r="H10" s="18" t="str">
        <x:v>Quarterly performance and development review</x:v>
      </x:c>
      <x:c r="I10" s="18" t="str">
        <x:v>In person</x:v>
      </x:c>
    </x:row>
    <x:row r="11" ht="15" hidden="0" customHeight="1">
      <x:c r="A11" s="18" t="str">
        <x:v>MTG0010</x:v>
      </x:c>
      <x:c r="B11" s="18" t="str">
        <x:v>REV0010</x:v>
      </x:c>
      <x:c r="C11" s="18" t="str">
        <x:v>EMP010</x:v>
      </x:c>
      <x:c r="D11" s="18" t="str">
        <x:v>MGR004</x:v>
      </x:c>
      <x:c r="E11" s="20" t="n">
        <x:v>45738.5</x:v>
      </x:c>
      <x:c r="F11" s="18" t="n">
        <x:v>60</x:v>
      </x:c>
      <x:c r="G11" s="18" t="str">
        <x:v>Completed</x:v>
      </x:c>
      <x:c r="H11" s="18" t="str">
        <x:v>Quarterly performance and development review</x:v>
      </x:c>
      <x:c r="I11" s="18" t="str">
        <x:v>In person</x:v>
      </x:c>
    </x:row>
    <x:row r="12" ht="15" hidden="0" customHeight="1">
      <x:c r="A12" s="18" t="str">
        <x:v>MTG0011</x:v>
      </x:c>
      <x:c r="B12" s="18" t="str">
        <x:v>REV0011</x:v>
      </x:c>
      <x:c r="C12" s="18" t="str">
        <x:v>EMP011</x:v>
      </x:c>
      <x:c r="D12" s="18" t="str">
        <x:v>MGR004</x:v>
      </x:c>
      <x:c r="E12" s="20" t="n">
        <x:v>45739.5</x:v>
      </x:c>
      <x:c r="F12" s="18" t="n">
        <x:v>60</x:v>
      </x:c>
      <x:c r="G12" s="18" t="str">
        <x:v>Completed</x:v>
      </x:c>
      <x:c r="H12" s="18" t="str">
        <x:v>Quarterly performance and development review</x:v>
      </x:c>
      <x:c r="I12" s="18" t="str">
        <x:v>In person</x:v>
      </x:c>
    </x:row>
    <x:row r="13" ht="15" hidden="0" customHeight="1">
      <x:c r="A13" s="18" t="str">
        <x:v>MTG0012</x:v>
      </x:c>
      <x:c r="B13" s="18" t="str">
        <x:v>REV0012</x:v>
      </x:c>
      <x:c r="C13" s="18" t="str">
        <x:v>EMP012</x:v>
      </x:c>
      <x:c r="D13" s="18" t="str">
        <x:v>MGR005</x:v>
      </x:c>
      <x:c r="E13" s="20" t="n">
        <x:v>45740.5</x:v>
      </x:c>
      <x:c r="F13" s="18" t="n">
        <x:v>60</x:v>
      </x:c>
      <x:c r="G13" s="18" t="str">
        <x:v>Completed</x:v>
      </x:c>
      <x:c r="H13" s="18" t="str">
        <x:v>Quarterly performance and development review</x:v>
      </x:c>
      <x:c r="I13" s="18" t="str">
        <x:v>In person</x:v>
      </x:c>
    </x:row>
    <x:row r="14" ht="15" hidden="0" customHeight="1">
      <x:c r="A14" s="18" t="str">
        <x:v>MTG0013</x:v>
      </x:c>
      <x:c r="B14" s="18" t="str">
        <x:v>REV0013</x:v>
      </x:c>
      <x:c r="C14" s="18" t="str">
        <x:v>EMP013</x:v>
      </x:c>
      <x:c r="D14" s="18" t="str">
        <x:v>MGR005</x:v>
      </x:c>
      <x:c r="E14" s="20" t="n">
        <x:v>45729.5</x:v>
      </x:c>
      <x:c r="F14" s="18" t="n">
        <x:v>60</x:v>
      </x:c>
      <x:c r="G14" s="18" t="str">
        <x:v>Completed</x:v>
      </x:c>
      <x:c r="H14" s="18" t="str">
        <x:v>Quarterly performance and development review</x:v>
      </x:c>
      <x:c r="I14" s="18" t="str">
        <x:v>In person</x:v>
      </x:c>
    </x:row>
    <x:row r="15" ht="15" hidden="0" customHeight="1">
      <x:c r="A15" s="18" t="str">
        <x:v>MTG0014</x:v>
      </x:c>
      <x:c r="B15" s="18" t="str">
        <x:v>REV0014</x:v>
      </x:c>
      <x:c r="C15" s="18" t="str">
        <x:v>EMP014</x:v>
      </x:c>
      <x:c r="D15" s="18" t="str">
        <x:v>MGR006</x:v>
      </x:c>
      <x:c r="E15" s="20" t="n">
        <x:v>45730.5</x:v>
      </x:c>
      <x:c r="F15" s="18" t="n">
        <x:v>60</x:v>
      </x:c>
      <x:c r="G15" s="18" t="str">
        <x:v>Completed</x:v>
      </x:c>
      <x:c r="H15" s="18" t="str">
        <x:v>Quarterly performance and development review</x:v>
      </x:c>
      <x:c r="I15" s="18" t="str">
        <x:v>In person</x:v>
      </x:c>
    </x:row>
    <x:row r="16" ht="15" hidden="0" customHeight="1">
      <x:c r="A16" s="18" t="str">
        <x:v>MTG0015</x:v>
      </x:c>
      <x:c r="B16" s="18" t="str">
        <x:v>REV0015</x:v>
      </x:c>
      <x:c r="C16" s="18" t="str">
        <x:v>EMP015</x:v>
      </x:c>
      <x:c r="D16" s="18" t="str">
        <x:v>MGR006</x:v>
      </x:c>
      <x:c r="E16" s="20" t="n">
        <x:v>45731.5</x:v>
      </x:c>
      <x:c r="F16" s="18" t="n">
        <x:v>60</x:v>
      </x:c>
      <x:c r="G16" s="18" t="str">
        <x:v>Completed</x:v>
      </x:c>
      <x:c r="H16" s="18" t="str">
        <x:v>Quarterly performance and development review</x:v>
      </x:c>
      <x:c r="I16" s="18" t="str">
        <x:v>In person</x:v>
      </x:c>
    </x:row>
    <x:row r="17" ht="15" hidden="0" customHeight="1">
      <x:c r="A17" s="18" t="str">
        <x:v>MTG0016</x:v>
      </x:c>
      <x:c r="B17" s="18" t="str">
        <x:v>REV0016</x:v>
      </x:c>
      <x:c r="C17" s="18" t="str">
        <x:v>EMP001</x:v>
      </x:c>
      <x:c r="D17" s="18" t="str">
        <x:v>MGR001</x:v>
      </x:c>
      <x:c r="E17" s="20" t="n">
        <x:v>45820.5</x:v>
      </x:c>
      <x:c r="F17" s="18" t="n">
        <x:v>60</x:v>
      </x:c>
      <x:c r="G17" s="18" t="str">
        <x:v>Completed</x:v>
      </x:c>
      <x:c r="H17" s="18" t="str">
        <x:v>Quarterly performance and development review</x:v>
      </x:c>
      <x:c r="I17" s="18" t="str">
        <x:v>In person</x:v>
      </x:c>
    </x:row>
    <x:row r="18" ht="15" hidden="0" customHeight="1">
      <x:c r="A18" s="18" t="str">
        <x:v>MTG0017</x:v>
      </x:c>
      <x:c r="B18" s="18" t="str">
        <x:v>REV0017</x:v>
      </x:c>
      <x:c r="C18" s="18" t="str">
        <x:v>EMP002</x:v>
      </x:c>
      <x:c r="D18" s="18" t="str">
        <x:v>MGR001</x:v>
      </x:c>
      <x:c r="E18" s="20" t="n">
        <x:v>45821.5</x:v>
      </x:c>
      <x:c r="F18" s="18" t="n">
        <x:v>60</x:v>
      </x:c>
      <x:c r="G18" s="18" t="str">
        <x:v>Completed</x:v>
      </x:c>
      <x:c r="H18" s="18" t="str">
        <x:v>Quarterly performance and development review</x:v>
      </x:c>
      <x:c r="I18" s="18" t="str">
        <x:v>In person</x:v>
      </x:c>
    </x:row>
    <x:row r="19" ht="15" hidden="0" customHeight="1">
      <x:c r="A19" s="18" t="str">
        <x:v>MTG0018</x:v>
      </x:c>
      <x:c r="B19" s="18" t="str">
        <x:v>REV0018</x:v>
      </x:c>
      <x:c r="C19" s="18" t="str">
        <x:v>EMP003</x:v>
      </x:c>
      <x:c r="D19" s="18" t="str">
        <x:v>MGR001</x:v>
      </x:c>
      <x:c r="E19" s="20" t="n">
        <x:v>45822.5</x:v>
      </x:c>
      <x:c r="F19" s="18" t="n">
        <x:v>60</x:v>
      </x:c>
      <x:c r="G19" s="18" t="str">
        <x:v>Completed</x:v>
      </x:c>
      <x:c r="H19" s="18" t="str">
        <x:v>Quarterly performance and development review</x:v>
      </x:c>
      <x:c r="I19" s="18" t="str">
        <x:v>In person</x:v>
      </x:c>
    </x:row>
    <x:row r="20" ht="15" hidden="0" customHeight="1">
      <x:c r="A20" s="18" t="str">
        <x:v>MTG0019</x:v>
      </x:c>
      <x:c r="B20" s="18" t="str">
        <x:v>REV0019</x:v>
      </x:c>
      <x:c r="C20" s="18" t="str">
        <x:v>EMP004</x:v>
      </x:c>
      <x:c r="D20" s="18" t="str">
        <x:v>MGR002</x:v>
      </x:c>
      <x:c r="E20" s="20" t="n">
        <x:v>45823.5</x:v>
      </x:c>
      <x:c r="F20" s="18" t="n">
        <x:v>60</x:v>
      </x:c>
      <x:c r="G20" s="18" t="str">
        <x:v>Completed</x:v>
      </x:c>
      <x:c r="H20" s="18" t="str">
        <x:v>Quarterly performance and development review</x:v>
      </x:c>
      <x:c r="I20" s="18" t="str">
        <x:v>In person</x:v>
      </x:c>
    </x:row>
    <x:row r="21" ht="15" hidden="0" customHeight="1">
      <x:c r="A21" s="18" t="str">
        <x:v>MTG0020</x:v>
      </x:c>
      <x:c r="B21" s="18" t="str">
        <x:v>REV0020</x:v>
      </x:c>
      <x:c r="C21" s="18" t="str">
        <x:v>EMP005</x:v>
      </x:c>
      <x:c r="D21" s="18" t="str">
        <x:v>MGR002</x:v>
      </x:c>
      <x:c r="E21" s="20" t="n">
        <x:v>45824.5</x:v>
      </x:c>
      <x:c r="F21" s="18" t="n">
        <x:v>60</x:v>
      </x:c>
      <x:c r="G21" s="18" t="str">
        <x:v>Completed</x:v>
      </x:c>
      <x:c r="H21" s="18" t="str">
        <x:v>Quarterly performance and development review</x:v>
      </x:c>
      <x:c r="I21" s="18" t="str">
        <x:v>In person</x:v>
      </x:c>
    </x:row>
    <x:row r="22" ht="15" hidden="0" customHeight="1">
      <x:c r="A22" s="18" t="str">
        <x:v>MTG0021</x:v>
      </x:c>
      <x:c r="B22" s="18" t="str">
        <x:v>REV0021</x:v>
      </x:c>
      <x:c r="C22" s="18" t="str">
        <x:v>EMP006</x:v>
      </x:c>
      <x:c r="D22" s="18" t="str">
        <x:v>MGR002</x:v>
      </x:c>
      <x:c r="E22" s="20" t="n">
        <x:v>45825.5</x:v>
      </x:c>
      <x:c r="F22" s="18" t="n">
        <x:v>60</x:v>
      </x:c>
      <x:c r="G22" s="18" t="str">
        <x:v>Completed</x:v>
      </x:c>
      <x:c r="H22" s="18" t="str">
        <x:v>Quarterly performance and development review</x:v>
      </x:c>
      <x:c r="I22" s="18" t="str">
        <x:v>In person</x:v>
      </x:c>
    </x:row>
    <x:row r="23" ht="15" hidden="0" customHeight="1">
      <x:c r="A23" s="18" t="str">
        <x:v>MTG0022</x:v>
      </x:c>
      <x:c r="B23" s="18" t="str">
        <x:v>REV0022</x:v>
      </x:c>
      <x:c r="C23" s="18" t="str">
        <x:v>EMP007</x:v>
      </x:c>
      <x:c r="D23" s="18" t="str">
        <x:v>MGR003</x:v>
      </x:c>
      <x:c r="E23" s="20" t="n">
        <x:v>45826.5</x:v>
      </x:c>
      <x:c r="F23" s="18" t="n">
        <x:v>60</x:v>
      </x:c>
      <x:c r="G23" s="18" t="str">
        <x:v>Completed</x:v>
      </x:c>
      <x:c r="H23" s="18" t="str">
        <x:v>Quarterly performance and development review</x:v>
      </x:c>
      <x:c r="I23" s="18" t="str">
        <x:v>In person</x:v>
      </x:c>
    </x:row>
    <x:row r="24" ht="15" hidden="0" customHeight="1">
      <x:c r="A24" s="18" t="str">
        <x:v>MTG0023</x:v>
      </x:c>
      <x:c r="B24" s="18" t="str">
        <x:v>REV0023</x:v>
      </x:c>
      <x:c r="C24" s="18" t="str">
        <x:v>EMP008</x:v>
      </x:c>
      <x:c r="D24" s="18" t="str">
        <x:v>MGR003</x:v>
      </x:c>
      <x:c r="E24" s="20" t="n">
        <x:v>45827.5</x:v>
      </x:c>
      <x:c r="F24" s="18" t="n">
        <x:v>60</x:v>
      </x:c>
      <x:c r="G24" s="18" t="str">
        <x:v>Completed</x:v>
      </x:c>
      <x:c r="H24" s="18" t="str">
        <x:v>Quarterly performance and development review</x:v>
      </x:c>
      <x:c r="I24" s="18" t="str">
        <x:v>In person</x:v>
      </x:c>
    </x:row>
    <x:row r="25" ht="15" hidden="0" customHeight="1">
      <x:c r="A25" s="18" t="str">
        <x:v>MTG0024</x:v>
      </x:c>
      <x:c r="B25" s="18" t="str">
        <x:v>REV0024</x:v>
      </x:c>
      <x:c r="C25" s="18" t="str">
        <x:v>EMP009</x:v>
      </x:c>
      <x:c r="D25" s="18" t="str">
        <x:v>MGR004</x:v>
      </x:c>
      <x:c r="E25" s="20" t="n">
        <x:v>45828.5</x:v>
      </x:c>
      <x:c r="F25" s="18" t="n">
        <x:v>60</x:v>
      </x:c>
      <x:c r="G25" s="18" t="str">
        <x:v>Completed</x:v>
      </x:c>
      <x:c r="H25" s="18" t="str">
        <x:v>Quarterly performance and development review</x:v>
      </x:c>
      <x:c r="I25" s="18" t="str">
        <x:v>In person</x:v>
      </x:c>
    </x:row>
    <x:row r="26" ht="15" hidden="0" customHeight="1">
      <x:c r="A26" s="18" t="str">
        <x:v>MTG0025</x:v>
      </x:c>
      <x:c r="B26" s="18" t="str">
        <x:v>REV0025</x:v>
      </x:c>
      <x:c r="C26" s="18" t="str">
        <x:v>EMP010</x:v>
      </x:c>
      <x:c r="D26" s="18" t="str">
        <x:v>MGR004</x:v>
      </x:c>
      <x:c r="E26" s="20" t="n">
        <x:v>45829.5</x:v>
      </x:c>
      <x:c r="F26" s="18" t="n">
        <x:v>60</x:v>
      </x:c>
      <x:c r="G26" s="18" t="str">
        <x:v>Completed</x:v>
      </x:c>
      <x:c r="H26" s="18" t="str">
        <x:v>Quarterly performance and development review</x:v>
      </x:c>
      <x:c r="I26" s="18" t="str">
        <x:v>In person</x:v>
      </x:c>
    </x:row>
    <x:row r="27" ht="15" hidden="0" customHeight="1">
      <x:c r="A27" s="18" t="str">
        <x:v>MTG0026</x:v>
      </x:c>
      <x:c r="B27" s="18" t="str">
        <x:v>REV0026</x:v>
      </x:c>
      <x:c r="C27" s="18" t="str">
        <x:v>EMP011</x:v>
      </x:c>
      <x:c r="D27" s="18" t="str">
        <x:v>MGR004</x:v>
      </x:c>
      <x:c r="E27" s="20" t="n">
        <x:v>45830.5</x:v>
      </x:c>
      <x:c r="F27" s="18" t="n">
        <x:v>60</x:v>
      </x:c>
      <x:c r="G27" s="18" t="str">
        <x:v>Completed</x:v>
      </x:c>
      <x:c r="H27" s="18" t="str">
        <x:v>Quarterly performance and development review</x:v>
      </x:c>
      <x:c r="I27" s="18" t="str">
        <x:v>In person</x:v>
      </x:c>
    </x:row>
    <x:row r="28" ht="15" hidden="0" customHeight="1">
      <x:c r="A28" s="18" t="str">
        <x:v>MTG0027</x:v>
      </x:c>
      <x:c r="B28" s="18" t="str">
        <x:v>REV0027</x:v>
      </x:c>
      <x:c r="C28" s="18" t="str">
        <x:v>EMP012</x:v>
      </x:c>
      <x:c r="D28" s="18" t="str">
        <x:v>MGR005</x:v>
      </x:c>
      <x:c r="E28" s="20" t="n">
        <x:v>45831.5</x:v>
      </x:c>
      <x:c r="F28" s="18" t="n">
        <x:v>60</x:v>
      </x:c>
      <x:c r="G28" s="18" t="str">
        <x:v>Completed</x:v>
      </x:c>
      <x:c r="H28" s="18" t="str">
        <x:v>Quarterly performance and development review</x:v>
      </x:c>
      <x:c r="I28" s="18" t="str">
        <x:v>In person</x:v>
      </x:c>
    </x:row>
    <x:row r="29" ht="15" hidden="0" customHeight="1">
      <x:c r="A29" s="18" t="str">
        <x:v>MTG0028</x:v>
      </x:c>
      <x:c r="B29" s="18" t="str">
        <x:v>REV0028</x:v>
      </x:c>
      <x:c r="C29" s="18" t="str">
        <x:v>EMP013</x:v>
      </x:c>
      <x:c r="D29" s="18" t="str">
        <x:v>MGR005</x:v>
      </x:c>
      <x:c r="E29" s="20" t="n">
        <x:v>45820.5</x:v>
      </x:c>
      <x:c r="F29" s="18" t="n">
        <x:v>60</x:v>
      </x:c>
      <x:c r="G29" s="18" t="str">
        <x:v>Completed</x:v>
      </x:c>
      <x:c r="H29" s="18" t="str">
        <x:v>Quarterly performance and development review</x:v>
      </x:c>
      <x:c r="I29" s="18" t="str">
        <x:v>In person</x:v>
      </x:c>
    </x:row>
    <x:row r="30" ht="15" hidden="0" customHeight="1">
      <x:c r="A30" s="18" t="str">
        <x:v>MTG0029</x:v>
      </x:c>
      <x:c r="B30" s="18" t="str">
        <x:v>REV0029</x:v>
      </x:c>
      <x:c r="C30" s="18" t="str">
        <x:v>EMP014</x:v>
      </x:c>
      <x:c r="D30" s="18" t="str">
        <x:v>MGR006</x:v>
      </x:c>
      <x:c r="E30" s="20" t="n">
        <x:v>45821.5</x:v>
      </x:c>
      <x:c r="F30" s="18" t="n">
        <x:v>60</x:v>
      </x:c>
      <x:c r="G30" s="18" t="str">
        <x:v>Completed</x:v>
      </x:c>
      <x:c r="H30" s="18" t="str">
        <x:v>Quarterly performance and development review</x:v>
      </x:c>
      <x:c r="I30" s="18" t="str">
        <x:v>In person</x:v>
      </x:c>
    </x:row>
    <x:row r="31" ht="15" hidden="0" customHeight="1">
      <x:c r="A31" s="18" t="str">
        <x:v>MTG0030</x:v>
      </x:c>
      <x:c r="B31" s="18" t="str">
        <x:v>REV0030</x:v>
      </x:c>
      <x:c r="C31" s="18" t="str">
        <x:v>EMP015</x:v>
      </x:c>
      <x:c r="D31" s="18" t="str">
        <x:v>MGR006</x:v>
      </x:c>
      <x:c r="E31" s="20" t="n">
        <x:v>45822.5</x:v>
      </x:c>
      <x:c r="F31" s="18" t="n">
        <x:v>60</x:v>
      </x:c>
      <x:c r="G31" s="18" t="str">
        <x:v>Completed</x:v>
      </x:c>
      <x:c r="H31" s="18" t="str">
        <x:v>Quarterly performance and development review</x:v>
      </x:c>
      <x:c r="I31" s="18" t="str">
        <x:v>In person</x:v>
      </x:c>
    </x:row>
    <x:row r="32" ht="15" hidden="0" customHeight="1">
      <x:c r="A32" s="18" t="str">
        <x:v>MTG0031</x:v>
      </x:c>
      <x:c r="B32" s="18" t="str">
        <x:v>REV0031</x:v>
      </x:c>
      <x:c r="C32" s="18" t="str">
        <x:v>EMP001</x:v>
      </x:c>
      <x:c r="D32" s="18" t="str">
        <x:v>MGR001</x:v>
      </x:c>
      <x:c r="E32" s="20" t="n">
        <x:v>45912.5</x:v>
      </x:c>
      <x:c r="F32" s="18" t="n">
        <x:v>60</x:v>
      </x:c>
      <x:c r="G32" s="18" t="str">
        <x:v>Completed</x:v>
      </x:c>
      <x:c r="H32" s="18" t="str">
        <x:v>Quarterly performance and development review</x:v>
      </x:c>
      <x:c r="I32" s="18" t="str">
        <x:v>In person</x:v>
      </x:c>
    </x:row>
    <x:row r="33" ht="15" hidden="0" customHeight="1">
      <x:c r="A33" s="18" t="str">
        <x:v>MTG0032</x:v>
      </x:c>
      <x:c r="B33" s="18" t="str">
        <x:v>REV0032</x:v>
      </x:c>
      <x:c r="C33" s="18" t="str">
        <x:v>EMP002</x:v>
      </x:c>
      <x:c r="D33" s="18" t="str">
        <x:v>MGR001</x:v>
      </x:c>
      <x:c r="E33" s="20" t="n">
        <x:v>45913.5</x:v>
      </x:c>
      <x:c r="F33" s="18" t="n">
        <x:v>60</x:v>
      </x:c>
      <x:c r="G33" s="18" t="str">
        <x:v>Completed</x:v>
      </x:c>
      <x:c r="H33" s="18" t="str">
        <x:v>Quarterly performance and development review</x:v>
      </x:c>
      <x:c r="I33" s="18" t="str">
        <x:v>In person</x:v>
      </x:c>
    </x:row>
    <x:row r="34" ht="15" hidden="0" customHeight="1">
      <x:c r="A34" s="18" t="str">
        <x:v>MTG0033</x:v>
      </x:c>
      <x:c r="B34" s="18" t="str">
        <x:v>REV0033</x:v>
      </x:c>
      <x:c r="C34" s="18" t="str">
        <x:v>EMP003</x:v>
      </x:c>
      <x:c r="D34" s="18" t="str">
        <x:v>MGR001</x:v>
      </x:c>
      <x:c r="E34" s="20" t="n">
        <x:v>45914.5</x:v>
      </x:c>
      <x:c r="F34" s="18" t="n">
        <x:v>60</x:v>
      </x:c>
      <x:c r="G34" s="18" t="str">
        <x:v>Completed</x:v>
      </x:c>
      <x:c r="H34" s="18" t="str">
        <x:v>Quarterly performance and development review</x:v>
      </x:c>
      <x:c r="I34" s="18" t="str">
        <x:v>In person</x:v>
      </x:c>
    </x:row>
    <x:row r="35" ht="15" hidden="0" customHeight="1">
      <x:c r="A35" s="18" t="str">
        <x:v>MTG0034</x:v>
      </x:c>
      <x:c r="B35" s="18" t="str">
        <x:v>REV0034</x:v>
      </x:c>
      <x:c r="C35" s="18" t="str">
        <x:v>EMP004</x:v>
      </x:c>
      <x:c r="D35" s="18" t="str">
        <x:v>MGR002</x:v>
      </x:c>
      <x:c r="E35" s="20" t="n">
        <x:v>45915.5</x:v>
      </x:c>
      <x:c r="F35" s="18" t="n">
        <x:v>60</x:v>
      </x:c>
      <x:c r="G35" s="18" t="str">
        <x:v>Completed</x:v>
      </x:c>
      <x:c r="H35" s="18" t="str">
        <x:v>Quarterly performance and development review</x:v>
      </x:c>
      <x:c r="I35" s="18" t="str">
        <x:v>In person</x:v>
      </x:c>
    </x:row>
    <x:row r="36" ht="15" hidden="0" customHeight="1">
      <x:c r="A36" s="18" t="str">
        <x:v>MTG0035</x:v>
      </x:c>
      <x:c r="B36" s="18" t="str">
        <x:v>REV0035</x:v>
      </x:c>
      <x:c r="C36" s="18" t="str">
        <x:v>EMP005</x:v>
      </x:c>
      <x:c r="D36" s="18" t="str">
        <x:v>MGR002</x:v>
      </x:c>
      <x:c r="E36" s="20" t="n">
        <x:v>45916.5</x:v>
      </x:c>
      <x:c r="F36" s="18" t="n">
        <x:v>60</x:v>
      </x:c>
      <x:c r="G36" s="18" t="str">
        <x:v>Completed</x:v>
      </x:c>
      <x:c r="H36" s="18" t="str">
        <x:v>Quarterly performance and development review</x:v>
      </x:c>
      <x:c r="I36" s="18" t="str">
        <x:v>In person</x:v>
      </x:c>
    </x:row>
    <x:row r="37" ht="15" hidden="0" customHeight="1">
      <x:c r="A37" s="18" t="str">
        <x:v>MTG0036</x:v>
      </x:c>
      <x:c r="B37" s="18" t="str">
        <x:v>REV0036</x:v>
      </x:c>
      <x:c r="C37" s="18" t="str">
        <x:v>EMP006</x:v>
      </x:c>
      <x:c r="D37" s="18" t="str">
        <x:v>MGR002</x:v>
      </x:c>
      <x:c r="E37" s="20" t="n">
        <x:v>45917.5</x:v>
      </x:c>
      <x:c r="F37" s="18" t="n">
        <x:v>60</x:v>
      </x:c>
      <x:c r="G37" s="18" t="str">
        <x:v>Completed</x:v>
      </x:c>
      <x:c r="H37" s="18" t="str">
        <x:v>Quarterly performance and development review</x:v>
      </x:c>
      <x:c r="I37" s="18" t="str">
        <x:v>In person</x:v>
      </x:c>
    </x:row>
    <x:row r="38" ht="15" hidden="0" customHeight="1">
      <x:c r="A38" s="18" t="str">
        <x:v>MTG0037</x:v>
      </x:c>
      <x:c r="B38" s="18" t="str">
        <x:v>REV0037</x:v>
      </x:c>
      <x:c r="C38" s="18" t="str">
        <x:v>EMP007</x:v>
      </x:c>
      <x:c r="D38" s="18" t="str">
        <x:v>MGR003</x:v>
      </x:c>
      <x:c r="E38" s="20" t="n">
        <x:v>45918.5</x:v>
      </x:c>
      <x:c r="F38" s="18" t="n">
        <x:v>60</x:v>
      </x:c>
      <x:c r="G38" s="18" t="str">
        <x:v>Completed</x:v>
      </x:c>
      <x:c r="H38" s="18" t="str">
        <x:v>Quarterly performance and development review</x:v>
      </x:c>
      <x:c r="I38" s="18" t="str">
        <x:v>In person</x:v>
      </x:c>
    </x:row>
    <x:row r="39" ht="15" hidden="0" customHeight="1">
      <x:c r="A39" s="18" t="str">
        <x:v>MTG0038</x:v>
      </x:c>
      <x:c r="B39" s="18" t="str">
        <x:v>REV0038</x:v>
      </x:c>
      <x:c r="C39" s="18" t="str">
        <x:v>EMP008</x:v>
      </x:c>
      <x:c r="D39" s="18" t="str">
        <x:v>MGR003</x:v>
      </x:c>
      <x:c r="E39" s="20" t="n">
        <x:v>45919.5</x:v>
      </x:c>
      <x:c r="F39" s="18" t="n">
        <x:v>60</x:v>
      </x:c>
      <x:c r="G39" s="18" t="str">
        <x:v>Completed</x:v>
      </x:c>
      <x:c r="H39" s="18" t="str">
        <x:v>Quarterly performance and development review</x:v>
      </x:c>
      <x:c r="I39" s="18" t="str">
        <x:v>In person</x:v>
      </x:c>
    </x:row>
    <x:row r="40" ht="15" hidden="0" customHeight="1">
      <x:c r="A40" s="18" t="str">
        <x:v>MTG0039</x:v>
      </x:c>
      <x:c r="B40" s="18" t="str">
        <x:v>REV0039</x:v>
      </x:c>
      <x:c r="C40" s="18" t="str">
        <x:v>EMP009</x:v>
      </x:c>
      <x:c r="D40" s="18" t="str">
        <x:v>MGR004</x:v>
      </x:c>
      <x:c r="E40" s="20" t="n">
        <x:v>45920.5</x:v>
      </x:c>
      <x:c r="F40" s="18" t="n">
        <x:v>60</x:v>
      </x:c>
      <x:c r="G40" s="18" t="str">
        <x:v>Completed</x:v>
      </x:c>
      <x:c r="H40" s="18" t="str">
        <x:v>Quarterly performance and development review</x:v>
      </x:c>
      <x:c r="I40" s="18" t="str">
        <x:v>In person</x:v>
      </x:c>
    </x:row>
    <x:row r="41" ht="15" hidden="0" customHeight="1">
      <x:c r="A41" s="18" t="str">
        <x:v>MTG0040</x:v>
      </x:c>
      <x:c r="B41" s="18" t="str">
        <x:v>REV0040</x:v>
      </x:c>
      <x:c r="C41" s="18" t="str">
        <x:v>EMP010</x:v>
      </x:c>
      <x:c r="D41" s="18" t="str">
        <x:v>MGR004</x:v>
      </x:c>
      <x:c r="E41" s="20" t="n">
        <x:v>45921.5</x:v>
      </x:c>
      <x:c r="F41" s="18" t="n">
        <x:v>60</x:v>
      </x:c>
      <x:c r="G41" s="18" t="str">
        <x:v>Completed</x:v>
      </x:c>
      <x:c r="H41" s="18" t="str">
        <x:v>Quarterly performance and development review</x:v>
      </x:c>
      <x:c r="I41" s="18" t="str">
        <x:v>In person</x:v>
      </x:c>
    </x:row>
    <x:row r="42" ht="15" hidden="0" customHeight="1">
      <x:c r="A42" s="18" t="str">
        <x:v>MTG0041</x:v>
      </x:c>
      <x:c r="B42" s="18" t="str">
        <x:v>REV0041</x:v>
      </x:c>
      <x:c r="C42" s="18" t="str">
        <x:v>EMP011</x:v>
      </x:c>
      <x:c r="D42" s="18" t="str">
        <x:v>MGR004</x:v>
      </x:c>
      <x:c r="E42" s="20" t="n">
        <x:v>45922.5</x:v>
      </x:c>
      <x:c r="F42" s="18" t="n">
        <x:v>60</x:v>
      </x:c>
      <x:c r="G42" s="18" t="str">
        <x:v>Completed</x:v>
      </x:c>
      <x:c r="H42" s="18" t="str">
        <x:v>Quarterly performance and development review</x:v>
      </x:c>
      <x:c r="I42" s="18" t="str">
        <x:v>In person</x:v>
      </x:c>
    </x:row>
    <x:row r="43" ht="15" hidden="0" customHeight="1">
      <x:c r="A43" s="18" t="str">
        <x:v>MTG0042</x:v>
      </x:c>
      <x:c r="B43" s="18" t="str">
        <x:v>REV0042</x:v>
      </x:c>
      <x:c r="C43" s="18" t="str">
        <x:v>EMP012</x:v>
      </x:c>
      <x:c r="D43" s="18" t="str">
        <x:v>MGR005</x:v>
      </x:c>
      <x:c r="E43" s="20" t="n">
        <x:v>45923.5</x:v>
      </x:c>
      <x:c r="F43" s="18" t="n">
        <x:v>60</x:v>
      </x:c>
      <x:c r="G43" s="18" t="str">
        <x:v>Completed</x:v>
      </x:c>
      <x:c r="H43" s="18" t="str">
        <x:v>Quarterly performance and development review</x:v>
      </x:c>
      <x:c r="I43" s="18" t="str">
        <x:v>In person</x:v>
      </x:c>
    </x:row>
    <x:row r="44" ht="15" hidden="0" customHeight="1">
      <x:c r="A44" s="18" t="str">
        <x:v>MTG0043</x:v>
      </x:c>
      <x:c r="B44" s="18" t="str">
        <x:v>REV0043</x:v>
      </x:c>
      <x:c r="C44" s="18" t="str">
        <x:v>EMP013</x:v>
      </x:c>
      <x:c r="D44" s="18" t="str">
        <x:v>MGR005</x:v>
      </x:c>
      <x:c r="E44" s="20" t="n">
        <x:v>45912.5</x:v>
      </x:c>
      <x:c r="F44" s="18" t="n">
        <x:v>60</x:v>
      </x:c>
      <x:c r="G44" s="18" t="str">
        <x:v>Completed</x:v>
      </x:c>
      <x:c r="H44" s="18" t="str">
        <x:v>Quarterly performance and development review</x:v>
      </x:c>
      <x:c r="I44" s="18" t="str">
        <x:v>In person</x:v>
      </x:c>
    </x:row>
    <x:row r="45" ht="15" hidden="0" customHeight="1">
      <x:c r="A45" s="18" t="str">
        <x:v>MTG0044</x:v>
      </x:c>
      <x:c r="B45" s="18" t="str">
        <x:v>REV0044</x:v>
      </x:c>
      <x:c r="C45" s="18" t="str">
        <x:v>EMP014</x:v>
      </x:c>
      <x:c r="D45" s="18" t="str">
        <x:v>MGR006</x:v>
      </x:c>
      <x:c r="E45" s="20" t="n">
        <x:v>45913.5</x:v>
      </x:c>
      <x:c r="F45" s="18" t="n">
        <x:v>60</x:v>
      </x:c>
      <x:c r="G45" s="18" t="str">
        <x:v>Completed</x:v>
      </x:c>
      <x:c r="H45" s="18" t="str">
        <x:v>Quarterly performance and development review</x:v>
      </x:c>
      <x:c r="I45" s="18" t="str">
        <x:v>In person</x:v>
      </x:c>
    </x:row>
    <x:row r="46" ht="15" hidden="0" customHeight="1">
      <x:c r="A46" s="18" t="str">
        <x:v>MTG0045</x:v>
      </x:c>
      <x:c r="B46" s="18" t="str">
        <x:v>REV0045</x:v>
      </x:c>
      <x:c r="C46" s="18" t="str">
        <x:v>EMP015</x:v>
      </x:c>
      <x:c r="D46" s="18" t="str">
        <x:v>MGR006</x:v>
      </x:c>
      <x:c r="E46" s="20" t="n">
        <x:v>45914.5</x:v>
      </x:c>
      <x:c r="F46" s="18" t="n">
        <x:v>60</x:v>
      </x:c>
      <x:c r="G46" s="18" t="str">
        <x:v>Completed</x:v>
      </x:c>
      <x:c r="H46" s="18" t="str">
        <x:v>Quarterly performance and development review</x:v>
      </x:c>
      <x:c r="I46" s="18" t="str">
        <x:v>In person</x:v>
      </x:c>
    </x:row>
    <x:row r="47" ht="15" hidden="0" customHeight="1">
      <x:c r="A47" s="18" t="str">
        <x:v>MTG0046</x:v>
      </x:c>
      <x:c r="B47" s="18" t="str">
        <x:v>REV0046</x:v>
      </x:c>
      <x:c r="C47" s="18" t="str">
        <x:v>EMP001</x:v>
      </x:c>
      <x:c r="D47" s="18" t="str">
        <x:v>MGR001</x:v>
      </x:c>
      <x:c r="E47" s="20" t="n">
        <x:v>46004.5</x:v>
      </x:c>
      <x:c r="F47" s="18" t="n">
        <x:v>60</x:v>
      </x:c>
      <x:c r="G47" s="18" t="str">
        <x:v>Completed</x:v>
      </x:c>
      <x:c r="H47" s="18" t="str">
        <x:v>Quarterly performance and development review</x:v>
      </x:c>
      <x:c r="I47" s="18" t="str">
        <x:v>In person</x:v>
      </x:c>
    </x:row>
    <x:row r="48" ht="15" hidden="0" customHeight="1">
      <x:c r="A48" s="18" t="str">
        <x:v>MTG0047</x:v>
      </x:c>
      <x:c r="B48" s="18" t="str">
        <x:v>REV0047</x:v>
      </x:c>
      <x:c r="C48" s="18" t="str">
        <x:v>EMP002</x:v>
      </x:c>
      <x:c r="D48" s="18" t="str">
        <x:v>MGR001</x:v>
      </x:c>
      <x:c r="E48" s="20" t="n">
        <x:v>46005.5</x:v>
      </x:c>
      <x:c r="F48" s="18" t="n">
        <x:v>60</x:v>
      </x:c>
      <x:c r="G48" s="18" t="str">
        <x:v>Completed</x:v>
      </x:c>
      <x:c r="H48" s="18" t="str">
        <x:v>Quarterly performance and development review</x:v>
      </x:c>
      <x:c r="I48" s="18" t="str">
        <x:v>In person</x:v>
      </x:c>
    </x:row>
    <x:row r="49" ht="15" hidden="0" customHeight="1">
      <x:c r="A49" s="18" t="str">
        <x:v>MTG0048</x:v>
      </x:c>
      <x:c r="B49" s="18" t="str">
        <x:v>REV0048</x:v>
      </x:c>
      <x:c r="C49" s="18" t="str">
        <x:v>EMP003</x:v>
      </x:c>
      <x:c r="D49" s="18" t="str">
        <x:v>MGR001</x:v>
      </x:c>
      <x:c r="E49" s="20" t="n">
        <x:v>46006.5</x:v>
      </x:c>
      <x:c r="F49" s="18" t="n">
        <x:v>60</x:v>
      </x:c>
      <x:c r="G49" s="18" t="str">
        <x:v>Completed</x:v>
      </x:c>
      <x:c r="H49" s="18" t="str">
        <x:v>Quarterly performance and development review</x:v>
      </x:c>
      <x:c r="I49" s="18" t="str">
        <x:v>In person</x:v>
      </x:c>
    </x:row>
    <x:row r="50" ht="15" hidden="0" customHeight="1">
      <x:c r="A50" s="18" t="str">
        <x:v>MTG0049</x:v>
      </x:c>
      <x:c r="B50" s="18" t="str">
        <x:v>REV0049</x:v>
      </x:c>
      <x:c r="C50" s="18" t="str">
        <x:v>EMP004</x:v>
      </x:c>
      <x:c r="D50" s="18" t="str">
        <x:v>MGR002</x:v>
      </x:c>
      <x:c r="E50" s="20" t="n">
        <x:v>46007.5</x:v>
      </x:c>
      <x:c r="F50" s="18" t="n">
        <x:v>60</x:v>
      </x:c>
      <x:c r="G50" s="18" t="str">
        <x:v>Completed</x:v>
      </x:c>
      <x:c r="H50" s="18" t="str">
        <x:v>Quarterly performance and development review</x:v>
      </x:c>
      <x:c r="I50" s="18" t="str">
        <x:v>In person</x:v>
      </x:c>
    </x:row>
    <x:row r="51" ht="15" hidden="0" customHeight="1">
      <x:c r="A51" s="18" t="str">
        <x:v>MTG0050</x:v>
      </x:c>
      <x:c r="B51" s="18" t="str">
        <x:v>REV0050</x:v>
      </x:c>
      <x:c r="C51" s="18" t="str">
        <x:v>EMP005</x:v>
      </x:c>
      <x:c r="D51" s="18" t="str">
        <x:v>MGR002</x:v>
      </x:c>
      <x:c r="E51" s="20" t="n">
        <x:v>46008.5</x:v>
      </x:c>
      <x:c r="F51" s="18" t="n">
        <x:v>60</x:v>
      </x:c>
      <x:c r="G51" s="18" t="str">
        <x:v>Completed</x:v>
      </x:c>
      <x:c r="H51" s="18" t="str">
        <x:v>Quarterly performance and development review</x:v>
      </x:c>
      <x:c r="I51" s="18" t="str">
        <x:v>In person</x:v>
      </x:c>
    </x:row>
    <x:row r="52" ht="15" hidden="0" customHeight="1">
      <x:c r="A52" s="18" t="str">
        <x:v>MTG0051</x:v>
      </x:c>
      <x:c r="B52" s="18" t="str">
        <x:v>REV0051</x:v>
      </x:c>
      <x:c r="C52" s="18" t="str">
        <x:v>EMP006</x:v>
      </x:c>
      <x:c r="D52" s="18" t="str">
        <x:v>MGR002</x:v>
      </x:c>
      <x:c r="E52" s="20" t="n">
        <x:v>46009.5</x:v>
      </x:c>
      <x:c r="F52" s="18" t="n">
        <x:v>60</x:v>
      </x:c>
      <x:c r="G52" s="18" t="str">
        <x:v>Completed</x:v>
      </x:c>
      <x:c r="H52" s="18" t="str">
        <x:v>Quarterly performance and development review</x:v>
      </x:c>
      <x:c r="I52" s="18" t="str">
        <x:v>In person</x:v>
      </x:c>
    </x:row>
    <x:row r="53" ht="15" hidden="0" customHeight="1">
      <x:c r="A53" s="18" t="str">
        <x:v>MTG0052</x:v>
      </x:c>
      <x:c r="B53" s="18" t="str">
        <x:v>REV0052</x:v>
      </x:c>
      <x:c r="C53" s="18" t="str">
        <x:v>EMP007</x:v>
      </x:c>
      <x:c r="D53" s="18" t="str">
        <x:v>MGR003</x:v>
      </x:c>
      <x:c r="E53" s="20" t="n">
        <x:v>46010.5</x:v>
      </x:c>
      <x:c r="F53" s="18" t="n">
        <x:v>60</x:v>
      </x:c>
      <x:c r="G53" s="18" t="str">
        <x:v>Completed</x:v>
      </x:c>
      <x:c r="H53" s="18" t="str">
        <x:v>Quarterly performance and development review</x:v>
      </x:c>
      <x:c r="I53" s="18" t="str">
        <x:v>In person</x:v>
      </x:c>
    </x:row>
    <x:row r="54" ht="15" hidden="0" customHeight="1">
      <x:c r="A54" s="18" t="str">
        <x:v>MTG0053</x:v>
      </x:c>
      <x:c r="B54" s="18" t="str">
        <x:v>REV0053</x:v>
      </x:c>
      <x:c r="C54" s="18" t="str">
        <x:v>EMP008</x:v>
      </x:c>
      <x:c r="D54" s="18" t="str">
        <x:v>MGR003</x:v>
      </x:c>
      <x:c r="E54" s="20" t="n">
        <x:v>46011.5</x:v>
      </x:c>
      <x:c r="F54" s="18" t="n">
        <x:v>60</x:v>
      </x:c>
      <x:c r="G54" s="18" t="str">
        <x:v>Completed</x:v>
      </x:c>
      <x:c r="H54" s="18" t="str">
        <x:v>Quarterly performance and development review</x:v>
      </x:c>
      <x:c r="I54" s="18" t="str">
        <x:v>In person</x:v>
      </x:c>
    </x:row>
    <x:row r="55" ht="15" hidden="0" customHeight="1">
      <x:c r="A55" s="18" t="str">
        <x:v>MTG0054</x:v>
      </x:c>
      <x:c r="B55" s="18" t="str">
        <x:v>REV0054</x:v>
      </x:c>
      <x:c r="C55" s="18" t="str">
        <x:v>EMP009</x:v>
      </x:c>
      <x:c r="D55" s="18" t="str">
        <x:v>MGR004</x:v>
      </x:c>
      <x:c r="E55" s="20" t="n">
        <x:v>46012.5</x:v>
      </x:c>
      <x:c r="F55" s="18" t="n">
        <x:v>60</x:v>
      </x:c>
      <x:c r="G55" s="18" t="str">
        <x:v>Completed</x:v>
      </x:c>
      <x:c r="H55" s="18" t="str">
        <x:v>Quarterly performance and development review</x:v>
      </x:c>
      <x:c r="I55" s="18" t="str">
        <x:v>In person</x:v>
      </x:c>
    </x:row>
    <x:row r="56" ht="15" hidden="0" customHeight="1">
      <x:c r="A56" s="18" t="str">
        <x:v>MTG0055</x:v>
      </x:c>
      <x:c r="B56" s="18" t="str">
        <x:v>REV0055</x:v>
      </x:c>
      <x:c r="C56" s="18" t="str">
        <x:v>EMP010</x:v>
      </x:c>
      <x:c r="D56" s="18" t="str">
        <x:v>MGR004</x:v>
      </x:c>
      <x:c r="E56" s="20" t="n">
        <x:v>46013.5</x:v>
      </x:c>
      <x:c r="F56" s="18" t="n">
        <x:v>60</x:v>
      </x:c>
      <x:c r="G56" s="18" t="str">
        <x:v>Completed</x:v>
      </x:c>
      <x:c r="H56" s="18" t="str">
        <x:v>Quarterly performance and development review</x:v>
      </x:c>
      <x:c r="I56" s="18" t="str">
        <x:v>In person</x:v>
      </x:c>
    </x:row>
    <x:row r="57" ht="15" hidden="0" customHeight="1">
      <x:c r="A57" s="18" t="str">
        <x:v>MTG0056</x:v>
      </x:c>
      <x:c r="B57" s="18" t="str">
        <x:v>REV0056</x:v>
      </x:c>
      <x:c r="C57" s="18" t="str">
        <x:v>EMP011</x:v>
      </x:c>
      <x:c r="D57" s="18" t="str">
        <x:v>MGR004</x:v>
      </x:c>
      <x:c r="E57" s="20" t="n">
        <x:v>46014.5</x:v>
      </x:c>
      <x:c r="F57" s="18" t="n">
        <x:v>60</x:v>
      </x:c>
      <x:c r="G57" s="18" t="str">
        <x:v>Completed</x:v>
      </x:c>
      <x:c r="H57" s="18" t="str">
        <x:v>Quarterly performance and development review</x:v>
      </x:c>
      <x:c r="I57" s="18" t="str">
        <x:v>In person</x:v>
      </x:c>
    </x:row>
    <x:row r="58" ht="15" hidden="0" customHeight="1">
      <x:c r="A58" s="18" t="str">
        <x:v>MTG0057</x:v>
      </x:c>
      <x:c r="B58" s="18" t="str">
        <x:v>REV0057</x:v>
      </x:c>
      <x:c r="C58" s="18" t="str">
        <x:v>EMP012</x:v>
      </x:c>
      <x:c r="D58" s="18" t="str">
        <x:v>MGR005</x:v>
      </x:c>
      <x:c r="E58" s="20" t="n">
        <x:v>46015.5</x:v>
      </x:c>
      <x:c r="F58" s="18" t="n">
        <x:v>60</x:v>
      </x:c>
      <x:c r="G58" s="18" t="str">
        <x:v>Completed</x:v>
      </x:c>
      <x:c r="H58" s="18" t="str">
        <x:v>Quarterly performance and development review</x:v>
      </x:c>
      <x:c r="I58" s="18" t="str">
        <x:v>In person</x:v>
      </x:c>
    </x:row>
    <x:row r="59" ht="15" hidden="0" customHeight="1">
      <x:c r="A59" s="18" t="str">
        <x:v>MTG0058</x:v>
      </x:c>
      <x:c r="B59" s="18" t="str">
        <x:v>REV0058</x:v>
      </x:c>
      <x:c r="C59" s="18" t="str">
        <x:v>EMP013</x:v>
      </x:c>
      <x:c r="D59" s="18" t="str">
        <x:v>MGR005</x:v>
      </x:c>
      <x:c r="E59" s="20" t="n">
        <x:v>46004.5</x:v>
      </x:c>
      <x:c r="F59" s="18" t="n">
        <x:v>60</x:v>
      </x:c>
      <x:c r="G59" s="18" t="str">
        <x:v>Completed</x:v>
      </x:c>
      <x:c r="H59" s="18" t="str">
        <x:v>Quarterly performance and development review</x:v>
      </x:c>
      <x:c r="I59" s="18" t="str">
        <x:v>In person</x:v>
      </x:c>
    </x:row>
    <x:row r="60" ht="15" hidden="0" customHeight="1">
      <x:c r="A60" s="18" t="str">
        <x:v>MTG0059</x:v>
      </x:c>
      <x:c r="B60" s="18" t="str">
        <x:v>REV0059</x:v>
      </x:c>
      <x:c r="C60" s="18" t="str">
        <x:v>EMP014</x:v>
      </x:c>
      <x:c r="D60" s="18" t="str">
        <x:v>MGR006</x:v>
      </x:c>
      <x:c r="E60" s="20" t="n">
        <x:v>46005.5</x:v>
      </x:c>
      <x:c r="F60" s="18" t="n">
        <x:v>60</x:v>
      </x:c>
      <x:c r="G60" s="18" t="str">
        <x:v>Completed</x:v>
      </x:c>
      <x:c r="H60" s="18" t="str">
        <x:v>Quarterly performance and development review</x:v>
      </x:c>
      <x:c r="I60" s="18" t="str">
        <x:v>In person</x:v>
      </x:c>
    </x:row>
    <x:row r="61" ht="15" hidden="0" customHeight="1">
      <x:c r="A61" s="18" t="str">
        <x:v>MTG0060</x:v>
      </x:c>
      <x:c r="B61" s="18" t="str">
        <x:v>REV0060</x:v>
      </x:c>
      <x:c r="C61" s="18" t="str">
        <x:v>EMP015</x:v>
      </x:c>
      <x:c r="D61" s="18" t="str">
        <x:v>MGR006</x:v>
      </x:c>
      <x:c r="E61" s="20" t="n">
        <x:v>46006.5</x:v>
      </x:c>
      <x:c r="F61" s="18" t="n">
        <x:v>60</x:v>
      </x:c>
      <x:c r="G61" s="18" t="str">
        <x:v>Completed</x:v>
      </x:c>
      <x:c r="H61" s="18" t="str">
        <x:v>Quarterly performance and development review</x:v>
      </x:c>
      <x:c r="I61" s="18" t="str">
        <x:v>In person</x:v>
      </x:c>
    </x:row>
    <x:row r="62" ht="15" hidden="0" customHeight="1">
      <x:c r="A62" s="18" t="str">
        <x:v>MTG0061</x:v>
      </x:c>
      <x:c r="B62" s="18" t="str">
        <x:v>REV0061</x:v>
      </x:c>
      <x:c r="C62" s="18" t="str">
        <x:v>EMP001</x:v>
      </x:c>
      <x:c r="D62" s="18" t="str">
        <x:v>MGR001</x:v>
      </x:c>
      <x:c r="E62" s="20" t="n">
        <x:v>46094.5</x:v>
      </x:c>
      <x:c r="F62" s="18" t="n">
        <x:v>60</x:v>
      </x:c>
      <x:c r="G62" s="18" t="str">
        <x:v>Completed</x:v>
      </x:c>
      <x:c r="H62" s="18" t="str">
        <x:v>Quarterly performance and development review</x:v>
      </x:c>
      <x:c r="I62" s="18" t="str">
        <x:v>In person</x:v>
      </x:c>
    </x:row>
    <x:row r="63" ht="15" hidden="0" customHeight="1">
      <x:c r="A63" s="18" t="str">
        <x:v>MTG0062</x:v>
      </x:c>
      <x:c r="B63" s="18" t="str">
        <x:v>REV0062</x:v>
      </x:c>
      <x:c r="C63" s="18" t="str">
        <x:v>EMP002</x:v>
      </x:c>
      <x:c r="D63" s="18" t="str">
        <x:v>MGR001</x:v>
      </x:c>
      <x:c r="E63" s="20" t="n">
        <x:v>46095.5</x:v>
      </x:c>
      <x:c r="F63" s="18" t="n">
        <x:v>60</x:v>
      </x:c>
      <x:c r="G63" s="18" t="str">
        <x:v>Completed</x:v>
      </x:c>
      <x:c r="H63" s="18" t="str">
        <x:v>Quarterly performance and development review</x:v>
      </x:c>
      <x:c r="I63" s="18" t="str">
        <x:v>In person</x:v>
      </x:c>
    </x:row>
    <x:row r="64" ht="15" hidden="0" customHeight="1">
      <x:c r="A64" s="18" t="str">
        <x:v>MTG0063</x:v>
      </x:c>
      <x:c r="B64" s="18" t="str">
        <x:v>REV0063</x:v>
      </x:c>
      <x:c r="C64" s="18" t="str">
        <x:v>EMP003</x:v>
      </x:c>
      <x:c r="D64" s="18" t="str">
        <x:v>MGR001</x:v>
      </x:c>
      <x:c r="E64" s="20" t="n">
        <x:v>46096.5</x:v>
      </x:c>
      <x:c r="F64" s="18" t="n">
        <x:v>60</x:v>
      </x:c>
      <x:c r="G64" s="18" t="str">
        <x:v>Completed</x:v>
      </x:c>
      <x:c r="H64" s="18" t="str">
        <x:v>Quarterly performance and development review</x:v>
      </x:c>
      <x:c r="I64" s="18" t="str">
        <x:v>In person</x:v>
      </x:c>
    </x:row>
    <x:row r="65" ht="15" hidden="0" customHeight="1">
      <x:c r="A65" s="18" t="str">
        <x:v>MTG0064</x:v>
      </x:c>
      <x:c r="B65" s="18" t="str">
        <x:v>REV0064</x:v>
      </x:c>
      <x:c r="C65" s="18" t="str">
        <x:v>EMP004</x:v>
      </x:c>
      <x:c r="D65" s="18" t="str">
        <x:v>MGR002</x:v>
      </x:c>
      <x:c r="E65" s="20" t="n">
        <x:v>46097.5</x:v>
      </x:c>
      <x:c r="F65" s="18" t="n">
        <x:v>60</x:v>
      </x:c>
      <x:c r="G65" s="18" t="str">
        <x:v>Completed</x:v>
      </x:c>
      <x:c r="H65" s="18" t="str">
        <x:v>Quarterly performance and development review</x:v>
      </x:c>
      <x:c r="I65" s="18" t="str">
        <x:v>In person</x:v>
      </x:c>
    </x:row>
    <x:row r="66" ht="15" hidden="0" customHeight="1">
      <x:c r="A66" s="18" t="str">
        <x:v>MTG0065</x:v>
      </x:c>
      <x:c r="B66" s="18" t="str">
        <x:v>REV0065</x:v>
      </x:c>
      <x:c r="C66" s="18" t="str">
        <x:v>EMP005</x:v>
      </x:c>
      <x:c r="D66" s="18" t="str">
        <x:v>MGR002</x:v>
      </x:c>
      <x:c r="E66" s="20" t="n">
        <x:v>46098.5</x:v>
      </x:c>
      <x:c r="F66" s="18" t="n">
        <x:v>60</x:v>
      </x:c>
      <x:c r="G66" s="18" t="str">
        <x:v>Completed</x:v>
      </x:c>
      <x:c r="H66" s="18" t="str">
        <x:v>Quarterly performance and development review</x:v>
      </x:c>
      <x:c r="I66" s="18" t="str">
        <x:v>In person</x:v>
      </x:c>
    </x:row>
    <x:row r="67" ht="15" hidden="0" customHeight="1">
      <x:c r="A67" s="18" t="str">
        <x:v>MTG0066</x:v>
      </x:c>
      <x:c r="B67" s="18" t="str">
        <x:v>REV0066</x:v>
      </x:c>
      <x:c r="C67" s="18" t="str">
        <x:v>EMP006</x:v>
      </x:c>
      <x:c r="D67" s="18" t="str">
        <x:v>MGR002</x:v>
      </x:c>
      <x:c r="E67" s="20" t="n">
        <x:v>46099.5</x:v>
      </x:c>
      <x:c r="F67" s="18" t="n">
        <x:v>60</x:v>
      </x:c>
      <x:c r="G67" s="18" t="str">
        <x:v>Completed</x:v>
      </x:c>
      <x:c r="H67" s="18" t="str">
        <x:v>Quarterly performance and development review</x:v>
      </x:c>
      <x:c r="I67" s="18" t="str">
        <x:v>In person</x:v>
      </x:c>
    </x:row>
    <x:row r="68" ht="15" hidden="0" customHeight="1">
      <x:c r="A68" s="18" t="str">
        <x:v>MTG0067</x:v>
      </x:c>
      <x:c r="B68" s="18" t="str">
        <x:v>REV0067</x:v>
      </x:c>
      <x:c r="C68" s="18" t="str">
        <x:v>EMP007</x:v>
      </x:c>
      <x:c r="D68" s="18" t="str">
        <x:v>MGR003</x:v>
      </x:c>
      <x:c r="E68" s="20" t="n">
        <x:v>46100.5</x:v>
      </x:c>
      <x:c r="F68" s="18" t="n">
        <x:v>60</x:v>
      </x:c>
      <x:c r="G68" s="18" t="str">
        <x:v>Completed</x:v>
      </x:c>
      <x:c r="H68" s="18" t="str">
        <x:v>Quarterly performance and development review</x:v>
      </x:c>
      <x:c r="I68" s="18" t="str">
        <x:v>In person</x:v>
      </x:c>
    </x:row>
    <x:row r="69" ht="15" hidden="0" customHeight="1">
      <x:c r="A69" s="18" t="str">
        <x:v>MTG0068</x:v>
      </x:c>
      <x:c r="B69" s="18" t="str">
        <x:v>REV0068</x:v>
      </x:c>
      <x:c r="C69" s="18" t="str">
        <x:v>EMP008</x:v>
      </x:c>
      <x:c r="D69" s="18" t="str">
        <x:v>MGR003</x:v>
      </x:c>
      <x:c r="E69" s="20" t="n">
        <x:v>46101.5</x:v>
      </x:c>
      <x:c r="F69" s="18" t="n">
        <x:v>60</x:v>
      </x:c>
      <x:c r="G69" s="18" t="str">
        <x:v>Completed</x:v>
      </x:c>
      <x:c r="H69" s="18" t="str">
        <x:v>Quarterly performance and development review</x:v>
      </x:c>
      <x:c r="I69" s="18" t="str">
        <x:v>In person</x:v>
      </x:c>
    </x:row>
    <x:row r="70" ht="15" hidden="0" customHeight="1">
      <x:c r="A70" s="18" t="str">
        <x:v>MTG0069</x:v>
      </x:c>
      <x:c r="B70" s="18" t="str">
        <x:v>REV0069</x:v>
      </x:c>
      <x:c r="C70" s="18" t="str">
        <x:v>EMP009</x:v>
      </x:c>
      <x:c r="D70" s="18" t="str">
        <x:v>MGR004</x:v>
      </x:c>
      <x:c r="E70" s="20" t="n">
        <x:v>46102.5</x:v>
      </x:c>
      <x:c r="F70" s="18" t="n">
        <x:v>60</x:v>
      </x:c>
      <x:c r="G70" s="18" t="str">
        <x:v>Completed</x:v>
      </x:c>
      <x:c r="H70" s="18" t="str">
        <x:v>Quarterly performance and development review</x:v>
      </x:c>
      <x:c r="I70" s="18" t="str">
        <x:v>In person</x:v>
      </x:c>
    </x:row>
    <x:row r="71" ht="15" hidden="0" customHeight="1">
      <x:c r="A71" s="18" t="str">
        <x:v>MTG0070</x:v>
      </x:c>
      <x:c r="B71" s="18" t="str">
        <x:v>REV0070</x:v>
      </x:c>
      <x:c r="C71" s="18" t="str">
        <x:v>EMP010</x:v>
      </x:c>
      <x:c r="D71" s="18" t="str">
        <x:v>MGR004</x:v>
      </x:c>
      <x:c r="E71" s="20" t="n">
        <x:v>46103.5</x:v>
      </x:c>
      <x:c r="F71" s="18" t="n">
        <x:v>60</x:v>
      </x:c>
      <x:c r="G71" s="18" t="str">
        <x:v>Completed</x:v>
      </x:c>
      <x:c r="H71" s="18" t="str">
        <x:v>Quarterly performance and development review</x:v>
      </x:c>
      <x:c r="I71" s="18" t="str">
        <x:v>In person</x:v>
      </x:c>
    </x:row>
    <x:row r="72" ht="15" hidden="0" customHeight="1">
      <x:c r="A72" s="18" t="str">
        <x:v>MTG0071</x:v>
      </x:c>
      <x:c r="B72" s="18" t="str">
        <x:v>REV0071</x:v>
      </x:c>
      <x:c r="C72" s="18" t="str">
        <x:v>EMP011</x:v>
      </x:c>
      <x:c r="D72" s="18" t="str">
        <x:v>MGR004</x:v>
      </x:c>
      <x:c r="E72" s="20" t="n">
        <x:v>46104.5</x:v>
      </x:c>
      <x:c r="F72" s="18" t="n">
        <x:v>60</x:v>
      </x:c>
      <x:c r="G72" s="18" t="str">
        <x:v>Completed</x:v>
      </x:c>
      <x:c r="H72" s="18" t="str">
        <x:v>Quarterly performance and development review</x:v>
      </x:c>
      <x:c r="I72" s="18" t="str">
        <x:v>In person</x:v>
      </x:c>
    </x:row>
    <x:row r="73" ht="15" hidden="0" customHeight="1">
      <x:c r="A73" s="18" t="str">
        <x:v>MTG0072</x:v>
      </x:c>
      <x:c r="B73" s="18" t="str">
        <x:v>REV0072</x:v>
      </x:c>
      <x:c r="C73" s="18" t="str">
        <x:v>EMP012</x:v>
      </x:c>
      <x:c r="D73" s="18" t="str">
        <x:v>MGR005</x:v>
      </x:c>
      <x:c r="E73" s="20" t="n">
        <x:v>46105.5</x:v>
      </x:c>
      <x:c r="F73" s="18" t="n">
        <x:v>60</x:v>
      </x:c>
      <x:c r="G73" s="18" t="str">
        <x:v>Completed</x:v>
      </x:c>
      <x:c r="H73" s="18" t="str">
        <x:v>Quarterly performance and development review</x:v>
      </x:c>
      <x:c r="I73" s="18" t="str">
        <x:v>In person</x:v>
      </x:c>
    </x:row>
    <x:row r="74" ht="15" hidden="0" customHeight="1">
      <x:c r="A74" s="18" t="str">
        <x:v>MTG0073</x:v>
      </x:c>
      <x:c r="B74" s="18" t="str">
        <x:v>REV0073</x:v>
      </x:c>
      <x:c r="C74" s="18" t="str">
        <x:v>EMP013</x:v>
      </x:c>
      <x:c r="D74" s="18" t="str">
        <x:v>MGR005</x:v>
      </x:c>
      <x:c r="E74" s="20" t="n">
        <x:v>46094.5</x:v>
      </x:c>
      <x:c r="F74" s="18" t="n">
        <x:v>60</x:v>
      </x:c>
      <x:c r="G74" s="18" t="str">
        <x:v>Completed</x:v>
      </x:c>
      <x:c r="H74" s="18" t="str">
        <x:v>Quarterly performance and development review</x:v>
      </x:c>
      <x:c r="I74" s="18" t="str">
        <x:v>In person</x:v>
      </x:c>
    </x:row>
    <x:row r="75" ht="15" hidden="0" customHeight="1">
      <x:c r="A75" s="18" t="str">
        <x:v>MTG0074</x:v>
      </x:c>
      <x:c r="B75" s="18" t="str">
        <x:v>REV0074</x:v>
      </x:c>
      <x:c r="C75" s="18" t="str">
        <x:v>EMP014</x:v>
      </x:c>
      <x:c r="D75" s="18" t="str">
        <x:v>MGR006</x:v>
      </x:c>
      <x:c r="E75" s="20" t="n">
        <x:v>46095.5</x:v>
      </x:c>
      <x:c r="F75" s="18" t="n">
        <x:v>60</x:v>
      </x:c>
      <x:c r="G75" s="18" t="str">
        <x:v>Completed</x:v>
      </x:c>
      <x:c r="H75" s="18" t="str">
        <x:v>Quarterly performance and development review</x:v>
      </x:c>
      <x:c r="I75" s="18" t="str">
        <x:v>In person</x:v>
      </x:c>
    </x:row>
    <x:row r="76" ht="15" hidden="0" customHeight="1">
      <x:c r="A76" s="18" t="str">
        <x:v>MTG0075</x:v>
      </x:c>
      <x:c r="B76" s="18" t="str">
        <x:v>REV0075</x:v>
      </x:c>
      <x:c r="C76" s="18" t="str">
        <x:v>EMP015</x:v>
      </x:c>
      <x:c r="D76" s="18" t="str">
        <x:v>MGR006</x:v>
      </x:c>
      <x:c r="E76" s="20" t="n">
        <x:v>46096.5</x:v>
      </x:c>
      <x:c r="F76" s="18" t="n">
        <x:v>60</x:v>
      </x:c>
      <x:c r="G76" s="18" t="str">
        <x:v>Completed</x:v>
      </x:c>
      <x:c r="H76" s="18" t="str">
        <x:v>Quarterly performance and development review</x:v>
      </x:c>
      <x:c r="I76" s="18" t="str">
        <x:v>In person</x:v>
      </x:c>
    </x:row>
    <x:row r="77" ht="15" hidden="0" customHeight="1">
      <x:c r="A77" s="18" t="str">
        <x:v>MTG0076</x:v>
      </x:c>
      <x:c r="B77" s="18" t="str">
        <x:v>REV0076</x:v>
      </x:c>
      <x:c r="C77" s="18" t="str">
        <x:v>EMP001</x:v>
      </x:c>
      <x:c r="D77" s="18" t="str">
        <x:v>MGR001</x:v>
      </x:c>
      <x:c r="E77" s="20" t="n">
        <x:v>46185.5</x:v>
      </x:c>
      <x:c r="F77" s="18" t="n">
        <x:v>60</x:v>
      </x:c>
      <x:c r="G77" s="18" t="str">
        <x:v>Completed</x:v>
      </x:c>
      <x:c r="H77" s="18" t="str">
        <x:v>Quarterly performance and development review</x:v>
      </x:c>
      <x:c r="I77" s="18" t="str">
        <x:v>In person</x:v>
      </x:c>
    </x:row>
    <x:row r="78" ht="15" hidden="0" customHeight="1">
      <x:c r="A78" s="18" t="str">
        <x:v>MTG0077</x:v>
      </x:c>
      <x:c r="B78" s="18" t="str">
        <x:v>REV0077</x:v>
      </x:c>
      <x:c r="C78" s="18" t="str">
        <x:v>EMP002</x:v>
      </x:c>
      <x:c r="D78" s="18" t="str">
        <x:v>MGR001</x:v>
      </x:c>
      <x:c r="E78" s="20" t="n">
        <x:v>46186.5</x:v>
      </x:c>
      <x:c r="F78" s="18" t="n">
        <x:v>60</x:v>
      </x:c>
      <x:c r="G78" s="18" t="str">
        <x:v>Completed</x:v>
      </x:c>
      <x:c r="H78" s="18" t="str">
        <x:v>Quarterly performance and development review</x:v>
      </x:c>
      <x:c r="I78" s="18" t="str">
        <x:v>In person</x:v>
      </x:c>
    </x:row>
    <x:row r="79" ht="15" hidden="0" customHeight="1">
      <x:c r="A79" s="18" t="str">
        <x:v>MTG0078</x:v>
      </x:c>
      <x:c r="B79" s="18" t="str">
        <x:v>REV0078</x:v>
      </x:c>
      <x:c r="C79" s="18" t="str">
        <x:v>EMP003</x:v>
      </x:c>
      <x:c r="D79" s="18" t="str">
        <x:v>MGR001</x:v>
      </x:c>
      <x:c r="E79" s="20" t="n">
        <x:v>46187.5</x:v>
      </x:c>
      <x:c r="F79" s="18" t="n">
        <x:v>60</x:v>
      </x:c>
      <x:c r="G79" s="18" t="str">
        <x:v>Completed</x:v>
      </x:c>
      <x:c r="H79" s="18" t="str">
        <x:v>Quarterly performance and development review</x:v>
      </x:c>
      <x:c r="I79" s="18" t="str">
        <x:v>In person</x:v>
      </x:c>
    </x:row>
    <x:row r="80" ht="15" hidden="0" customHeight="1">
      <x:c r="A80" s="18" t="str">
        <x:v>MTG0079</x:v>
      </x:c>
      <x:c r="B80" s="18" t="str">
        <x:v>REV0079</x:v>
      </x:c>
      <x:c r="C80" s="18" t="str">
        <x:v>EMP004</x:v>
      </x:c>
      <x:c r="D80" s="18" t="str">
        <x:v>MGR002</x:v>
      </x:c>
      <x:c r="E80" s="20" t="n">
        <x:v>46188.5</x:v>
      </x:c>
      <x:c r="F80" s="18" t="n">
        <x:v>60</x:v>
      </x:c>
      <x:c r="G80" s="18" t="str">
        <x:v>Completed</x:v>
      </x:c>
      <x:c r="H80" s="18" t="str">
        <x:v>Quarterly performance and development review</x:v>
      </x:c>
      <x:c r="I80" s="18" t="str">
        <x:v>In person</x:v>
      </x:c>
    </x:row>
    <x:row r="81" ht="15" hidden="0" customHeight="1">
      <x:c r="A81" s="18" t="str">
        <x:v>MTG0080</x:v>
      </x:c>
      <x:c r="B81" s="18" t="str">
        <x:v>REV0080</x:v>
      </x:c>
      <x:c r="C81" s="18" t="str">
        <x:v>EMP005</x:v>
      </x:c>
      <x:c r="D81" s="18" t="str">
        <x:v>MGR002</x:v>
      </x:c>
      <x:c r="E81" s="20" t="n">
        <x:v>46189.5</x:v>
      </x:c>
      <x:c r="F81" s="18" t="n">
        <x:v>60</x:v>
      </x:c>
      <x:c r="G81" s="18" t="str">
        <x:v>Completed</x:v>
      </x:c>
      <x:c r="H81" s="18" t="str">
        <x:v>Quarterly performance and development review</x:v>
      </x:c>
      <x:c r="I81" s="18" t="str">
        <x:v>In person</x:v>
      </x:c>
    </x:row>
    <x:row r="82" ht="15" hidden="0" customHeight="1">
      <x:c r="A82" s="18" t="str">
        <x:v>MTG0081</x:v>
      </x:c>
      <x:c r="B82" s="18" t="str">
        <x:v>REV0081</x:v>
      </x:c>
      <x:c r="C82" s="18" t="str">
        <x:v>EMP006</x:v>
      </x:c>
      <x:c r="D82" s="18" t="str">
        <x:v>MGR002</x:v>
      </x:c>
      <x:c r="E82" s="20" t="n">
        <x:v>46190.5</x:v>
      </x:c>
      <x:c r="F82" s="18" t="n">
        <x:v>60</x:v>
      </x:c>
      <x:c r="G82" s="18" t="str">
        <x:v>Completed</x:v>
      </x:c>
      <x:c r="H82" s="18" t="str">
        <x:v>Quarterly performance and development review</x:v>
      </x:c>
      <x:c r="I82" s="18" t="str">
        <x:v>In person</x:v>
      </x:c>
    </x:row>
    <x:row r="83" ht="15" hidden="0" customHeight="1">
      <x:c r="A83" s="18" t="str">
        <x:v>MTG0082</x:v>
      </x:c>
      <x:c r="B83" s="18" t="str">
        <x:v>REV0082</x:v>
      </x:c>
      <x:c r="C83" s="18" t="str">
        <x:v>EMP007</x:v>
      </x:c>
      <x:c r="D83" s="18" t="str">
        <x:v>MGR003</x:v>
      </x:c>
      <x:c r="E83" s="20" t="n">
        <x:v>46191.5</x:v>
      </x:c>
      <x:c r="F83" s="18" t="n">
        <x:v>60</x:v>
      </x:c>
      <x:c r="G83" s="18" t="str">
        <x:v>Completed</x:v>
      </x:c>
      <x:c r="H83" s="18" t="str">
        <x:v>Quarterly performance and development review</x:v>
      </x:c>
      <x:c r="I83" s="18" t="str">
        <x:v>In person</x:v>
      </x:c>
    </x:row>
    <x:row r="84" ht="15" hidden="0" customHeight="1">
      <x:c r="A84" s="18" t="str">
        <x:v>MTG0083</x:v>
      </x:c>
      <x:c r="B84" s="18" t="str">
        <x:v>REV0083</x:v>
      </x:c>
      <x:c r="C84" s="18" t="str">
        <x:v>EMP008</x:v>
      </x:c>
      <x:c r="D84" s="18" t="str">
        <x:v>MGR003</x:v>
      </x:c>
      <x:c r="E84" s="20" t="n">
        <x:v>46192.5</x:v>
      </x:c>
      <x:c r="F84" s="18" t="n">
        <x:v>60</x:v>
      </x:c>
      <x:c r="G84" s="18" t="str">
        <x:v>Completed</x:v>
      </x:c>
      <x:c r="H84" s="18" t="str">
        <x:v>Quarterly performance and development review</x:v>
      </x:c>
      <x:c r="I84" s="18" t="str">
        <x:v>In person</x:v>
      </x:c>
    </x:row>
    <x:row r="85" ht="15" hidden="0" customHeight="1">
      <x:c r="A85" s="18" t="str">
        <x:v>MTG0084</x:v>
      </x:c>
      <x:c r="B85" s="18" t="str">
        <x:v>REV0084</x:v>
      </x:c>
      <x:c r="C85" s="18" t="str">
        <x:v>EMP009</x:v>
      </x:c>
      <x:c r="D85" s="18" t="str">
        <x:v>MGR004</x:v>
      </x:c>
      <x:c r="E85" s="20" t="n">
        <x:v>46193.5</x:v>
      </x:c>
      <x:c r="F85" s="18" t="n">
        <x:v>60</x:v>
      </x:c>
      <x:c r="G85" s="18" t="str">
        <x:v>Completed</x:v>
      </x:c>
      <x:c r="H85" s="18" t="str">
        <x:v>Quarterly performance and development review</x:v>
      </x:c>
      <x:c r="I85" s="18" t="str">
        <x:v>In person</x:v>
      </x:c>
    </x:row>
    <x:row r="86" ht="15" hidden="0" customHeight="1">
      <x:c r="A86" s="18" t="str">
        <x:v>MTG0085</x:v>
      </x:c>
      <x:c r="B86" s="18" t="str">
        <x:v>REV0085</x:v>
      </x:c>
      <x:c r="C86" s="18" t="str">
        <x:v>EMP010</x:v>
      </x:c>
      <x:c r="D86" s="18" t="str">
        <x:v>MGR004</x:v>
      </x:c>
      <x:c r="E86" s="20" t="n">
        <x:v>46194.5</x:v>
      </x:c>
      <x:c r="F86" s="18" t="n">
        <x:v>60</x:v>
      </x:c>
      <x:c r="G86" s="18" t="str">
        <x:v>Completed</x:v>
      </x:c>
      <x:c r="H86" s="18" t="str">
        <x:v>Quarterly performance and development review</x:v>
      </x:c>
      <x:c r="I86" s="18" t="str">
        <x:v>In person</x:v>
      </x:c>
    </x:row>
    <x:row r="87" ht="15" hidden="0" customHeight="1">
      <x:c r="A87" s="18" t="str">
        <x:v>MTG0086</x:v>
      </x:c>
      <x:c r="B87" s="18" t="str">
        <x:v>REV0086</x:v>
      </x:c>
      <x:c r="C87" s="18" t="str">
        <x:v>EMP011</x:v>
      </x:c>
      <x:c r="D87" s="18" t="str">
        <x:v>MGR004</x:v>
      </x:c>
      <x:c r="E87" s="20" t="n">
        <x:v>46195.5</x:v>
      </x:c>
      <x:c r="F87" s="18" t="n">
        <x:v>60</x:v>
      </x:c>
      <x:c r="G87" s="18" t="str">
        <x:v>Completed</x:v>
      </x:c>
      <x:c r="H87" s="18" t="str">
        <x:v>Quarterly performance and development review</x:v>
      </x:c>
      <x:c r="I87" s="18" t="str">
        <x:v>In person</x:v>
      </x:c>
    </x:row>
    <x:row r="88" ht="15" hidden="0" customHeight="1">
      <x:c r="A88" s="18" t="str">
        <x:v>MTG0087</x:v>
      </x:c>
      <x:c r="B88" s="18" t="str">
        <x:v>REV0087</x:v>
      </x:c>
      <x:c r="C88" s="18" t="str">
        <x:v>EMP012</x:v>
      </x:c>
      <x:c r="D88" s="18" t="str">
        <x:v>MGR005</x:v>
      </x:c>
      <x:c r="E88" s="20" t="n">
        <x:v>46196.5</x:v>
      </x:c>
      <x:c r="F88" s="18" t="n">
        <x:v>60</x:v>
      </x:c>
      <x:c r="G88" s="18" t="str">
        <x:v>Completed</x:v>
      </x:c>
      <x:c r="H88" s="18" t="str">
        <x:v>Quarterly performance and development review</x:v>
      </x:c>
      <x:c r="I88" s="18" t="str">
        <x:v>In person</x:v>
      </x:c>
    </x:row>
    <x:row r="89" ht="15" hidden="0" customHeight="1">
      <x:c r="A89" s="18" t="str">
        <x:v>MTG0088</x:v>
      </x:c>
      <x:c r="B89" s="18" t="str">
        <x:v>REV0088</x:v>
      </x:c>
      <x:c r="C89" s="18" t="str">
        <x:v>EMP013</x:v>
      </x:c>
      <x:c r="D89" s="18" t="str">
        <x:v>MGR005</x:v>
      </x:c>
      <x:c r="E89" s="20" t="n">
        <x:v>46185.5</x:v>
      </x:c>
      <x:c r="F89" s="18" t="n">
        <x:v>60</x:v>
      </x:c>
      <x:c r="G89" s="18" t="str">
        <x:v>Completed</x:v>
      </x:c>
      <x:c r="H89" s="18" t="str">
        <x:v>Quarterly performance and development review</x:v>
      </x:c>
      <x:c r="I89" s="18" t="str">
        <x:v>In person</x:v>
      </x:c>
    </x:row>
    <x:row r="90" ht="15" hidden="0" customHeight="1">
      <x:c r="A90" s="18" t="str">
        <x:v>MTG0089</x:v>
      </x:c>
      <x:c r="B90" s="18" t="str">
        <x:v>REV0089</x:v>
      </x:c>
      <x:c r="C90" s="18" t="str">
        <x:v>EMP014</x:v>
      </x:c>
      <x:c r="D90" s="18" t="str">
        <x:v>MGR006</x:v>
      </x:c>
      <x:c r="E90" s="20" t="n">
        <x:v>46186.5</x:v>
      </x:c>
      <x:c r="F90" s="18" t="n">
        <x:v>60</x:v>
      </x:c>
      <x:c r="G90" s="18" t="str">
        <x:v>Completed</x:v>
      </x:c>
      <x:c r="H90" s="18" t="str">
        <x:v>Quarterly performance and development review</x:v>
      </x:c>
      <x:c r="I90" s="18" t="str">
        <x:v>In person</x:v>
      </x:c>
    </x:row>
    <x:row r="91" ht="15" hidden="0" customHeight="1">
      <x:c r="A91" s="18" t="str">
        <x:v>MTG0090</x:v>
      </x:c>
      <x:c r="B91" s="18" t="str">
        <x:v>REV0090</x:v>
      </x:c>
      <x:c r="C91" s="18" t="str">
        <x:v>EMP015</x:v>
      </x:c>
      <x:c r="D91" s="18" t="str">
        <x:v>MGR006</x:v>
      </x:c>
      <x:c r="E91" s="20" t="n">
        <x:v>46187.5</x:v>
      </x:c>
      <x:c r="F91" s="18" t="n">
        <x:v>60</x:v>
      </x:c>
      <x:c r="G91" s="18" t="str">
        <x:v>Completed</x:v>
      </x:c>
      <x:c r="H91" s="18" t="str">
        <x:v>Quarterly performance and development review</x:v>
      </x:c>
      <x:c r="I91" s="18" t="str">
        <x:v>In person</x:v>
      </x:c>
    </x:row>
    <x:row r="92" ht="15" hidden="0" customHeight="1">
      <x:c r="A92" s="18" t="str">
        <x:v>MTG0091</x:v>
      </x:c>
      <x:c r="B92" s="18" t="str">
        <x:v>REV0091</x:v>
      </x:c>
      <x:c r="C92" s="18" t="str">
        <x:v>EMP001</x:v>
      </x:c>
      <x:c r="D92" s="18" t="str">
        <x:v>MGR001</x:v>
      </x:c>
      <x:c r="E92" s="20" t="n">
        <x:v>46277.5</x:v>
      </x:c>
      <x:c r="F92" s="18" t="n">
        <x:v>60</x:v>
      </x:c>
      <x:c r="G92" s="18" t="str">
        <x:v>Completed</x:v>
      </x:c>
      <x:c r="H92" s="18" t="str">
        <x:v>Quarterly performance and development review</x:v>
      </x:c>
      <x:c r="I92" s="18" t="str">
        <x:v>In person</x:v>
      </x:c>
    </x:row>
    <x:row r="93" ht="15" hidden="0" customHeight="1">
      <x:c r="A93" s="18" t="str">
        <x:v>MTG0092</x:v>
      </x:c>
      <x:c r="B93" s="18" t="str">
        <x:v>REV0092</x:v>
      </x:c>
      <x:c r="C93" s="18" t="str">
        <x:v>EMP002</x:v>
      </x:c>
      <x:c r="D93" s="18" t="str">
        <x:v>MGR001</x:v>
      </x:c>
      <x:c r="E93" s="20" t="n">
        <x:v>46278.5</x:v>
      </x:c>
      <x:c r="F93" s="18" t="n">
        <x:v>60</x:v>
      </x:c>
      <x:c r="G93" s="18" t="str">
        <x:v>Completed</x:v>
      </x:c>
      <x:c r="H93" s="18" t="str">
        <x:v>Quarterly performance and development review</x:v>
      </x:c>
      <x:c r="I93" s="18" t="str">
        <x:v>In person</x:v>
      </x:c>
    </x:row>
    <x:row r="94" ht="15" hidden="0" customHeight="1">
      <x:c r="A94" s="18" t="str">
        <x:v>MTG0093</x:v>
      </x:c>
      <x:c r="B94" s="18" t="str">
        <x:v>REV0093</x:v>
      </x:c>
      <x:c r="C94" s="18" t="str">
        <x:v>EMP003</x:v>
      </x:c>
      <x:c r="D94" s="18" t="str">
        <x:v>MGR001</x:v>
      </x:c>
      <x:c r="E94" s="20" t="n">
        <x:v>46279.5</x:v>
      </x:c>
      <x:c r="F94" s="18" t="n">
        <x:v>60</x:v>
      </x:c>
      <x:c r="G94" s="18" t="str">
        <x:v>Completed</x:v>
      </x:c>
      <x:c r="H94" s="18" t="str">
        <x:v>Quarterly performance and development review</x:v>
      </x:c>
      <x:c r="I94" s="18" t="str">
        <x:v>In person</x:v>
      </x:c>
    </x:row>
    <x:row r="95" ht="15" hidden="0" customHeight="1">
      <x:c r="A95" s="18" t="str">
        <x:v>MTG0094</x:v>
      </x:c>
      <x:c r="B95" s="18" t="str">
        <x:v>REV0094</x:v>
      </x:c>
      <x:c r="C95" s="18" t="str">
        <x:v>EMP004</x:v>
      </x:c>
      <x:c r="D95" s="18" t="str">
        <x:v>MGR002</x:v>
      </x:c>
      <x:c r="E95" s="20" t="n">
        <x:v>46280.5</x:v>
      </x:c>
      <x:c r="F95" s="18" t="n">
        <x:v>60</x:v>
      </x:c>
      <x:c r="G95" s="18" t="str">
        <x:v>Completed</x:v>
      </x:c>
      <x:c r="H95" s="18" t="str">
        <x:v>Quarterly performance and development review</x:v>
      </x:c>
      <x:c r="I95" s="18" t="str">
        <x:v>In person</x:v>
      </x:c>
    </x:row>
    <x:row r="96" ht="15" hidden="0" customHeight="1">
      <x:c r="A96" s="18" t="str">
        <x:v>MTG0095</x:v>
      </x:c>
      <x:c r="B96" s="18" t="str">
        <x:v>REV0095</x:v>
      </x:c>
      <x:c r="C96" s="18" t="str">
        <x:v>EMP005</x:v>
      </x:c>
      <x:c r="D96" s="18" t="str">
        <x:v>MGR002</x:v>
      </x:c>
      <x:c r="E96" s="20" t="n">
        <x:v>46281.5</x:v>
      </x:c>
      <x:c r="F96" s="18" t="n">
        <x:v>60</x:v>
      </x:c>
      <x:c r="G96" s="18" t="str">
        <x:v>Completed</x:v>
      </x:c>
      <x:c r="H96" s="18" t="str">
        <x:v>Quarterly performance and development review</x:v>
      </x:c>
      <x:c r="I96" s="18" t="str">
        <x:v>In person</x:v>
      </x:c>
    </x:row>
    <x:row r="97" ht="15" hidden="0" customHeight="1">
      <x:c r="A97" s="18" t="str">
        <x:v>MTG0096</x:v>
      </x:c>
      <x:c r="B97" s="18" t="str">
        <x:v>REV0096</x:v>
      </x:c>
      <x:c r="C97" s="18" t="str">
        <x:v>EMP006</x:v>
      </x:c>
      <x:c r="D97" s="18" t="str">
        <x:v>MGR002</x:v>
      </x:c>
      <x:c r="E97" s="20" t="n">
        <x:v>46282.5</x:v>
      </x:c>
      <x:c r="F97" s="18" t="n">
        <x:v>60</x:v>
      </x:c>
      <x:c r="G97" s="18" t="str">
        <x:v>Completed</x:v>
      </x:c>
      <x:c r="H97" s="18" t="str">
        <x:v>Quarterly performance and development review</x:v>
      </x:c>
      <x:c r="I97" s="18" t="str">
        <x:v>In person</x:v>
      </x:c>
    </x:row>
    <x:row r="98" ht="15" hidden="0" customHeight="1">
      <x:c r="A98" s="18" t="str">
        <x:v>MTG0097</x:v>
      </x:c>
      <x:c r="B98" s="18" t="str">
        <x:v>REV0097</x:v>
      </x:c>
      <x:c r="C98" s="18" t="str">
        <x:v>EMP007</x:v>
      </x:c>
      <x:c r="D98" s="18" t="str">
        <x:v>MGR003</x:v>
      </x:c>
      <x:c r="E98" s="20" t="n">
        <x:v>46283.5</x:v>
      </x:c>
      <x:c r="F98" s="18" t="n">
        <x:v>60</x:v>
      </x:c>
      <x:c r="G98" s="18" t="str">
        <x:v>Completed</x:v>
      </x:c>
      <x:c r="H98" s="18" t="str">
        <x:v>Quarterly performance and development review</x:v>
      </x:c>
      <x:c r="I98" s="18" t="str">
        <x:v>In person</x:v>
      </x:c>
    </x:row>
    <x:row r="99" ht="15" hidden="0" customHeight="1">
      <x:c r="A99" s="18" t="str">
        <x:v>MTG0098</x:v>
      </x:c>
      <x:c r="B99" s="18" t="str">
        <x:v>REV0098</x:v>
      </x:c>
      <x:c r="C99" s="18" t="str">
        <x:v>EMP008</x:v>
      </x:c>
      <x:c r="D99" s="18" t="str">
        <x:v>MGR003</x:v>
      </x:c>
      <x:c r="E99" s="20" t="n">
        <x:v>46284.5</x:v>
      </x:c>
      <x:c r="F99" s="18" t="n">
        <x:v>60</x:v>
      </x:c>
      <x:c r="G99" s="18" t="str">
        <x:v>Completed</x:v>
      </x:c>
      <x:c r="H99" s="18" t="str">
        <x:v>Quarterly performance and development review</x:v>
      </x:c>
      <x:c r="I99" s="18" t="str">
        <x:v>In person</x:v>
      </x:c>
    </x:row>
    <x:row r="100" ht="15" hidden="0" customHeight="1">
      <x:c r="A100" s="18" t="str">
        <x:v>MTG0099</x:v>
      </x:c>
      <x:c r="B100" s="18" t="str">
        <x:v>REV0099</x:v>
      </x:c>
      <x:c r="C100" s="18" t="str">
        <x:v>EMP009</x:v>
      </x:c>
      <x:c r="D100" s="18" t="str">
        <x:v>MGR004</x:v>
      </x:c>
      <x:c r="E100" s="20" t="n">
        <x:v>46285.5</x:v>
      </x:c>
      <x:c r="F100" s="18" t="n">
        <x:v>60</x:v>
      </x:c>
      <x:c r="G100" s="18" t="str">
        <x:v>Completed</x:v>
      </x:c>
      <x:c r="H100" s="18" t="str">
        <x:v>Quarterly performance and development review</x:v>
      </x:c>
      <x:c r="I100" s="18" t="str">
        <x:v>In person</x:v>
      </x:c>
    </x:row>
    <x:row r="101" ht="15" hidden="0" customHeight="1">
      <x:c r="A101" s="18" t="str">
        <x:v>MTG0100</x:v>
      </x:c>
      <x:c r="B101" s="18" t="str">
        <x:v>REV0100</x:v>
      </x:c>
      <x:c r="C101" s="18" t="str">
        <x:v>EMP010</x:v>
      </x:c>
      <x:c r="D101" s="18" t="str">
        <x:v>MGR004</x:v>
      </x:c>
      <x:c r="E101" s="20" t="n">
        <x:v>46286.5</x:v>
      </x:c>
      <x:c r="F101" s="18" t="n">
        <x:v>60</x:v>
      </x:c>
      <x:c r="G101" s="18" t="str">
        <x:v>Completed</x:v>
      </x:c>
      <x:c r="H101" s="18" t="str">
        <x:v>Quarterly performance and development review</x:v>
      </x:c>
      <x:c r="I101" s="18" t="str">
        <x:v>In person</x:v>
      </x:c>
    </x:row>
    <x:row r="102" ht="15" hidden="0" customHeight="1">
      <x:c r="A102" s="18" t="str">
        <x:v>MTG0101</x:v>
      </x:c>
      <x:c r="B102" s="18" t="str">
        <x:v>REV0101</x:v>
      </x:c>
      <x:c r="C102" s="18" t="str">
        <x:v>EMP011</x:v>
      </x:c>
      <x:c r="D102" s="18" t="str">
        <x:v>MGR004</x:v>
      </x:c>
      <x:c r="E102" s="20" t="n">
        <x:v>46287.5</x:v>
      </x:c>
      <x:c r="F102" s="18" t="n">
        <x:v>60</x:v>
      </x:c>
      <x:c r="G102" s="18" t="str">
        <x:v>Completed</x:v>
      </x:c>
      <x:c r="H102" s="18" t="str">
        <x:v>Quarterly performance and development review</x:v>
      </x:c>
      <x:c r="I102" s="18" t="str">
        <x:v>In person</x:v>
      </x:c>
    </x:row>
    <x:row r="103" ht="15" hidden="0" customHeight="1">
      <x:c r="A103" s="18" t="str">
        <x:v>MTG0102</x:v>
      </x:c>
      <x:c r="B103" s="18" t="str">
        <x:v>REV0102</x:v>
      </x:c>
      <x:c r="C103" s="18" t="str">
        <x:v>EMP012</x:v>
      </x:c>
      <x:c r="D103" s="18" t="str">
        <x:v>MGR005</x:v>
      </x:c>
      <x:c r="E103" s="20" t="n">
        <x:v>46288.5</x:v>
      </x:c>
      <x:c r="F103" s="18" t="n">
        <x:v>60</x:v>
      </x:c>
      <x:c r="G103" s="18" t="str">
        <x:v>Completed</x:v>
      </x:c>
      <x:c r="H103" s="18" t="str">
        <x:v>Quarterly performance and development review</x:v>
      </x:c>
      <x:c r="I103" s="18" t="str">
        <x:v>In person</x:v>
      </x:c>
    </x:row>
    <x:row r="104" ht="15" hidden="0" customHeight="1">
      <x:c r="A104" s="18" t="str">
        <x:v>MTG0103</x:v>
      </x:c>
      <x:c r="B104" s="18" t="str">
        <x:v>REV0103</x:v>
      </x:c>
      <x:c r="C104" s="18" t="str">
        <x:v>EMP013</x:v>
      </x:c>
      <x:c r="D104" s="18" t="str">
        <x:v>MGR005</x:v>
      </x:c>
      <x:c r="E104" s="20" t="n">
        <x:v>46277.5</x:v>
      </x:c>
      <x:c r="F104" s="18" t="n">
        <x:v>60</x:v>
      </x:c>
      <x:c r="G104" s="18" t="str">
        <x:v>Completed</x:v>
      </x:c>
      <x:c r="H104" s="18" t="str">
        <x:v>Quarterly performance and development review</x:v>
      </x:c>
      <x:c r="I104" s="18" t="str">
        <x:v>In person</x:v>
      </x:c>
    </x:row>
    <x:row r="105" ht="15" hidden="0" customHeight="1">
      <x:c r="A105" s="18" t="str">
        <x:v>MTG0104</x:v>
      </x:c>
      <x:c r="B105" s="18" t="str">
        <x:v>REV0104</x:v>
      </x:c>
      <x:c r="C105" s="18" t="str">
        <x:v>EMP014</x:v>
      </x:c>
      <x:c r="D105" s="18" t="str">
        <x:v>MGR006</x:v>
      </x:c>
      <x:c r="E105" s="20" t="n">
        <x:v>46278.5</x:v>
      </x:c>
      <x:c r="F105" s="18" t="n">
        <x:v>60</x:v>
      </x:c>
      <x:c r="G105" s="18" t="str">
        <x:v>Completed</x:v>
      </x:c>
      <x:c r="H105" s="18" t="str">
        <x:v>Quarterly performance and development review</x:v>
      </x:c>
      <x:c r="I105" s="18" t="str">
        <x:v>In person</x:v>
      </x:c>
    </x:row>
    <x:row r="106" ht="15" hidden="0" customHeight="1">
      <x:c r="A106" s="18" t="str">
        <x:v>MTG0105</x:v>
      </x:c>
      <x:c r="B106" s="18" t="str">
        <x:v>REV0105</x:v>
      </x:c>
      <x:c r="C106" s="18" t="str">
        <x:v>EMP015</x:v>
      </x:c>
      <x:c r="D106" s="18" t="str">
        <x:v>MGR006</x:v>
      </x:c>
      <x:c r="E106" s="20" t="n">
        <x:v>46279.5</x:v>
      </x:c>
      <x:c r="F106" s="18" t="n">
        <x:v>60</x:v>
      </x:c>
      <x:c r="G106" s="18" t="str">
        <x:v>Completed</x:v>
      </x:c>
      <x:c r="H106" s="18" t="str">
        <x:v>Quarterly performance and development review</x:v>
      </x:c>
      <x:c r="I106" s="18" t="str">
        <x:v>In person</x:v>
      </x:c>
    </x:row>
  </x:sheetData>
  <x:pageMargins left="0.7" right="0.7" top="0.75" bottom="0.75" header="0.3" footer="0.3"/>
  <x:tableParts count="1">
    <x:tablePart xmlns:r="http://schemas.openxmlformats.org/officeDocument/2006/relationships" r:id="R932938e332784346"/>
  </x:tableParts>
</x:worksheet>
</file>

<file path=xl/worksheets/sheet9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52" hidden="0" customWidth="1"/>
    <x:col min="5" max="5" width="24" hidden="0" customWidth="1"/>
    <x:col min="6" max="6" width="14" hidden="0" customWidth="1"/>
    <x:col min="7" max="7" width="12" hidden="0" customWidth="1"/>
  </x:cols>
  <x:sheetData>
    <x:row r="1" ht="30" hidden="0" customHeight="1">
      <x:c r="A1" s="15" t="str">
        <x:v>note_id</x:v>
      </x:c>
      <x:c r="B1" s="16" t="str">
        <x:v>meeting_id</x:v>
      </x:c>
      <x:c r="C1" s="16" t="str">
        <x:v>discussion_topic</x:v>
      </x:c>
      <x:c r="D1" s="16" t="str">
        <x:v>note_text</x:v>
      </x:c>
      <x:c r="E1" s="16" t="str">
        <x:v>created_by_employee_id</x:v>
      </x:c>
      <x:c r="F1" s="16" t="str">
        <x:v>created_at</x:v>
      </x:c>
      <x:c r="G1" s="17" t="str">
        <x:v>visibility</x:v>
      </x:c>
    </x:row>
    <x:row r="2" ht="24" hidden="0" customHeight="1">
      <x:c r="A2" s="18" t="str">
        <x:v>NOTE00001</x:v>
      </x:c>
      <x:c r="B2" s="18" t="str">
        <x:v>MTG0001</x:v>
      </x:c>
      <x:c r="C2" s="18" t="str">
        <x:v>Strategy</x:v>
      </x:c>
      <x:c r="D2" s="21" t="str">
        <x:v>The employee consistently outperforms plan and shares repeatable pipeline practices across the branch.</x:v>
      </x:c>
      <x:c r="E2" s="18" t="str">
        <x:v>MGR001</x:v>
      </x:c>
      <x:c r="F2" s="20" t="n">
        <x:v>45729.5</x:v>
      </x:c>
      <x:c r="G2" s="18" t="str">
        <x:v>Manager and employee</x:v>
      </x:c>
    </x:row>
    <x:row r="3" ht="15" hidden="0" customHeight="1">
      <x:c r="A3" s="18" t="str">
        <x:v>NOTE00002</x:v>
      </x:c>
      <x:c r="B3" s="18" t="str">
        <x:v>MTG0001</x:v>
      </x:c>
      <x:c r="C3" s="18" t="str">
        <x:v>Communication</x:v>
      </x:c>
      <x:c r="D3" s="21" t="str">
        <x:v>Communication is highly effective with customers, peers, and senior leaders.</x:v>
      </x:c>
      <x:c r="E3" s="18" t="str">
        <x:v>MGR001</x:v>
      </x:c>
      <x:c r="F3" s="20" t="n">
        <x:v>45729.5</x:v>
      </x:c>
      <x:c r="G3" s="18" t="str">
        <x:v>Manager and employee</x:v>
      </x:c>
    </x:row>
    <x:row r="4" ht="24" hidden="0" customHeight="1">
      <x:c r="A4" s="18" t="str">
        <x:v>NOTE00003</x:v>
      </x:c>
      <x:c r="B4" s="18" t="str">
        <x:v>MTG0001</x:v>
      </x:c>
      <x:c r="C4" s="18" t="str">
        <x:v>Business knowledge</x:v>
      </x:c>
      <x:c r="D4" s="21" t="str">
        <x:v>The employee demonstrates advanced lending knowledge and serves as a trusted branch resource.</x:v>
      </x:c>
      <x:c r="E4" s="18" t="str">
        <x:v>MGR001</x:v>
      </x:c>
      <x:c r="F4" s="20" t="n">
        <x:v>45729.5</x:v>
      </x:c>
      <x:c r="G4" s="18" t="str">
        <x:v>Manager and employee</x:v>
      </x:c>
    </x:row>
    <x:row r="5" ht="24" hidden="0" customHeight="1">
      <x:c r="A5" s="18" t="str">
        <x:v>NOTE00004</x:v>
      </x:c>
      <x:c r="B5" s="18" t="str">
        <x:v>MTG0001</x:v>
      </x:c>
      <x:c r="C5" s="18" t="str">
        <x:v>Career aspirations</x:v>
      </x:c>
      <x:c r="D5" s="21" t="str">
        <x:v>The employee is ready for stretch leadership assignments and promotion consideration.</x:v>
      </x:c>
      <x:c r="E5" s="18" t="str">
        <x:v>MGR001</x:v>
      </x:c>
      <x:c r="F5" s="20" t="n">
        <x:v>45730.5</x:v>
      </x:c>
      <x:c r="G5" s="18" t="str">
        <x:v>Restricted</x:v>
      </x:c>
    </x:row>
    <x:row r="6" ht="24" hidden="0" customHeight="1">
      <x:c r="A6" s="18" t="str">
        <x:v>NOTE00005</x:v>
      </x:c>
      <x:c r="B6" s="18" t="str">
        <x:v>MTG0002</x:v>
      </x:c>
      <x:c r="C6" s="18" t="str">
        <x:v>Strategy</x:v>
      </x:c>
      <x:c r="D6" s="21" t="str">
        <x:v>The employee exceeds the expected pipeline plan and adapts outreach based on market conditions.</x:v>
      </x:c>
      <x:c r="E6" s="18" t="str">
        <x:v>MGR001</x:v>
      </x:c>
      <x:c r="F6" s="20" t="n">
        <x:v>45730.5</x:v>
      </x:c>
      <x:c r="G6" s="18" t="str">
        <x:v>Manager and employee</x:v>
      </x:c>
    </x:row>
    <x:row r="7" ht="24" hidden="0" customHeight="1">
      <x:c r="A7" s="18" t="str">
        <x:v>NOTE00006</x:v>
      </x:c>
      <x:c r="B7" s="18" t="str">
        <x:v>MTG0002</x:v>
      </x:c>
      <x:c r="C7" s="18" t="str">
        <x:v>Communication</x:v>
      </x:c>
      <x:c r="D7" s="21" t="str">
        <x:v>Communication is proactive and helps resolve customer and processing issues quickly.</x:v>
      </x:c>
      <x:c r="E7" s="18" t="str">
        <x:v>MGR001</x:v>
      </x:c>
      <x:c r="F7" s="20" t="n">
        <x:v>45730.5</x:v>
      </x:c>
      <x:c r="G7" s="18" t="str">
        <x:v>Manager and employee</x:v>
      </x:c>
    </x:row>
    <x:row r="8" ht="24" hidden="0" customHeight="1">
      <x:c r="A8" s="18" t="str">
        <x:v>NOTE00007</x:v>
      </x:c>
      <x:c r="B8" s="18" t="str">
        <x:v>MTG0002</x:v>
      </x:c>
      <x:c r="C8" s="18" t="str">
        <x:v>Business knowledge</x:v>
      </x:c>
      <x:c r="D8" s="21" t="str">
        <x:v>Strong product and policy knowledge supports sound recommendations and peer coaching.</x:v>
      </x:c>
      <x:c r="E8" s="18" t="str">
        <x:v>MGR001</x:v>
      </x:c>
      <x:c r="F8" s="20" t="n">
        <x:v>45730.5</x:v>
      </x:c>
      <x:c r="G8" s="18" t="str">
        <x:v>Manager and employee</x:v>
      </x:c>
    </x:row>
    <x:row r="9" ht="24" hidden="0" customHeight="1">
      <x:c r="A9" s="18" t="str">
        <x:v>NOTE00008</x:v>
      </x:c>
      <x:c r="B9" s="18" t="str">
        <x:v>MTG0002</x:v>
      </x:c>
      <x:c r="C9" s="18" t="str">
        <x:v>Career aspirations</x:v>
      </x:c>
      <x:c r="D9" s="21" t="str">
        <x:v>The employee is preparing for leadership exposure through mentoring and project ownership.</x:v>
      </x:c>
      <x:c r="E9" s="18" t="str">
        <x:v>MGR001</x:v>
      </x:c>
      <x:c r="F9" s="20" t="n">
        <x:v>45731.5</x:v>
      </x:c>
      <x:c r="G9" s="18" t="str">
        <x:v>Restricted</x:v>
      </x:c>
    </x:row>
    <x:row r="10" ht="24" hidden="0" customHeight="1">
      <x:c r="A10" s="18" t="str">
        <x:v>NOTE00009</x:v>
      </x:c>
      <x:c r="B10" s="18" t="str">
        <x:v>MTG0003</x:v>
      </x:c>
      <x:c r="C10" s="18" t="str">
        <x:v>Strategy</x:v>
      </x:c>
      <x:c r="D10" s="21" t="str">
        <x:v>The employee follows the branch plan and maintains a dependable quarterly pipeline.</x:v>
      </x:c>
      <x:c r="E10" s="18" t="str">
        <x:v>MGR001</x:v>
      </x:c>
      <x:c r="F10" s="20" t="n">
        <x:v>45731.5</x:v>
      </x:c>
      <x:c r="G10" s="18" t="str">
        <x:v>Manager and employee</x:v>
      </x:c>
    </x:row>
    <x:row r="11" ht="15" hidden="0" customHeight="1">
      <x:c r="A11" s="18" t="str">
        <x:v>NOTE00010</x:v>
      </x:c>
      <x:c r="B11" s="18" t="str">
        <x:v>MTG0003</x:v>
      </x:c>
      <x:c r="C11" s="18" t="str">
        <x:v>Communication</x:v>
      </x:c>
      <x:c r="D11" s="21" t="str">
        <x:v>Communication with customers and internal partners meets expectations.</x:v>
      </x:c>
      <x:c r="E11" s="18" t="str">
        <x:v>MGR001</x:v>
      </x:c>
      <x:c r="F11" s="20" t="n">
        <x:v>45731.5</x:v>
      </x:c>
      <x:c r="G11" s="18" t="str">
        <x:v>Manager and employee</x:v>
      </x:c>
    </x:row>
    <x:row r="12" ht="15" hidden="0" customHeight="1">
      <x:c r="A12" s="18" t="str">
        <x:v>NOTE00011</x:v>
      </x:c>
      <x:c r="B12" s="18" t="str">
        <x:v>MTG0003</x:v>
      </x:c>
      <x:c r="C12" s="18" t="str">
        <x:v>Business knowledge</x:v>
      </x:c>
      <x:c r="D12" s="21" t="str">
        <x:v>The employee applies standard loan policy and product knowledge effectively.</x:v>
      </x:c>
      <x:c r="E12" s="18" t="str">
        <x:v>MGR001</x:v>
      </x:c>
      <x:c r="F12" s="20" t="n">
        <x:v>45731.5</x:v>
      </x:c>
      <x:c r="G12" s="18" t="str">
        <x:v>Manager and employee</x:v>
      </x:c>
    </x:row>
    <x:row r="13" ht="24" hidden="0" customHeight="1">
      <x:c r="A13" s="18" t="str">
        <x:v>NOTE00012</x:v>
      </x:c>
      <x:c r="B13" s="18" t="str">
        <x:v>MTG0003</x:v>
      </x:c>
      <x:c r="C13" s="18" t="str">
        <x:v>Career aspirations</x:v>
      </x:c>
      <x:c r="D13" s="21" t="str">
        <x:v>The employee plans to deepen lending expertise and take on a peer-support assignment.</x:v>
      </x:c>
      <x:c r="E13" s="18" t="str">
        <x:v>MGR001</x:v>
      </x:c>
      <x:c r="F13" s="20" t="n">
        <x:v>45732.5</x:v>
      </x:c>
      <x:c r="G13" s="18" t="str">
        <x:v>Restricted</x:v>
      </x:c>
    </x:row>
    <x:row r="14" ht="24" hidden="0" customHeight="1">
      <x:c r="A14" s="18" t="str">
        <x:v>NOTE00013</x:v>
      </x:c>
      <x:c r="B14" s="18" t="str">
        <x:v>MTG0004</x:v>
      </x:c>
      <x:c r="C14" s="18" t="str">
        <x:v>Strategy</x:v>
      </x:c>
      <x:c r="D14" s="21" t="str">
        <x:v>The employee has a workable plan but needs more consistent prospecting and pipeline conversion.</x:v>
      </x:c>
      <x:c r="E14" s="18" t="str">
        <x:v>MGR002</x:v>
      </x:c>
      <x:c r="F14" s="20" t="n">
        <x:v>45732.5</x:v>
      </x:c>
      <x:c r="G14" s="18" t="str">
        <x:v>Manager and employee</x:v>
      </x:c>
    </x:row>
    <x:row r="15" ht="24" hidden="0" customHeight="1">
      <x:c r="A15" s="18" t="str">
        <x:v>NOTE00014</x:v>
      </x:c>
      <x:c r="B15" s="18" t="str">
        <x:v>MTG0004</x:v>
      </x:c>
      <x:c r="C15" s="18" t="str">
        <x:v>Communication</x:v>
      </x:c>
      <x:c r="D15" s="21" t="str">
        <x:v>Routine communication is adequate; earlier escalation of stalled applications is needed.</x:v>
      </x:c>
      <x:c r="E15" s="18" t="str">
        <x:v>MGR002</x:v>
      </x:c>
      <x:c r="F15" s="20" t="n">
        <x:v>45732.5</x:v>
      </x:c>
      <x:c r="G15" s="18" t="str">
        <x:v>Manager and employee</x:v>
      </x:c>
    </x:row>
    <x:row r="16" ht="24" hidden="0" customHeight="1">
      <x:c r="A16" s="18" t="str">
        <x:v>NOTE00015</x:v>
      </x:c>
      <x:c r="B16" s="18" t="str">
        <x:v>MTG0004</x:v>
      </x:c>
      <x:c r="C16" s="18" t="str">
        <x:v>Business knowledge</x:v>
      </x:c>
      <x:c r="D16" s="21" t="str">
        <x:v>Core product knowledge is developing, with targeted coaching assigned for complex cases.</x:v>
      </x:c>
      <x:c r="E16" s="18" t="str">
        <x:v>MGR002</x:v>
      </x:c>
      <x:c r="F16" s="20" t="n">
        <x:v>45732.5</x:v>
      </x:c>
      <x:c r="G16" s="18" t="str">
        <x:v>Manager and employee</x:v>
      </x:c>
    </x:row>
    <x:row r="17" ht="24" hidden="0" customHeight="1">
      <x:c r="A17" s="18" t="str">
        <x:v>NOTE00016</x:v>
      </x:c>
      <x:c r="B17" s="18" t="str">
        <x:v>MTG0004</x:v>
      </x:c>
      <x:c r="C17" s="18" t="str">
        <x:v>Career aspirations</x:v>
      </x:c>
      <x:c r="D17" s="21" t="str">
        <x:v>The employee wants broader customer exposure while strengthening current-role consistency.</x:v>
      </x:c>
      <x:c r="E17" s="18" t="str">
        <x:v>MGR002</x:v>
      </x:c>
      <x:c r="F17" s="20" t="n">
        <x:v>45733.5</x:v>
      </x:c>
      <x:c r="G17" s="18" t="str">
        <x:v>Restricted</x:v>
      </x:c>
    </x:row>
    <x:row r="18" ht="24" hidden="0" customHeight="1">
      <x:c r="A18" s="18" t="str">
        <x:v>NOTE00017</x:v>
      </x:c>
      <x:c r="B18" s="18" t="str">
        <x:v>MTG0005</x:v>
      </x:c>
      <x:c r="C18" s="18" t="str">
        <x:v>Strategy</x:v>
      </x:c>
      <x:c r="D18" s="21" t="str">
        <x:v>The employee exceeds the expected pipeline plan and adapts outreach based on market conditions.</x:v>
      </x:c>
      <x:c r="E18" s="18" t="str">
        <x:v>MGR002</x:v>
      </x:c>
      <x:c r="F18" s="20" t="n">
        <x:v>45733.5</x:v>
      </x:c>
      <x:c r="G18" s="18" t="str">
        <x:v>Manager and employee</x:v>
      </x:c>
    </x:row>
    <x:row r="19" ht="24" hidden="0" customHeight="1">
      <x:c r="A19" s="18" t="str">
        <x:v>NOTE00018</x:v>
      </x:c>
      <x:c r="B19" s="18" t="str">
        <x:v>MTG0005</x:v>
      </x:c>
      <x:c r="C19" s="18" t="str">
        <x:v>Communication</x:v>
      </x:c>
      <x:c r="D19" s="21" t="str">
        <x:v>Communication is proactive and helps resolve customer and processing issues quickly.</x:v>
      </x:c>
      <x:c r="E19" s="18" t="str">
        <x:v>MGR002</x:v>
      </x:c>
      <x:c r="F19" s="20" t="n">
        <x:v>45733.5</x:v>
      </x:c>
      <x:c r="G19" s="18" t="str">
        <x:v>Manager and employee</x:v>
      </x:c>
    </x:row>
    <x:row r="20" ht="24" hidden="0" customHeight="1">
      <x:c r="A20" s="18" t="str">
        <x:v>NOTE00019</x:v>
      </x:c>
      <x:c r="B20" s="18" t="str">
        <x:v>MTG0005</x:v>
      </x:c>
      <x:c r="C20" s="18" t="str">
        <x:v>Business knowledge</x:v>
      </x:c>
      <x:c r="D20" s="21" t="str">
        <x:v>Strong product and policy knowledge supports sound recommendations and peer coaching.</x:v>
      </x:c>
      <x:c r="E20" s="18" t="str">
        <x:v>MGR002</x:v>
      </x:c>
      <x:c r="F20" s="20" t="n">
        <x:v>45733.5</x:v>
      </x:c>
      <x:c r="G20" s="18" t="str">
        <x:v>Manager and employee</x:v>
      </x:c>
    </x:row>
    <x:row r="21" ht="24" hidden="0" customHeight="1">
      <x:c r="A21" s="18" t="str">
        <x:v>NOTE00020</x:v>
      </x:c>
      <x:c r="B21" s="18" t="str">
        <x:v>MTG0005</x:v>
      </x:c>
      <x:c r="C21" s="18" t="str">
        <x:v>Career aspirations</x:v>
      </x:c>
      <x:c r="D21" s="21" t="str">
        <x:v>The employee is preparing for leadership exposure through mentoring and project ownership.</x:v>
      </x:c>
      <x:c r="E21" s="18" t="str">
        <x:v>MGR002</x:v>
      </x:c>
      <x:c r="F21" s="20" t="n">
        <x:v>45734.5</x:v>
      </x:c>
      <x:c r="G21" s="18" t="str">
        <x:v>Restricted</x:v>
      </x:c>
    </x:row>
    <x:row r="22" ht="24" hidden="0" customHeight="1">
      <x:c r="A22" s="18" t="str">
        <x:v>NOTE00021</x:v>
      </x:c>
      <x:c r="B22" s="18" t="str">
        <x:v>MTG0006</x:v>
      </x:c>
      <x:c r="C22" s="18" t="str">
        <x:v>Strategy</x:v>
      </x:c>
      <x:c r="D22" s="21" t="str">
        <x:v>The employee exceeds the expected pipeline plan and adapts outreach based on market conditions.</x:v>
      </x:c>
      <x:c r="E22" s="18" t="str">
        <x:v>MGR002</x:v>
      </x:c>
      <x:c r="F22" s="20" t="n">
        <x:v>45734.5</x:v>
      </x:c>
      <x:c r="G22" s="18" t="str">
        <x:v>Manager and employee</x:v>
      </x:c>
    </x:row>
    <x:row r="23" ht="24" hidden="0" customHeight="1">
      <x:c r="A23" s="18" t="str">
        <x:v>NOTE00022</x:v>
      </x:c>
      <x:c r="B23" s="18" t="str">
        <x:v>MTG0006</x:v>
      </x:c>
      <x:c r="C23" s="18" t="str">
        <x:v>Communication</x:v>
      </x:c>
      <x:c r="D23" s="21" t="str">
        <x:v>Communication is proactive and helps resolve customer and processing issues quickly.</x:v>
      </x:c>
      <x:c r="E23" s="18" t="str">
        <x:v>MGR002</x:v>
      </x:c>
      <x:c r="F23" s="20" t="n">
        <x:v>45734.5</x:v>
      </x:c>
      <x:c r="G23" s="18" t="str">
        <x:v>Manager and employee</x:v>
      </x:c>
    </x:row>
    <x:row r="24" ht="24" hidden="0" customHeight="1">
      <x:c r="A24" s="18" t="str">
        <x:v>NOTE00023</x:v>
      </x:c>
      <x:c r="B24" s="18" t="str">
        <x:v>MTG0006</x:v>
      </x:c>
      <x:c r="C24" s="18" t="str">
        <x:v>Business knowledge</x:v>
      </x:c>
      <x:c r="D24" s="21" t="str">
        <x:v>Strong product and policy knowledge supports sound recommendations and peer coaching.</x:v>
      </x:c>
      <x:c r="E24" s="18" t="str">
        <x:v>MGR002</x:v>
      </x:c>
      <x:c r="F24" s="20" t="n">
        <x:v>45734.5</x:v>
      </x:c>
      <x:c r="G24" s="18" t="str">
        <x:v>Manager and employee</x:v>
      </x:c>
    </x:row>
    <x:row r="25" ht="24" hidden="0" customHeight="1">
      <x:c r="A25" s="18" t="str">
        <x:v>NOTE00024</x:v>
      </x:c>
      <x:c r="B25" s="18" t="str">
        <x:v>MTG0006</x:v>
      </x:c>
      <x:c r="C25" s="18" t="str">
        <x:v>Career aspirations</x:v>
      </x:c>
      <x:c r="D25" s="21" t="str">
        <x:v>The employee is preparing for leadership exposure through mentoring and project ownership.</x:v>
      </x:c>
      <x:c r="E25" s="18" t="str">
        <x:v>MGR002</x:v>
      </x:c>
      <x:c r="F25" s="20" t="n">
        <x:v>45735.5</x:v>
      </x:c>
      <x:c r="G25" s="18" t="str">
        <x:v>Restricted</x:v>
      </x:c>
    </x:row>
    <x:row r="26" ht="24" hidden="0" customHeight="1">
      <x:c r="A26" s="18" t="str">
        <x:v>NOTE00025</x:v>
      </x:c>
      <x:c r="B26" s="18" t="str">
        <x:v>MTG0007</x:v>
      </x:c>
      <x:c r="C26" s="18" t="str">
        <x:v>Strategy</x:v>
      </x:c>
      <x:c r="D26" s="21" t="str">
        <x:v>The employee has a workable plan but needs more consistent prospecting and pipeline conversion.</x:v>
      </x:c>
      <x:c r="E26" s="18" t="str">
        <x:v>MGR003</x:v>
      </x:c>
      <x:c r="F26" s="20" t="n">
        <x:v>45735.5</x:v>
      </x:c>
      <x:c r="G26" s="18" t="str">
        <x:v>Manager and employee</x:v>
      </x:c>
    </x:row>
    <x:row r="27" ht="24" hidden="0" customHeight="1">
      <x:c r="A27" s="18" t="str">
        <x:v>NOTE00026</x:v>
      </x:c>
      <x:c r="B27" s="18" t="str">
        <x:v>MTG0007</x:v>
      </x:c>
      <x:c r="C27" s="18" t="str">
        <x:v>Communication</x:v>
      </x:c>
      <x:c r="D27" s="21" t="str">
        <x:v>Routine communication is adequate; earlier escalation of stalled applications is needed.</x:v>
      </x:c>
      <x:c r="E27" s="18" t="str">
        <x:v>MGR003</x:v>
      </x:c>
      <x:c r="F27" s="20" t="n">
        <x:v>45735.5</x:v>
      </x:c>
      <x:c r="G27" s="18" t="str">
        <x:v>Manager and employee</x:v>
      </x:c>
    </x:row>
    <x:row r="28" ht="24" hidden="0" customHeight="1">
      <x:c r="A28" s="18" t="str">
        <x:v>NOTE00027</x:v>
      </x:c>
      <x:c r="B28" s="18" t="str">
        <x:v>MTG0007</x:v>
      </x:c>
      <x:c r="C28" s="18" t="str">
        <x:v>Business knowledge</x:v>
      </x:c>
      <x:c r="D28" s="21" t="str">
        <x:v>Core product knowledge is developing, with targeted coaching assigned for complex cases.</x:v>
      </x:c>
      <x:c r="E28" s="18" t="str">
        <x:v>MGR003</x:v>
      </x:c>
      <x:c r="F28" s="20" t="n">
        <x:v>45735.5</x:v>
      </x:c>
      <x:c r="G28" s="18" t="str">
        <x:v>Manager and employee</x:v>
      </x:c>
    </x:row>
    <x:row r="29" ht="24" hidden="0" customHeight="1">
      <x:c r="A29" s="18" t="str">
        <x:v>NOTE00028</x:v>
      </x:c>
      <x:c r="B29" s="18" t="str">
        <x:v>MTG0007</x:v>
      </x:c>
      <x:c r="C29" s="18" t="str">
        <x:v>Career aspirations</x:v>
      </x:c>
      <x:c r="D29" s="21" t="str">
        <x:v>The employee wants broader customer exposure while strengthening current-role consistency.</x:v>
      </x:c>
      <x:c r="E29" s="18" t="str">
        <x:v>MGR003</x:v>
      </x:c>
      <x:c r="F29" s="20" t="n">
        <x:v>45736.5</x:v>
      </x:c>
      <x:c r="G29" s="18" t="str">
        <x:v>Restricted</x:v>
      </x:c>
    </x:row>
    <x:row r="30" ht="24" hidden="0" customHeight="1">
      <x:c r="A30" s="18" t="str">
        <x:v>NOTE00029</x:v>
      </x:c>
      <x:c r="B30" s="18" t="str">
        <x:v>MTG0008</x:v>
      </x:c>
      <x:c r="C30" s="18" t="str">
        <x:v>Strategy</x:v>
      </x:c>
      <x:c r="D30" s="21" t="str">
        <x:v>The employee needs a documented weekly pipeline plan and closer follow-through on agreed actions.</x:v>
      </x:c>
      <x:c r="E30" s="18" t="str">
        <x:v>MGR003</x:v>
      </x:c>
      <x:c r="F30" s="20" t="n">
        <x:v>45736.5</x:v>
      </x:c>
      <x:c r="G30" s="18" t="str">
        <x:v>Manager and employee</x:v>
      </x:c>
    </x:row>
    <x:row r="31" ht="24" hidden="0" customHeight="1">
      <x:c r="A31" s="18" t="str">
        <x:v>NOTE00030</x:v>
      </x:c>
      <x:c r="B31" s="18" t="str">
        <x:v>MTG0008</x:v>
      </x:c>
      <x:c r="C31" s="18" t="str">
        <x:v>Communication</x:v>
      </x:c>
      <x:c r="D31" s="21" t="str">
        <x:v>Customer and manager updates were inconsistent; the next quarter includes scheduled coaching and checkpoints.</x:v>
      </x:c>
      <x:c r="E31" s="18" t="str">
        <x:v>MGR003</x:v>
      </x:c>
      <x:c r="F31" s="20" t="n">
        <x:v>45736.5</x:v>
      </x:c>
      <x:c r="G31" s="18" t="str">
        <x:v>Manager and employee</x:v>
      </x:c>
    </x:row>
    <x:row r="32" ht="24" hidden="0" customHeight="1">
      <x:c r="A32" s="18" t="str">
        <x:v>NOTE00031</x:v>
      </x:c>
      <x:c r="B32" s="18" t="str">
        <x:v>MTG0008</x:v>
      </x:c>
      <x:c r="C32" s="18" t="str">
        <x:v>Business knowledge</x:v>
      </x:c>
      <x:c r="D32" s="21" t="str">
        <x:v>Additional training is required on lending policy, product fit, and documentation quality.</x:v>
      </x:c>
      <x:c r="E32" s="18" t="str">
        <x:v>MGR003</x:v>
      </x:c>
      <x:c r="F32" s="20" t="n">
        <x:v>45736.5</x:v>
      </x:c>
      <x:c r="G32" s="18" t="str">
        <x:v>Manager and employee</x:v>
      </x:c>
    </x:row>
    <x:row r="33" ht="24" hidden="0" customHeight="1">
      <x:c r="A33" s="18" t="str">
        <x:v>NOTE00032</x:v>
      </x:c>
      <x:c r="B33" s="18" t="str">
        <x:v>MTG0008</x:v>
      </x:c>
      <x:c r="C33" s="18" t="str">
        <x:v>Career aspirations</x:v>
      </x:c>
      <x:c r="D33" s="21" t="str">
        <x:v>The immediate priority is consistent role performance before pursuing broader responsibilities.</x:v>
      </x:c>
      <x:c r="E33" s="18" t="str">
        <x:v>MGR003</x:v>
      </x:c>
      <x:c r="F33" s="20" t="n">
        <x:v>45737.5</x:v>
      </x:c>
      <x:c r="G33" s="18" t="str">
        <x:v>Restricted</x:v>
      </x:c>
    </x:row>
    <x:row r="34" ht="24" hidden="0" customHeight="1">
      <x:c r="A34" s="18" t="str">
        <x:v>NOTE00033</x:v>
      </x:c>
      <x:c r="B34" s="18" t="str">
        <x:v>MTG0009</x:v>
      </x:c>
      <x:c r="C34" s="18" t="str">
        <x:v>Strategy</x:v>
      </x:c>
      <x:c r="D34" s="21" t="str">
        <x:v>The employee consistently outperforms plan and shares repeatable pipeline practices across the branch.</x:v>
      </x:c>
      <x:c r="E34" s="18" t="str">
        <x:v>MGR004</x:v>
      </x:c>
      <x:c r="F34" s="20" t="n">
        <x:v>45737.5</x:v>
      </x:c>
      <x:c r="G34" s="18" t="str">
        <x:v>Manager and employee</x:v>
      </x:c>
    </x:row>
    <x:row r="35" ht="15" hidden="0" customHeight="1">
      <x:c r="A35" s="18" t="str">
        <x:v>NOTE00034</x:v>
      </x:c>
      <x:c r="B35" s="18" t="str">
        <x:v>MTG0009</x:v>
      </x:c>
      <x:c r="C35" s="18" t="str">
        <x:v>Communication</x:v>
      </x:c>
      <x:c r="D35" s="21" t="str">
        <x:v>Communication is highly effective with customers, peers, and senior leaders.</x:v>
      </x:c>
      <x:c r="E35" s="18" t="str">
        <x:v>MGR004</x:v>
      </x:c>
      <x:c r="F35" s="20" t="n">
        <x:v>45737.5</x:v>
      </x:c>
      <x:c r="G35" s="18" t="str">
        <x:v>Manager and employee</x:v>
      </x:c>
    </x:row>
    <x:row r="36" ht="24" hidden="0" customHeight="1">
      <x:c r="A36" s="18" t="str">
        <x:v>NOTE00035</x:v>
      </x:c>
      <x:c r="B36" s="18" t="str">
        <x:v>MTG0009</x:v>
      </x:c>
      <x:c r="C36" s="18" t="str">
        <x:v>Business knowledge</x:v>
      </x:c>
      <x:c r="D36" s="21" t="str">
        <x:v>The employee demonstrates advanced lending knowledge and serves as a trusted branch resource.</x:v>
      </x:c>
      <x:c r="E36" s="18" t="str">
        <x:v>MGR004</x:v>
      </x:c>
      <x:c r="F36" s="20" t="n">
        <x:v>45737.5</x:v>
      </x:c>
      <x:c r="G36" s="18" t="str">
        <x:v>Manager and employee</x:v>
      </x:c>
    </x:row>
    <x:row r="37" ht="24" hidden="0" customHeight="1">
      <x:c r="A37" s="18" t="str">
        <x:v>NOTE00036</x:v>
      </x:c>
      <x:c r="B37" s="18" t="str">
        <x:v>MTG0009</x:v>
      </x:c>
      <x:c r="C37" s="18" t="str">
        <x:v>Career aspirations</x:v>
      </x:c>
      <x:c r="D37" s="21" t="str">
        <x:v>The employee is ready for stretch leadership assignments and promotion consideration.</x:v>
      </x:c>
      <x:c r="E37" s="18" t="str">
        <x:v>MGR004</x:v>
      </x:c>
      <x:c r="F37" s="20" t="n">
        <x:v>45738.5</x:v>
      </x:c>
      <x:c r="G37" s="18" t="str">
        <x:v>Restricted</x:v>
      </x:c>
    </x:row>
    <x:row r="38" ht="24" hidden="0" customHeight="1">
      <x:c r="A38" s="18" t="str">
        <x:v>NOTE00037</x:v>
      </x:c>
      <x:c r="B38" s="18" t="str">
        <x:v>MTG0010</x:v>
      </x:c>
      <x:c r="C38" s="18" t="str">
        <x:v>Strategy</x:v>
      </x:c>
      <x:c r="D38" s="21" t="str">
        <x:v>The employee exceeds the expected pipeline plan and adapts outreach based on market conditions.</x:v>
      </x:c>
      <x:c r="E38" s="18" t="str">
        <x:v>MGR004</x:v>
      </x:c>
      <x:c r="F38" s="20" t="n">
        <x:v>45738.5</x:v>
      </x:c>
      <x:c r="G38" s="18" t="str">
        <x:v>Manager and employee</x:v>
      </x:c>
    </x:row>
    <x:row r="39" ht="24" hidden="0" customHeight="1">
      <x:c r="A39" s="18" t="str">
        <x:v>NOTE00038</x:v>
      </x:c>
      <x:c r="B39" s="18" t="str">
        <x:v>MTG0010</x:v>
      </x:c>
      <x:c r="C39" s="18" t="str">
        <x:v>Communication</x:v>
      </x:c>
      <x:c r="D39" s="21" t="str">
        <x:v>Communication is proactive and helps resolve customer and processing issues quickly.</x:v>
      </x:c>
      <x:c r="E39" s="18" t="str">
        <x:v>MGR004</x:v>
      </x:c>
      <x:c r="F39" s="20" t="n">
        <x:v>45738.5</x:v>
      </x:c>
      <x:c r="G39" s="18" t="str">
        <x:v>Manager and employee</x:v>
      </x:c>
    </x:row>
    <x:row r="40" ht="24" hidden="0" customHeight="1">
      <x:c r="A40" s="18" t="str">
        <x:v>NOTE00039</x:v>
      </x:c>
      <x:c r="B40" s="18" t="str">
        <x:v>MTG0010</x:v>
      </x:c>
      <x:c r="C40" s="18" t="str">
        <x:v>Business knowledge</x:v>
      </x:c>
      <x:c r="D40" s="21" t="str">
        <x:v>Strong product and policy knowledge supports sound recommendations and peer coaching.</x:v>
      </x:c>
      <x:c r="E40" s="18" t="str">
        <x:v>MGR004</x:v>
      </x:c>
      <x:c r="F40" s="20" t="n">
        <x:v>45738.5</x:v>
      </x:c>
      <x:c r="G40" s="18" t="str">
        <x:v>Manager and employee</x:v>
      </x:c>
    </x:row>
    <x:row r="41" ht="24" hidden="0" customHeight="1">
      <x:c r="A41" s="18" t="str">
        <x:v>NOTE00040</x:v>
      </x:c>
      <x:c r="B41" s="18" t="str">
        <x:v>MTG0010</x:v>
      </x:c>
      <x:c r="C41" s="18" t="str">
        <x:v>Career aspirations</x:v>
      </x:c>
      <x:c r="D41" s="21" t="str">
        <x:v>The employee is preparing for leadership exposure through mentoring and project ownership.</x:v>
      </x:c>
      <x:c r="E41" s="18" t="str">
        <x:v>MGR004</x:v>
      </x:c>
      <x:c r="F41" s="20" t="n">
        <x:v>45739.5</x:v>
      </x:c>
      <x:c r="G41" s="18" t="str">
        <x:v>Restricted</x:v>
      </x:c>
    </x:row>
    <x:row r="42" ht="24" hidden="0" customHeight="1">
      <x:c r="A42" s="18" t="str">
        <x:v>NOTE00041</x:v>
      </x:c>
      <x:c r="B42" s="18" t="str">
        <x:v>MTG0011</x:v>
      </x:c>
      <x:c r="C42" s="18" t="str">
        <x:v>Strategy</x:v>
      </x:c>
      <x:c r="D42" s="21" t="str">
        <x:v>The employee follows the branch plan and maintains a dependable quarterly pipeline.</x:v>
      </x:c>
      <x:c r="E42" s="18" t="str">
        <x:v>MGR004</x:v>
      </x:c>
      <x:c r="F42" s="20" t="n">
        <x:v>45739.5</x:v>
      </x:c>
      <x:c r="G42" s="18" t="str">
        <x:v>Manager and employee</x:v>
      </x:c>
    </x:row>
    <x:row r="43" ht="15" hidden="0" customHeight="1">
      <x:c r="A43" s="18" t="str">
        <x:v>NOTE00042</x:v>
      </x:c>
      <x:c r="B43" s="18" t="str">
        <x:v>MTG0011</x:v>
      </x:c>
      <x:c r="C43" s="18" t="str">
        <x:v>Communication</x:v>
      </x:c>
      <x:c r="D43" s="21" t="str">
        <x:v>Communication with customers and internal partners meets expectations.</x:v>
      </x:c>
      <x:c r="E43" s="18" t="str">
        <x:v>MGR004</x:v>
      </x:c>
      <x:c r="F43" s="20" t="n">
        <x:v>45739.5</x:v>
      </x:c>
      <x:c r="G43" s="18" t="str">
        <x:v>Manager and employee</x:v>
      </x:c>
    </x:row>
    <x:row r="44" ht="15" hidden="0" customHeight="1">
      <x:c r="A44" s="18" t="str">
        <x:v>NOTE00043</x:v>
      </x:c>
      <x:c r="B44" s="18" t="str">
        <x:v>MTG0011</x:v>
      </x:c>
      <x:c r="C44" s="18" t="str">
        <x:v>Business knowledge</x:v>
      </x:c>
      <x:c r="D44" s="21" t="str">
        <x:v>The employee applies standard loan policy and product knowledge effectively.</x:v>
      </x:c>
      <x:c r="E44" s="18" t="str">
        <x:v>MGR004</x:v>
      </x:c>
      <x:c r="F44" s="20" t="n">
        <x:v>45739.5</x:v>
      </x:c>
      <x:c r="G44" s="18" t="str">
        <x:v>Manager and employee</x:v>
      </x:c>
    </x:row>
    <x:row r="45" ht="24" hidden="0" customHeight="1">
      <x:c r="A45" s="18" t="str">
        <x:v>NOTE00044</x:v>
      </x:c>
      <x:c r="B45" s="18" t="str">
        <x:v>MTG0011</x:v>
      </x:c>
      <x:c r="C45" s="18" t="str">
        <x:v>Career aspirations</x:v>
      </x:c>
      <x:c r="D45" s="21" t="str">
        <x:v>The employee plans to deepen lending expertise and take on a peer-support assignment.</x:v>
      </x:c>
      <x:c r="E45" s="18" t="str">
        <x:v>MGR004</x:v>
      </x:c>
      <x:c r="F45" s="20" t="n">
        <x:v>45740.5</x:v>
      </x:c>
      <x:c r="G45" s="18" t="str">
        <x:v>Restricted</x:v>
      </x:c>
    </x:row>
    <x:row r="46" ht="24" hidden="0" customHeight="1">
      <x:c r="A46" s="18" t="str">
        <x:v>NOTE00045</x:v>
      </x:c>
      <x:c r="B46" s="18" t="str">
        <x:v>MTG0012</x:v>
      </x:c>
      <x:c r="C46" s="18" t="str">
        <x:v>Strategy</x:v>
      </x:c>
      <x:c r="D46" s="21" t="str">
        <x:v>The employee follows the branch plan and maintains a dependable quarterly pipeline.</x:v>
      </x:c>
      <x:c r="E46" s="18" t="str">
        <x:v>MGR005</x:v>
      </x:c>
      <x:c r="F46" s="20" t="n">
        <x:v>45740.5</x:v>
      </x:c>
      <x:c r="G46" s="18" t="str">
        <x:v>Manager and employee</x:v>
      </x:c>
    </x:row>
    <x:row r="47" ht="15" hidden="0" customHeight="1">
      <x:c r="A47" s="18" t="str">
        <x:v>NOTE00046</x:v>
      </x:c>
      <x:c r="B47" s="18" t="str">
        <x:v>MTG0012</x:v>
      </x:c>
      <x:c r="C47" s="18" t="str">
        <x:v>Communication</x:v>
      </x:c>
      <x:c r="D47" s="21" t="str">
        <x:v>Communication with customers and internal partners meets expectations.</x:v>
      </x:c>
      <x:c r="E47" s="18" t="str">
        <x:v>MGR005</x:v>
      </x:c>
      <x:c r="F47" s="20" t="n">
        <x:v>45740.5</x:v>
      </x:c>
      <x:c r="G47" s="18" t="str">
        <x:v>Manager and employee</x:v>
      </x:c>
    </x:row>
    <x:row r="48" ht="15" hidden="0" customHeight="1">
      <x:c r="A48" s="18" t="str">
        <x:v>NOTE00047</x:v>
      </x:c>
      <x:c r="B48" s="18" t="str">
        <x:v>MTG0012</x:v>
      </x:c>
      <x:c r="C48" s="18" t="str">
        <x:v>Business knowledge</x:v>
      </x:c>
      <x:c r="D48" s="21" t="str">
        <x:v>The employee applies standard loan policy and product knowledge effectively.</x:v>
      </x:c>
      <x:c r="E48" s="18" t="str">
        <x:v>MGR005</x:v>
      </x:c>
      <x:c r="F48" s="20" t="n">
        <x:v>45740.5</x:v>
      </x:c>
      <x:c r="G48" s="18" t="str">
        <x:v>Manager and employee</x:v>
      </x:c>
    </x:row>
    <x:row r="49" ht="24" hidden="0" customHeight="1">
      <x:c r="A49" s="18" t="str">
        <x:v>NOTE00048</x:v>
      </x:c>
      <x:c r="B49" s="18" t="str">
        <x:v>MTG0012</x:v>
      </x:c>
      <x:c r="C49" s="18" t="str">
        <x:v>Career aspirations</x:v>
      </x:c>
      <x:c r="D49" s="21" t="str">
        <x:v>The employee plans to deepen lending expertise and take on a peer-support assignment.</x:v>
      </x:c>
      <x:c r="E49" s="18" t="str">
        <x:v>MGR005</x:v>
      </x:c>
      <x:c r="F49" s="20" t="n">
        <x:v>45741.5</x:v>
      </x:c>
      <x:c r="G49" s="18" t="str">
        <x:v>Restricted</x:v>
      </x:c>
    </x:row>
    <x:row r="50" ht="24" hidden="0" customHeight="1">
      <x:c r="A50" s="18" t="str">
        <x:v>NOTE00049</x:v>
      </x:c>
      <x:c r="B50" s="18" t="str">
        <x:v>MTG0013</x:v>
      </x:c>
      <x:c r="C50" s="18" t="str">
        <x:v>Strategy</x:v>
      </x:c>
      <x:c r="D50" s="21" t="str">
        <x:v>The employee exceeds the expected pipeline plan and adapts outreach based on market conditions.</x:v>
      </x:c>
      <x:c r="E50" s="18" t="str">
        <x:v>MGR005</x:v>
      </x:c>
      <x:c r="F50" s="20" t="n">
        <x:v>45729.5</x:v>
      </x:c>
      <x:c r="G50" s="18" t="str">
        <x:v>Manager and employee</x:v>
      </x:c>
    </x:row>
    <x:row r="51" ht="24" hidden="0" customHeight="1">
      <x:c r="A51" s="18" t="str">
        <x:v>NOTE00050</x:v>
      </x:c>
      <x:c r="B51" s="18" t="str">
        <x:v>MTG0013</x:v>
      </x:c>
      <x:c r="C51" s="18" t="str">
        <x:v>Communication</x:v>
      </x:c>
      <x:c r="D51" s="21" t="str">
        <x:v>Communication is proactive and helps resolve customer and processing issues quickly.</x:v>
      </x:c>
      <x:c r="E51" s="18" t="str">
        <x:v>MGR005</x:v>
      </x:c>
      <x:c r="F51" s="20" t="n">
        <x:v>45729.5</x:v>
      </x:c>
      <x:c r="G51" s="18" t="str">
        <x:v>Manager and employee</x:v>
      </x:c>
    </x:row>
    <x:row r="52" ht="24" hidden="0" customHeight="1">
      <x:c r="A52" s="18" t="str">
        <x:v>NOTE00051</x:v>
      </x:c>
      <x:c r="B52" s="18" t="str">
        <x:v>MTG0013</x:v>
      </x:c>
      <x:c r="C52" s="18" t="str">
        <x:v>Business knowledge</x:v>
      </x:c>
      <x:c r="D52" s="21" t="str">
        <x:v>Strong product and policy knowledge supports sound recommendations and peer coaching.</x:v>
      </x:c>
      <x:c r="E52" s="18" t="str">
        <x:v>MGR005</x:v>
      </x:c>
      <x:c r="F52" s="20" t="n">
        <x:v>45729.5</x:v>
      </x:c>
      <x:c r="G52" s="18" t="str">
        <x:v>Manager and employee</x:v>
      </x:c>
    </x:row>
    <x:row r="53" ht="24" hidden="0" customHeight="1">
      <x:c r="A53" s="18" t="str">
        <x:v>NOTE00052</x:v>
      </x:c>
      <x:c r="B53" s="18" t="str">
        <x:v>MTG0013</x:v>
      </x:c>
      <x:c r="C53" s="18" t="str">
        <x:v>Career aspirations</x:v>
      </x:c>
      <x:c r="D53" s="21" t="str">
        <x:v>The employee is preparing for leadership exposure through mentoring and project ownership.</x:v>
      </x:c>
      <x:c r="E53" s="18" t="str">
        <x:v>MGR005</x:v>
      </x:c>
      <x:c r="F53" s="20" t="n">
        <x:v>45730.5</x:v>
      </x:c>
      <x:c r="G53" s="18" t="str">
        <x:v>Restricted</x:v>
      </x:c>
    </x:row>
    <x:row r="54" ht="24" hidden="0" customHeight="1">
      <x:c r="A54" s="18" t="str">
        <x:v>NOTE00053</x:v>
      </x:c>
      <x:c r="B54" s="18" t="str">
        <x:v>MTG0014</x:v>
      </x:c>
      <x:c r="C54" s="18" t="str">
        <x:v>Strategy</x:v>
      </x:c>
      <x:c r="D54" s="21" t="str">
        <x:v>The employee has a workable plan but needs more consistent prospecting and pipeline conversion.</x:v>
      </x:c>
      <x:c r="E54" s="18" t="str">
        <x:v>MGR006</x:v>
      </x:c>
      <x:c r="F54" s="20" t="n">
        <x:v>45730.5</x:v>
      </x:c>
      <x:c r="G54" s="18" t="str">
        <x:v>Manager and employee</x:v>
      </x:c>
    </x:row>
    <x:row r="55" ht="24" hidden="0" customHeight="1">
      <x:c r="A55" s="18" t="str">
        <x:v>NOTE00054</x:v>
      </x:c>
      <x:c r="B55" s="18" t="str">
        <x:v>MTG0014</x:v>
      </x:c>
      <x:c r="C55" s="18" t="str">
        <x:v>Communication</x:v>
      </x:c>
      <x:c r="D55" s="21" t="str">
        <x:v>Routine communication is adequate; earlier escalation of stalled applications is needed.</x:v>
      </x:c>
      <x:c r="E55" s="18" t="str">
        <x:v>MGR006</x:v>
      </x:c>
      <x:c r="F55" s="20" t="n">
        <x:v>45730.5</x:v>
      </x:c>
      <x:c r="G55" s="18" t="str">
        <x:v>Manager and employee</x:v>
      </x:c>
    </x:row>
    <x:row r="56" ht="24" hidden="0" customHeight="1">
      <x:c r="A56" s="18" t="str">
        <x:v>NOTE00055</x:v>
      </x:c>
      <x:c r="B56" s="18" t="str">
        <x:v>MTG0014</x:v>
      </x:c>
      <x:c r="C56" s="18" t="str">
        <x:v>Business knowledge</x:v>
      </x:c>
      <x:c r="D56" s="21" t="str">
        <x:v>Core product knowledge is developing, with targeted coaching assigned for complex cases.</x:v>
      </x:c>
      <x:c r="E56" s="18" t="str">
        <x:v>MGR006</x:v>
      </x:c>
      <x:c r="F56" s="20" t="n">
        <x:v>45730.5</x:v>
      </x:c>
      <x:c r="G56" s="18" t="str">
        <x:v>Manager and employee</x:v>
      </x:c>
    </x:row>
    <x:row r="57" ht="24" hidden="0" customHeight="1">
      <x:c r="A57" s="18" t="str">
        <x:v>NOTE00056</x:v>
      </x:c>
      <x:c r="B57" s="18" t="str">
        <x:v>MTG0014</x:v>
      </x:c>
      <x:c r="C57" s="18" t="str">
        <x:v>Career aspirations</x:v>
      </x:c>
      <x:c r="D57" s="21" t="str">
        <x:v>The employee wants broader customer exposure while strengthening current-role consistency.</x:v>
      </x:c>
      <x:c r="E57" s="18" t="str">
        <x:v>MGR006</x:v>
      </x:c>
      <x:c r="F57" s="20" t="n">
        <x:v>45731.5</x:v>
      </x:c>
      <x:c r="G57" s="18" t="str">
        <x:v>Restricted</x:v>
      </x:c>
    </x:row>
    <x:row r="58" ht="24" hidden="0" customHeight="1">
      <x:c r="A58" s="18" t="str">
        <x:v>NOTE00057</x:v>
      </x:c>
      <x:c r="B58" s="18" t="str">
        <x:v>MTG0015</x:v>
      </x:c>
      <x:c r="C58" s="18" t="str">
        <x:v>Strategy</x:v>
      </x:c>
      <x:c r="D58" s="21" t="str">
        <x:v>The employee needs a documented weekly pipeline plan and closer follow-through on agreed actions.</x:v>
      </x:c>
      <x:c r="E58" s="18" t="str">
        <x:v>MGR006</x:v>
      </x:c>
      <x:c r="F58" s="20" t="n">
        <x:v>45731.5</x:v>
      </x:c>
      <x:c r="G58" s="18" t="str">
        <x:v>Manager and employee</x:v>
      </x:c>
    </x:row>
    <x:row r="59" ht="24" hidden="0" customHeight="1">
      <x:c r="A59" s="18" t="str">
        <x:v>NOTE00058</x:v>
      </x:c>
      <x:c r="B59" s="18" t="str">
        <x:v>MTG0015</x:v>
      </x:c>
      <x:c r="C59" s="18" t="str">
        <x:v>Communication</x:v>
      </x:c>
      <x:c r="D59" s="21" t="str">
        <x:v>Customer and manager updates were inconsistent; the next quarter includes scheduled coaching and checkpoints.</x:v>
      </x:c>
      <x:c r="E59" s="18" t="str">
        <x:v>MGR006</x:v>
      </x:c>
      <x:c r="F59" s="20" t="n">
        <x:v>45731.5</x:v>
      </x:c>
      <x:c r="G59" s="18" t="str">
        <x:v>Manager and employee</x:v>
      </x:c>
    </x:row>
    <x:row r="60" ht="24" hidden="0" customHeight="1">
      <x:c r="A60" s="18" t="str">
        <x:v>NOTE00059</x:v>
      </x:c>
      <x:c r="B60" s="18" t="str">
        <x:v>MTG0015</x:v>
      </x:c>
      <x:c r="C60" s="18" t="str">
        <x:v>Business knowledge</x:v>
      </x:c>
      <x:c r="D60" s="21" t="str">
        <x:v>Additional training is required on lending policy, product fit, and documentation quality.</x:v>
      </x:c>
      <x:c r="E60" s="18" t="str">
        <x:v>MGR006</x:v>
      </x:c>
      <x:c r="F60" s="20" t="n">
        <x:v>45731.5</x:v>
      </x:c>
      <x:c r="G60" s="18" t="str">
        <x:v>Manager and employee</x:v>
      </x:c>
    </x:row>
    <x:row r="61" ht="24" hidden="0" customHeight="1">
      <x:c r="A61" s="18" t="str">
        <x:v>NOTE00060</x:v>
      </x:c>
      <x:c r="B61" s="18" t="str">
        <x:v>MTG0015</x:v>
      </x:c>
      <x:c r="C61" s="18" t="str">
        <x:v>Career aspirations</x:v>
      </x:c>
      <x:c r="D61" s="21" t="str">
        <x:v>The immediate priority is consistent role performance before pursuing broader responsibilities.</x:v>
      </x:c>
      <x:c r="E61" s="18" t="str">
        <x:v>MGR006</x:v>
      </x:c>
      <x:c r="F61" s="20" t="n">
        <x:v>45732.5</x:v>
      </x:c>
      <x:c r="G61" s="18" t="str">
        <x:v>Restricted</x:v>
      </x:c>
    </x:row>
    <x:row r="62" ht="24" hidden="0" customHeight="1">
      <x:c r="A62" s="18" t="str">
        <x:v>NOTE00061</x:v>
      </x:c>
      <x:c r="B62" s="18" t="str">
        <x:v>MTG0016</x:v>
      </x:c>
      <x:c r="C62" s="18" t="str">
        <x:v>Strategy</x:v>
      </x:c>
      <x:c r="D62" s="21" t="str">
        <x:v>The employee consistently outperforms plan and shares repeatable pipeline practices across the branch.</x:v>
      </x:c>
      <x:c r="E62" s="18" t="str">
        <x:v>MGR001</x:v>
      </x:c>
      <x:c r="F62" s="20" t="n">
        <x:v>45820.5</x:v>
      </x:c>
      <x:c r="G62" s="18" t="str">
        <x:v>Manager and employee</x:v>
      </x:c>
    </x:row>
    <x:row r="63" ht="15" hidden="0" customHeight="1">
      <x:c r="A63" s="18" t="str">
        <x:v>NOTE00062</x:v>
      </x:c>
      <x:c r="B63" s="18" t="str">
        <x:v>MTG0016</x:v>
      </x:c>
      <x:c r="C63" s="18" t="str">
        <x:v>Communication</x:v>
      </x:c>
      <x:c r="D63" s="21" t="str">
        <x:v>Communication is highly effective with customers, peers, and senior leaders.</x:v>
      </x:c>
      <x:c r="E63" s="18" t="str">
        <x:v>MGR001</x:v>
      </x:c>
      <x:c r="F63" s="20" t="n">
        <x:v>45820.5</x:v>
      </x:c>
      <x:c r="G63" s="18" t="str">
        <x:v>Manager and employee</x:v>
      </x:c>
    </x:row>
    <x:row r="64" ht="24" hidden="0" customHeight="1">
      <x:c r="A64" s="18" t="str">
        <x:v>NOTE00063</x:v>
      </x:c>
      <x:c r="B64" s="18" t="str">
        <x:v>MTG0016</x:v>
      </x:c>
      <x:c r="C64" s="18" t="str">
        <x:v>Business knowledge</x:v>
      </x:c>
      <x:c r="D64" s="21" t="str">
        <x:v>The employee demonstrates advanced lending knowledge and serves as a trusted branch resource.</x:v>
      </x:c>
      <x:c r="E64" s="18" t="str">
        <x:v>MGR001</x:v>
      </x:c>
      <x:c r="F64" s="20" t="n">
        <x:v>45820.5</x:v>
      </x:c>
      <x:c r="G64" s="18" t="str">
        <x:v>Manager and employee</x:v>
      </x:c>
    </x:row>
    <x:row r="65" ht="24" hidden="0" customHeight="1">
      <x:c r="A65" s="18" t="str">
        <x:v>NOTE00064</x:v>
      </x:c>
      <x:c r="B65" s="18" t="str">
        <x:v>MTG0016</x:v>
      </x:c>
      <x:c r="C65" s="18" t="str">
        <x:v>Career aspirations</x:v>
      </x:c>
      <x:c r="D65" s="21" t="str">
        <x:v>The employee is ready for stretch leadership assignments and promotion consideration.</x:v>
      </x:c>
      <x:c r="E65" s="18" t="str">
        <x:v>MGR001</x:v>
      </x:c>
      <x:c r="F65" s="20" t="n">
        <x:v>45821.5</x:v>
      </x:c>
      <x:c r="G65" s="18" t="str">
        <x:v>Restricted</x:v>
      </x:c>
    </x:row>
    <x:row r="66" ht="24" hidden="0" customHeight="1">
      <x:c r="A66" s="18" t="str">
        <x:v>NOTE00065</x:v>
      </x:c>
      <x:c r="B66" s="18" t="str">
        <x:v>MTG0017</x:v>
      </x:c>
      <x:c r="C66" s="18" t="str">
        <x:v>Strategy</x:v>
      </x:c>
      <x:c r="D66" s="21" t="str">
        <x:v>The employee exceeds the expected pipeline plan and adapts outreach based on market conditions.</x:v>
      </x:c>
      <x:c r="E66" s="18" t="str">
        <x:v>MGR001</x:v>
      </x:c>
      <x:c r="F66" s="20" t="n">
        <x:v>45821.5</x:v>
      </x:c>
      <x:c r="G66" s="18" t="str">
        <x:v>Manager and employee</x:v>
      </x:c>
    </x:row>
    <x:row r="67" ht="24" hidden="0" customHeight="1">
      <x:c r="A67" s="18" t="str">
        <x:v>NOTE00066</x:v>
      </x:c>
      <x:c r="B67" s="18" t="str">
        <x:v>MTG0017</x:v>
      </x:c>
      <x:c r="C67" s="18" t="str">
        <x:v>Communication</x:v>
      </x:c>
      <x:c r="D67" s="21" t="str">
        <x:v>Communication is proactive and helps resolve customer and processing issues quickly.</x:v>
      </x:c>
      <x:c r="E67" s="18" t="str">
        <x:v>MGR001</x:v>
      </x:c>
      <x:c r="F67" s="20" t="n">
        <x:v>45821.5</x:v>
      </x:c>
      <x:c r="G67" s="18" t="str">
        <x:v>Manager and employee</x:v>
      </x:c>
    </x:row>
    <x:row r="68" ht="24" hidden="0" customHeight="1">
      <x:c r="A68" s="18" t="str">
        <x:v>NOTE00067</x:v>
      </x:c>
      <x:c r="B68" s="18" t="str">
        <x:v>MTG0017</x:v>
      </x:c>
      <x:c r="C68" s="18" t="str">
        <x:v>Business knowledge</x:v>
      </x:c>
      <x:c r="D68" s="21" t="str">
        <x:v>Strong product and policy knowledge supports sound recommendations and peer coaching.</x:v>
      </x:c>
      <x:c r="E68" s="18" t="str">
        <x:v>MGR001</x:v>
      </x:c>
      <x:c r="F68" s="20" t="n">
        <x:v>45821.5</x:v>
      </x:c>
      <x:c r="G68" s="18" t="str">
        <x:v>Manager and employee</x:v>
      </x:c>
    </x:row>
    <x:row r="69" ht="24" hidden="0" customHeight="1">
      <x:c r="A69" s="18" t="str">
        <x:v>NOTE00068</x:v>
      </x:c>
      <x:c r="B69" s="18" t="str">
        <x:v>MTG0017</x:v>
      </x:c>
      <x:c r="C69" s="18" t="str">
        <x:v>Career aspirations</x:v>
      </x:c>
      <x:c r="D69" s="21" t="str">
        <x:v>The employee is preparing for leadership exposure through mentoring and project ownership.</x:v>
      </x:c>
      <x:c r="E69" s="18" t="str">
        <x:v>MGR001</x:v>
      </x:c>
      <x:c r="F69" s="20" t="n">
        <x:v>45822.5</x:v>
      </x:c>
      <x:c r="G69" s="18" t="str">
        <x:v>Restricted</x:v>
      </x:c>
    </x:row>
    <x:row r="70" ht="24" hidden="0" customHeight="1">
      <x:c r="A70" s="18" t="str">
        <x:v>NOTE00069</x:v>
      </x:c>
      <x:c r="B70" s="18" t="str">
        <x:v>MTG0018</x:v>
      </x:c>
      <x:c r="C70" s="18" t="str">
        <x:v>Strategy</x:v>
      </x:c>
      <x:c r="D70" s="21" t="str">
        <x:v>The employee has a workable plan but needs more consistent prospecting and pipeline conversion.</x:v>
      </x:c>
      <x:c r="E70" s="18" t="str">
        <x:v>MGR001</x:v>
      </x:c>
      <x:c r="F70" s="20" t="n">
        <x:v>45822.5</x:v>
      </x:c>
      <x:c r="G70" s="18" t="str">
        <x:v>Manager and employee</x:v>
      </x:c>
    </x:row>
    <x:row r="71" ht="24" hidden="0" customHeight="1">
      <x:c r="A71" s="18" t="str">
        <x:v>NOTE00070</x:v>
      </x:c>
      <x:c r="B71" s="18" t="str">
        <x:v>MTG0018</x:v>
      </x:c>
      <x:c r="C71" s="18" t="str">
        <x:v>Communication</x:v>
      </x:c>
      <x:c r="D71" s="21" t="str">
        <x:v>Routine communication is adequate; earlier escalation of stalled applications is needed.</x:v>
      </x:c>
      <x:c r="E71" s="18" t="str">
        <x:v>MGR001</x:v>
      </x:c>
      <x:c r="F71" s="20" t="n">
        <x:v>45822.5</x:v>
      </x:c>
      <x:c r="G71" s="18" t="str">
        <x:v>Manager and employee</x:v>
      </x:c>
    </x:row>
    <x:row r="72" ht="24" hidden="0" customHeight="1">
      <x:c r="A72" s="18" t="str">
        <x:v>NOTE00071</x:v>
      </x:c>
      <x:c r="B72" s="18" t="str">
        <x:v>MTG0018</x:v>
      </x:c>
      <x:c r="C72" s="18" t="str">
        <x:v>Business knowledge</x:v>
      </x:c>
      <x:c r="D72" s="21" t="str">
        <x:v>Core product knowledge is developing, with targeted coaching assigned for complex cases.</x:v>
      </x:c>
      <x:c r="E72" s="18" t="str">
        <x:v>MGR001</x:v>
      </x:c>
      <x:c r="F72" s="20" t="n">
        <x:v>45822.5</x:v>
      </x:c>
      <x:c r="G72" s="18" t="str">
        <x:v>Manager and employee</x:v>
      </x:c>
    </x:row>
    <x:row r="73" ht="24" hidden="0" customHeight="1">
      <x:c r="A73" s="18" t="str">
        <x:v>NOTE00072</x:v>
      </x:c>
      <x:c r="B73" s="18" t="str">
        <x:v>MTG0018</x:v>
      </x:c>
      <x:c r="C73" s="18" t="str">
        <x:v>Career aspirations</x:v>
      </x:c>
      <x:c r="D73" s="21" t="str">
        <x:v>The employee wants broader customer exposure while strengthening current-role consistency.</x:v>
      </x:c>
      <x:c r="E73" s="18" t="str">
        <x:v>MGR001</x:v>
      </x:c>
      <x:c r="F73" s="20" t="n">
        <x:v>45823.5</x:v>
      </x:c>
      <x:c r="G73" s="18" t="str">
        <x:v>Restricted</x:v>
      </x:c>
    </x:row>
    <x:row r="74" ht="24" hidden="0" customHeight="1">
      <x:c r="A74" s="18" t="str">
        <x:v>NOTE00073</x:v>
      </x:c>
      <x:c r="B74" s="18" t="str">
        <x:v>MTG0019</x:v>
      </x:c>
      <x:c r="C74" s="18" t="str">
        <x:v>Strategy</x:v>
      </x:c>
      <x:c r="D74" s="21" t="str">
        <x:v>The employee has a workable plan but needs more consistent prospecting and pipeline conversion.</x:v>
      </x:c>
      <x:c r="E74" s="18" t="str">
        <x:v>MGR002</x:v>
      </x:c>
      <x:c r="F74" s="20" t="n">
        <x:v>45823.5</x:v>
      </x:c>
      <x:c r="G74" s="18" t="str">
        <x:v>Manager and employee</x:v>
      </x:c>
    </x:row>
    <x:row r="75" ht="24" hidden="0" customHeight="1">
      <x:c r="A75" s="18" t="str">
        <x:v>NOTE00074</x:v>
      </x:c>
      <x:c r="B75" s="18" t="str">
        <x:v>MTG0019</x:v>
      </x:c>
      <x:c r="C75" s="18" t="str">
        <x:v>Communication</x:v>
      </x:c>
      <x:c r="D75" s="21" t="str">
        <x:v>Routine communication is adequate; earlier escalation of stalled applications is needed.</x:v>
      </x:c>
      <x:c r="E75" s="18" t="str">
        <x:v>MGR002</x:v>
      </x:c>
      <x:c r="F75" s="20" t="n">
        <x:v>45823.5</x:v>
      </x:c>
      <x:c r="G75" s="18" t="str">
        <x:v>Manager and employee</x:v>
      </x:c>
    </x:row>
    <x:row r="76" ht="24" hidden="0" customHeight="1">
      <x:c r="A76" s="18" t="str">
        <x:v>NOTE00075</x:v>
      </x:c>
      <x:c r="B76" s="18" t="str">
        <x:v>MTG0019</x:v>
      </x:c>
      <x:c r="C76" s="18" t="str">
        <x:v>Business knowledge</x:v>
      </x:c>
      <x:c r="D76" s="21" t="str">
        <x:v>Core product knowledge is developing, with targeted coaching assigned for complex cases.</x:v>
      </x:c>
      <x:c r="E76" s="18" t="str">
        <x:v>MGR002</x:v>
      </x:c>
      <x:c r="F76" s="20" t="n">
        <x:v>45823.5</x:v>
      </x:c>
      <x:c r="G76" s="18" t="str">
        <x:v>Manager and employee</x:v>
      </x:c>
    </x:row>
    <x:row r="77" ht="24" hidden="0" customHeight="1">
      <x:c r="A77" s="18" t="str">
        <x:v>NOTE00076</x:v>
      </x:c>
      <x:c r="B77" s="18" t="str">
        <x:v>MTG0019</x:v>
      </x:c>
      <x:c r="C77" s="18" t="str">
        <x:v>Career aspirations</x:v>
      </x:c>
      <x:c r="D77" s="21" t="str">
        <x:v>The employee wants broader customer exposure while strengthening current-role consistency.</x:v>
      </x:c>
      <x:c r="E77" s="18" t="str">
        <x:v>MGR002</x:v>
      </x:c>
      <x:c r="F77" s="20" t="n">
        <x:v>45824.5</x:v>
      </x:c>
      <x:c r="G77" s="18" t="str">
        <x:v>Restricted</x:v>
      </x:c>
    </x:row>
    <x:row r="78" ht="24" hidden="0" customHeight="1">
      <x:c r="A78" s="18" t="str">
        <x:v>NOTE00077</x:v>
      </x:c>
      <x:c r="B78" s="18" t="str">
        <x:v>MTG0020</x:v>
      </x:c>
      <x:c r="C78" s="18" t="str">
        <x:v>Strategy</x:v>
      </x:c>
      <x:c r="D78" s="21" t="str">
        <x:v>The employee exceeds the expected pipeline plan and adapts outreach based on market conditions.</x:v>
      </x:c>
      <x:c r="E78" s="18" t="str">
        <x:v>MGR002</x:v>
      </x:c>
      <x:c r="F78" s="20" t="n">
        <x:v>45824.5</x:v>
      </x:c>
      <x:c r="G78" s="18" t="str">
        <x:v>Manager and employee</x:v>
      </x:c>
    </x:row>
    <x:row r="79" ht="24" hidden="0" customHeight="1">
      <x:c r="A79" s="18" t="str">
        <x:v>NOTE00078</x:v>
      </x:c>
      <x:c r="B79" s="18" t="str">
        <x:v>MTG0020</x:v>
      </x:c>
      <x:c r="C79" s="18" t="str">
        <x:v>Communication</x:v>
      </x:c>
      <x:c r="D79" s="21" t="str">
        <x:v>Communication is proactive and helps resolve customer and processing issues quickly.</x:v>
      </x:c>
      <x:c r="E79" s="18" t="str">
        <x:v>MGR002</x:v>
      </x:c>
      <x:c r="F79" s="20" t="n">
        <x:v>45824.5</x:v>
      </x:c>
      <x:c r="G79" s="18" t="str">
        <x:v>Manager and employee</x:v>
      </x:c>
    </x:row>
    <x:row r="80" ht="24" hidden="0" customHeight="1">
      <x:c r="A80" s="18" t="str">
        <x:v>NOTE00079</x:v>
      </x:c>
      <x:c r="B80" s="18" t="str">
        <x:v>MTG0020</x:v>
      </x:c>
      <x:c r="C80" s="18" t="str">
        <x:v>Business knowledge</x:v>
      </x:c>
      <x:c r="D80" s="21" t="str">
        <x:v>Strong product and policy knowledge supports sound recommendations and peer coaching.</x:v>
      </x:c>
      <x:c r="E80" s="18" t="str">
        <x:v>MGR002</x:v>
      </x:c>
      <x:c r="F80" s="20" t="n">
        <x:v>45824.5</x:v>
      </x:c>
      <x:c r="G80" s="18" t="str">
        <x:v>Manager and employee</x:v>
      </x:c>
    </x:row>
    <x:row r="81" ht="24" hidden="0" customHeight="1">
      <x:c r="A81" s="18" t="str">
        <x:v>NOTE00080</x:v>
      </x:c>
      <x:c r="B81" s="18" t="str">
        <x:v>MTG0020</x:v>
      </x:c>
      <x:c r="C81" s="18" t="str">
        <x:v>Career aspirations</x:v>
      </x:c>
      <x:c r="D81" s="21" t="str">
        <x:v>The employee is preparing for leadership exposure through mentoring and project ownership.</x:v>
      </x:c>
      <x:c r="E81" s="18" t="str">
        <x:v>MGR002</x:v>
      </x:c>
      <x:c r="F81" s="20" t="n">
        <x:v>45825.5</x:v>
      </x:c>
      <x:c r="G81" s="18" t="str">
        <x:v>Restricted</x:v>
      </x:c>
    </x:row>
    <x:row r="82" ht="24" hidden="0" customHeight="1">
      <x:c r="A82" s="18" t="str">
        <x:v>NOTE00081</x:v>
      </x:c>
      <x:c r="B82" s="18" t="str">
        <x:v>MTG0021</x:v>
      </x:c>
      <x:c r="C82" s="18" t="str">
        <x:v>Strategy</x:v>
      </x:c>
      <x:c r="D82" s="21" t="str">
        <x:v>The employee follows the branch plan and maintains a dependable quarterly pipeline.</x:v>
      </x:c>
      <x:c r="E82" s="18" t="str">
        <x:v>MGR002</x:v>
      </x:c>
      <x:c r="F82" s="20" t="n">
        <x:v>45825.5</x:v>
      </x:c>
      <x:c r="G82" s="18" t="str">
        <x:v>Manager and employee</x:v>
      </x:c>
    </x:row>
    <x:row r="83" ht="15" hidden="0" customHeight="1">
      <x:c r="A83" s="18" t="str">
        <x:v>NOTE00082</x:v>
      </x:c>
      <x:c r="B83" s="18" t="str">
        <x:v>MTG0021</x:v>
      </x:c>
      <x:c r="C83" s="18" t="str">
        <x:v>Communication</x:v>
      </x:c>
      <x:c r="D83" s="21" t="str">
        <x:v>Communication with customers and internal partners meets expectations.</x:v>
      </x:c>
      <x:c r="E83" s="18" t="str">
        <x:v>MGR002</x:v>
      </x:c>
      <x:c r="F83" s="20" t="n">
        <x:v>45825.5</x:v>
      </x:c>
      <x:c r="G83" s="18" t="str">
        <x:v>Manager and employee</x:v>
      </x:c>
    </x:row>
    <x:row r="84" ht="15" hidden="0" customHeight="1">
      <x:c r="A84" s="18" t="str">
        <x:v>NOTE00083</x:v>
      </x:c>
      <x:c r="B84" s="18" t="str">
        <x:v>MTG0021</x:v>
      </x:c>
      <x:c r="C84" s="18" t="str">
        <x:v>Business knowledge</x:v>
      </x:c>
      <x:c r="D84" s="21" t="str">
        <x:v>The employee applies standard loan policy and product knowledge effectively.</x:v>
      </x:c>
      <x:c r="E84" s="18" t="str">
        <x:v>MGR002</x:v>
      </x:c>
      <x:c r="F84" s="20" t="n">
        <x:v>45825.5</x:v>
      </x:c>
      <x:c r="G84" s="18" t="str">
        <x:v>Manager and employee</x:v>
      </x:c>
    </x:row>
    <x:row r="85" ht="24" hidden="0" customHeight="1">
      <x:c r="A85" s="18" t="str">
        <x:v>NOTE00084</x:v>
      </x:c>
      <x:c r="B85" s="18" t="str">
        <x:v>MTG0021</x:v>
      </x:c>
      <x:c r="C85" s="18" t="str">
        <x:v>Career aspirations</x:v>
      </x:c>
      <x:c r="D85" s="21" t="str">
        <x:v>The employee plans to deepen lending expertise and take on a peer-support assignment.</x:v>
      </x:c>
      <x:c r="E85" s="18" t="str">
        <x:v>MGR002</x:v>
      </x:c>
      <x:c r="F85" s="20" t="n">
        <x:v>45826.5</x:v>
      </x:c>
      <x:c r="G85" s="18" t="str">
        <x:v>Restricted</x:v>
      </x:c>
    </x:row>
    <x:row r="86" ht="24" hidden="0" customHeight="1">
      <x:c r="A86" s="18" t="str">
        <x:v>NOTE00085</x:v>
      </x:c>
      <x:c r="B86" s="18" t="str">
        <x:v>MTG0022</x:v>
      </x:c>
      <x:c r="C86" s="18" t="str">
        <x:v>Strategy</x:v>
      </x:c>
      <x:c r="D86" s="21" t="str">
        <x:v>The employee has a workable plan but needs more consistent prospecting and pipeline conversion.</x:v>
      </x:c>
      <x:c r="E86" s="18" t="str">
        <x:v>MGR003</x:v>
      </x:c>
      <x:c r="F86" s="20" t="n">
        <x:v>45826.5</x:v>
      </x:c>
      <x:c r="G86" s="18" t="str">
        <x:v>Manager and employee</x:v>
      </x:c>
    </x:row>
    <x:row r="87" ht="24" hidden="0" customHeight="1">
      <x:c r="A87" s="18" t="str">
        <x:v>NOTE00086</x:v>
      </x:c>
      <x:c r="B87" s="18" t="str">
        <x:v>MTG0022</x:v>
      </x:c>
      <x:c r="C87" s="18" t="str">
        <x:v>Communication</x:v>
      </x:c>
      <x:c r="D87" s="21" t="str">
        <x:v>Routine communication is adequate; earlier escalation of stalled applications is needed.</x:v>
      </x:c>
      <x:c r="E87" s="18" t="str">
        <x:v>MGR003</x:v>
      </x:c>
      <x:c r="F87" s="20" t="n">
        <x:v>45826.5</x:v>
      </x:c>
      <x:c r="G87" s="18" t="str">
        <x:v>Manager and employee</x:v>
      </x:c>
    </x:row>
    <x:row r="88" ht="24" hidden="0" customHeight="1">
      <x:c r="A88" s="18" t="str">
        <x:v>NOTE00087</x:v>
      </x:c>
      <x:c r="B88" s="18" t="str">
        <x:v>MTG0022</x:v>
      </x:c>
      <x:c r="C88" s="18" t="str">
        <x:v>Business knowledge</x:v>
      </x:c>
      <x:c r="D88" s="21" t="str">
        <x:v>Core product knowledge is developing, with targeted coaching assigned for complex cases.</x:v>
      </x:c>
      <x:c r="E88" s="18" t="str">
        <x:v>MGR003</x:v>
      </x:c>
      <x:c r="F88" s="20" t="n">
        <x:v>45826.5</x:v>
      </x:c>
      <x:c r="G88" s="18" t="str">
        <x:v>Manager and employee</x:v>
      </x:c>
    </x:row>
    <x:row r="89" ht="24" hidden="0" customHeight="1">
      <x:c r="A89" s="18" t="str">
        <x:v>NOTE00088</x:v>
      </x:c>
      <x:c r="B89" s="18" t="str">
        <x:v>MTG0022</x:v>
      </x:c>
      <x:c r="C89" s="18" t="str">
        <x:v>Career aspirations</x:v>
      </x:c>
      <x:c r="D89" s="21" t="str">
        <x:v>The employee wants broader customer exposure while strengthening current-role consistency.</x:v>
      </x:c>
      <x:c r="E89" s="18" t="str">
        <x:v>MGR003</x:v>
      </x:c>
      <x:c r="F89" s="20" t="n">
        <x:v>45827.5</x:v>
      </x:c>
      <x:c r="G89" s="18" t="str">
        <x:v>Restricted</x:v>
      </x:c>
    </x:row>
    <x:row r="90" ht="24" hidden="0" customHeight="1">
      <x:c r="A90" s="18" t="str">
        <x:v>NOTE00089</x:v>
      </x:c>
      <x:c r="B90" s="18" t="str">
        <x:v>MTG0023</x:v>
      </x:c>
      <x:c r="C90" s="18" t="str">
        <x:v>Strategy</x:v>
      </x:c>
      <x:c r="D90" s="21" t="str">
        <x:v>The employee needs a documented weekly pipeline plan and closer follow-through on agreed actions.</x:v>
      </x:c>
      <x:c r="E90" s="18" t="str">
        <x:v>MGR003</x:v>
      </x:c>
      <x:c r="F90" s="20" t="n">
        <x:v>45827.5</x:v>
      </x:c>
      <x:c r="G90" s="18" t="str">
        <x:v>Manager and employee</x:v>
      </x:c>
    </x:row>
    <x:row r="91" ht="24" hidden="0" customHeight="1">
      <x:c r="A91" s="18" t="str">
        <x:v>NOTE00090</x:v>
      </x:c>
      <x:c r="B91" s="18" t="str">
        <x:v>MTG0023</x:v>
      </x:c>
      <x:c r="C91" s="18" t="str">
        <x:v>Communication</x:v>
      </x:c>
      <x:c r="D91" s="21" t="str">
        <x:v>Customer and manager updates were inconsistent; the next quarter includes scheduled coaching and checkpoints.</x:v>
      </x:c>
      <x:c r="E91" s="18" t="str">
        <x:v>MGR003</x:v>
      </x:c>
      <x:c r="F91" s="20" t="n">
        <x:v>45827.5</x:v>
      </x:c>
      <x:c r="G91" s="18" t="str">
        <x:v>Manager and employee</x:v>
      </x:c>
    </x:row>
    <x:row r="92" ht="24" hidden="0" customHeight="1">
      <x:c r="A92" s="18" t="str">
        <x:v>NOTE00091</x:v>
      </x:c>
      <x:c r="B92" s="18" t="str">
        <x:v>MTG0023</x:v>
      </x:c>
      <x:c r="C92" s="18" t="str">
        <x:v>Business knowledge</x:v>
      </x:c>
      <x:c r="D92" s="21" t="str">
        <x:v>Additional training is required on lending policy, product fit, and documentation quality.</x:v>
      </x:c>
      <x:c r="E92" s="18" t="str">
        <x:v>MGR003</x:v>
      </x:c>
      <x:c r="F92" s="20" t="n">
        <x:v>45827.5</x:v>
      </x:c>
      <x:c r="G92" s="18" t="str">
        <x:v>Manager and employee</x:v>
      </x:c>
    </x:row>
    <x:row r="93" ht="24" hidden="0" customHeight="1">
      <x:c r="A93" s="18" t="str">
        <x:v>NOTE00092</x:v>
      </x:c>
      <x:c r="B93" s="18" t="str">
        <x:v>MTG0023</x:v>
      </x:c>
      <x:c r="C93" s="18" t="str">
        <x:v>Career aspirations</x:v>
      </x:c>
      <x:c r="D93" s="21" t="str">
        <x:v>The immediate priority is consistent role performance before pursuing broader responsibilities.</x:v>
      </x:c>
      <x:c r="E93" s="18" t="str">
        <x:v>MGR003</x:v>
      </x:c>
      <x:c r="F93" s="20" t="n">
        <x:v>45828.5</x:v>
      </x:c>
      <x:c r="G93" s="18" t="str">
        <x:v>Restricted</x:v>
      </x:c>
    </x:row>
    <x:row r="94" ht="24" hidden="0" customHeight="1">
      <x:c r="A94" s="18" t="str">
        <x:v>NOTE00093</x:v>
      </x:c>
      <x:c r="B94" s="18" t="str">
        <x:v>MTG0024</x:v>
      </x:c>
      <x:c r="C94" s="18" t="str">
        <x:v>Strategy</x:v>
      </x:c>
      <x:c r="D94" s="21" t="str">
        <x:v>The employee consistently outperforms plan and shares repeatable pipeline practices across the branch.</x:v>
      </x:c>
      <x:c r="E94" s="18" t="str">
        <x:v>MGR004</x:v>
      </x:c>
      <x:c r="F94" s="20" t="n">
        <x:v>45828.5</x:v>
      </x:c>
      <x:c r="G94" s="18" t="str">
        <x:v>Manager and employee</x:v>
      </x:c>
    </x:row>
    <x:row r="95" ht="15" hidden="0" customHeight="1">
      <x:c r="A95" s="18" t="str">
        <x:v>NOTE00094</x:v>
      </x:c>
      <x:c r="B95" s="18" t="str">
        <x:v>MTG0024</x:v>
      </x:c>
      <x:c r="C95" s="18" t="str">
        <x:v>Communication</x:v>
      </x:c>
      <x:c r="D95" s="21" t="str">
        <x:v>Communication is highly effective with customers, peers, and senior leaders.</x:v>
      </x:c>
      <x:c r="E95" s="18" t="str">
        <x:v>MGR004</x:v>
      </x:c>
      <x:c r="F95" s="20" t="n">
        <x:v>45828.5</x:v>
      </x:c>
      <x:c r="G95" s="18" t="str">
        <x:v>Manager and employee</x:v>
      </x:c>
    </x:row>
    <x:row r="96" ht="24" hidden="0" customHeight="1">
      <x:c r="A96" s="18" t="str">
        <x:v>NOTE00095</x:v>
      </x:c>
      <x:c r="B96" s="18" t="str">
        <x:v>MTG0024</x:v>
      </x:c>
      <x:c r="C96" s="18" t="str">
        <x:v>Business knowledge</x:v>
      </x:c>
      <x:c r="D96" s="21" t="str">
        <x:v>The employee demonstrates advanced lending knowledge and serves as a trusted branch resource.</x:v>
      </x:c>
      <x:c r="E96" s="18" t="str">
        <x:v>MGR004</x:v>
      </x:c>
      <x:c r="F96" s="20" t="n">
        <x:v>45828.5</x:v>
      </x:c>
      <x:c r="G96" s="18" t="str">
        <x:v>Manager and employee</x:v>
      </x:c>
    </x:row>
    <x:row r="97" ht="24" hidden="0" customHeight="1">
      <x:c r="A97" s="18" t="str">
        <x:v>NOTE00096</x:v>
      </x:c>
      <x:c r="B97" s="18" t="str">
        <x:v>MTG0024</x:v>
      </x:c>
      <x:c r="C97" s="18" t="str">
        <x:v>Career aspirations</x:v>
      </x:c>
      <x:c r="D97" s="21" t="str">
        <x:v>The employee is ready for stretch leadership assignments and promotion consideration.</x:v>
      </x:c>
      <x:c r="E97" s="18" t="str">
        <x:v>MGR004</x:v>
      </x:c>
      <x:c r="F97" s="20" t="n">
        <x:v>45829.5</x:v>
      </x:c>
      <x:c r="G97" s="18" t="str">
        <x:v>Restricted</x:v>
      </x:c>
    </x:row>
    <x:row r="98" ht="24" hidden="0" customHeight="1">
      <x:c r="A98" s="18" t="str">
        <x:v>NOTE00097</x:v>
      </x:c>
      <x:c r="B98" s="18" t="str">
        <x:v>MTG0025</x:v>
      </x:c>
      <x:c r="C98" s="18" t="str">
        <x:v>Strategy</x:v>
      </x:c>
      <x:c r="D98" s="21" t="str">
        <x:v>The employee follows the branch plan and maintains a dependable quarterly pipeline.</x:v>
      </x:c>
      <x:c r="E98" s="18" t="str">
        <x:v>MGR004</x:v>
      </x:c>
      <x:c r="F98" s="20" t="n">
        <x:v>45829.5</x:v>
      </x:c>
      <x:c r="G98" s="18" t="str">
        <x:v>Manager and employee</x:v>
      </x:c>
    </x:row>
    <x:row r="99" ht="15" hidden="0" customHeight="1">
      <x:c r="A99" s="18" t="str">
        <x:v>NOTE00098</x:v>
      </x:c>
      <x:c r="B99" s="18" t="str">
        <x:v>MTG0025</x:v>
      </x:c>
      <x:c r="C99" s="18" t="str">
        <x:v>Communication</x:v>
      </x:c>
      <x:c r="D99" s="21" t="str">
        <x:v>Communication with customers and internal partners meets expectations.</x:v>
      </x:c>
      <x:c r="E99" s="18" t="str">
        <x:v>MGR004</x:v>
      </x:c>
      <x:c r="F99" s="20" t="n">
        <x:v>45829.5</x:v>
      </x:c>
      <x:c r="G99" s="18" t="str">
        <x:v>Manager and employee</x:v>
      </x:c>
    </x:row>
    <x:row r="100" ht="15" hidden="0" customHeight="1">
      <x:c r="A100" s="18" t="str">
        <x:v>NOTE00099</x:v>
      </x:c>
      <x:c r="B100" s="18" t="str">
        <x:v>MTG0025</x:v>
      </x:c>
      <x:c r="C100" s="18" t="str">
        <x:v>Business knowledge</x:v>
      </x:c>
      <x:c r="D100" s="21" t="str">
        <x:v>The employee applies standard loan policy and product knowledge effectively.</x:v>
      </x:c>
      <x:c r="E100" s="18" t="str">
        <x:v>MGR004</x:v>
      </x:c>
      <x:c r="F100" s="20" t="n">
        <x:v>45829.5</x:v>
      </x:c>
      <x:c r="G100" s="18" t="str">
        <x:v>Manager and employee</x:v>
      </x:c>
    </x:row>
    <x:row r="101" ht="24" hidden="0" customHeight="1">
      <x:c r="A101" s="18" t="str">
        <x:v>NOTE00100</x:v>
      </x:c>
      <x:c r="B101" s="18" t="str">
        <x:v>MTG0025</x:v>
      </x:c>
      <x:c r="C101" s="18" t="str">
        <x:v>Career aspirations</x:v>
      </x:c>
      <x:c r="D101" s="21" t="str">
        <x:v>The employee plans to deepen lending expertise and take on a peer-support assignment.</x:v>
      </x:c>
      <x:c r="E101" s="18" t="str">
        <x:v>MGR004</x:v>
      </x:c>
      <x:c r="F101" s="20" t="n">
        <x:v>45830.5</x:v>
      </x:c>
      <x:c r="G101" s="18" t="str">
        <x:v>Restricted</x:v>
      </x:c>
    </x:row>
    <x:row r="102" ht="24" hidden="0" customHeight="1">
      <x:c r="A102" s="18" t="str">
        <x:v>NOTE00101</x:v>
      </x:c>
      <x:c r="B102" s="18" t="str">
        <x:v>MTG0026</x:v>
      </x:c>
      <x:c r="C102" s="18" t="str">
        <x:v>Strategy</x:v>
      </x:c>
      <x:c r="D102" s="21" t="str">
        <x:v>The employee exceeds the expected pipeline plan and adapts outreach based on market conditions.</x:v>
      </x:c>
      <x:c r="E102" s="18" t="str">
        <x:v>MGR004</x:v>
      </x:c>
      <x:c r="F102" s="20" t="n">
        <x:v>45830.5</x:v>
      </x:c>
      <x:c r="G102" s="18" t="str">
        <x:v>Manager and employee</x:v>
      </x:c>
    </x:row>
    <x:row r="103" ht="24" hidden="0" customHeight="1">
      <x:c r="A103" s="18" t="str">
        <x:v>NOTE00102</x:v>
      </x:c>
      <x:c r="B103" s="18" t="str">
        <x:v>MTG0026</x:v>
      </x:c>
      <x:c r="C103" s="18" t="str">
        <x:v>Communication</x:v>
      </x:c>
      <x:c r="D103" s="21" t="str">
        <x:v>Communication is proactive and helps resolve customer and processing issues quickly.</x:v>
      </x:c>
      <x:c r="E103" s="18" t="str">
        <x:v>MGR004</x:v>
      </x:c>
      <x:c r="F103" s="20" t="n">
        <x:v>45830.5</x:v>
      </x:c>
      <x:c r="G103" s="18" t="str">
        <x:v>Manager and employee</x:v>
      </x:c>
    </x:row>
    <x:row r="104" ht="24" hidden="0" customHeight="1">
      <x:c r="A104" s="18" t="str">
        <x:v>NOTE00103</x:v>
      </x:c>
      <x:c r="B104" s="18" t="str">
        <x:v>MTG0026</x:v>
      </x:c>
      <x:c r="C104" s="18" t="str">
        <x:v>Business knowledge</x:v>
      </x:c>
      <x:c r="D104" s="21" t="str">
        <x:v>Strong product and policy knowledge supports sound recommendations and peer coaching.</x:v>
      </x:c>
      <x:c r="E104" s="18" t="str">
        <x:v>MGR004</x:v>
      </x:c>
      <x:c r="F104" s="20" t="n">
        <x:v>45830.5</x:v>
      </x:c>
      <x:c r="G104" s="18" t="str">
        <x:v>Manager and employee</x:v>
      </x:c>
    </x:row>
    <x:row r="105" ht="24" hidden="0" customHeight="1">
      <x:c r="A105" s="18" t="str">
        <x:v>NOTE00104</x:v>
      </x:c>
      <x:c r="B105" s="18" t="str">
        <x:v>MTG0026</x:v>
      </x:c>
      <x:c r="C105" s="18" t="str">
        <x:v>Career aspirations</x:v>
      </x:c>
      <x:c r="D105" s="21" t="str">
        <x:v>The employee is preparing for leadership exposure through mentoring and project ownership.</x:v>
      </x:c>
      <x:c r="E105" s="18" t="str">
        <x:v>MGR004</x:v>
      </x:c>
      <x:c r="F105" s="20" t="n">
        <x:v>45831.5</x:v>
      </x:c>
      <x:c r="G105" s="18" t="str">
        <x:v>Restricted</x:v>
      </x:c>
    </x:row>
    <x:row r="106" ht="24" hidden="0" customHeight="1">
      <x:c r="A106" s="18" t="str">
        <x:v>NOTE00105</x:v>
      </x:c>
      <x:c r="B106" s="18" t="str">
        <x:v>MTG0027</x:v>
      </x:c>
      <x:c r="C106" s="18" t="str">
        <x:v>Strategy</x:v>
      </x:c>
      <x:c r="D106" s="21" t="str">
        <x:v>The employee has a workable plan but needs more consistent prospecting and pipeline conversion.</x:v>
      </x:c>
      <x:c r="E106" s="18" t="str">
        <x:v>MGR005</x:v>
      </x:c>
      <x:c r="F106" s="20" t="n">
        <x:v>45831.5</x:v>
      </x:c>
      <x:c r="G106" s="18" t="str">
        <x:v>Manager and employee</x:v>
      </x:c>
    </x:row>
    <x:row r="107" ht="24" hidden="0" customHeight="1">
      <x:c r="A107" s="18" t="str">
        <x:v>NOTE00106</x:v>
      </x:c>
      <x:c r="B107" s="18" t="str">
        <x:v>MTG0027</x:v>
      </x:c>
      <x:c r="C107" s="18" t="str">
        <x:v>Communication</x:v>
      </x:c>
      <x:c r="D107" s="21" t="str">
        <x:v>Routine communication is adequate; earlier escalation of stalled applications is needed.</x:v>
      </x:c>
      <x:c r="E107" s="18" t="str">
        <x:v>MGR005</x:v>
      </x:c>
      <x:c r="F107" s="20" t="n">
        <x:v>45831.5</x:v>
      </x:c>
      <x:c r="G107" s="18" t="str">
        <x:v>Manager and employee</x:v>
      </x:c>
    </x:row>
    <x:row r="108" ht="24" hidden="0" customHeight="1">
      <x:c r="A108" s="18" t="str">
        <x:v>NOTE00107</x:v>
      </x:c>
      <x:c r="B108" s="18" t="str">
        <x:v>MTG0027</x:v>
      </x:c>
      <x:c r="C108" s="18" t="str">
        <x:v>Business knowledge</x:v>
      </x:c>
      <x:c r="D108" s="21" t="str">
        <x:v>Core product knowledge is developing, with targeted coaching assigned for complex cases.</x:v>
      </x:c>
      <x:c r="E108" s="18" t="str">
        <x:v>MGR005</x:v>
      </x:c>
      <x:c r="F108" s="20" t="n">
        <x:v>45831.5</x:v>
      </x:c>
      <x:c r="G108" s="18" t="str">
        <x:v>Manager and employee</x:v>
      </x:c>
    </x:row>
    <x:row r="109" ht="24" hidden="0" customHeight="1">
      <x:c r="A109" s="18" t="str">
        <x:v>NOTE00108</x:v>
      </x:c>
      <x:c r="B109" s="18" t="str">
        <x:v>MTG0027</x:v>
      </x:c>
      <x:c r="C109" s="18" t="str">
        <x:v>Career aspirations</x:v>
      </x:c>
      <x:c r="D109" s="21" t="str">
        <x:v>The employee wants broader customer exposure while strengthening current-role consistency.</x:v>
      </x:c>
      <x:c r="E109" s="18" t="str">
        <x:v>MGR005</x:v>
      </x:c>
      <x:c r="F109" s="20" t="n">
        <x:v>45832.5</x:v>
      </x:c>
      <x:c r="G109" s="18" t="str">
        <x:v>Restricted</x:v>
      </x:c>
    </x:row>
    <x:row r="110" ht="24" hidden="0" customHeight="1">
      <x:c r="A110" s="18" t="str">
        <x:v>NOTE00109</x:v>
      </x:c>
      <x:c r="B110" s="18" t="str">
        <x:v>MTG0028</x:v>
      </x:c>
      <x:c r="C110" s="18" t="str">
        <x:v>Strategy</x:v>
      </x:c>
      <x:c r="D110" s="21" t="str">
        <x:v>The employee exceeds the expected pipeline plan and adapts outreach based on market conditions.</x:v>
      </x:c>
      <x:c r="E110" s="18" t="str">
        <x:v>MGR005</x:v>
      </x:c>
      <x:c r="F110" s="20" t="n">
        <x:v>45820.5</x:v>
      </x:c>
      <x:c r="G110" s="18" t="str">
        <x:v>Manager and employee</x:v>
      </x:c>
    </x:row>
    <x:row r="111" ht="24" hidden="0" customHeight="1">
      <x:c r="A111" s="18" t="str">
        <x:v>NOTE00110</x:v>
      </x:c>
      <x:c r="B111" s="18" t="str">
        <x:v>MTG0028</x:v>
      </x:c>
      <x:c r="C111" s="18" t="str">
        <x:v>Communication</x:v>
      </x:c>
      <x:c r="D111" s="21" t="str">
        <x:v>Communication is proactive and helps resolve customer and processing issues quickly.</x:v>
      </x:c>
      <x:c r="E111" s="18" t="str">
        <x:v>MGR005</x:v>
      </x:c>
      <x:c r="F111" s="20" t="n">
        <x:v>45820.5</x:v>
      </x:c>
      <x:c r="G111" s="18" t="str">
        <x:v>Manager and employee</x:v>
      </x:c>
    </x:row>
    <x:row r="112" ht="24" hidden="0" customHeight="1">
      <x:c r="A112" s="18" t="str">
        <x:v>NOTE00111</x:v>
      </x:c>
      <x:c r="B112" s="18" t="str">
        <x:v>MTG0028</x:v>
      </x:c>
      <x:c r="C112" s="18" t="str">
        <x:v>Business knowledge</x:v>
      </x:c>
      <x:c r="D112" s="21" t="str">
        <x:v>Strong product and policy knowledge supports sound recommendations and peer coaching.</x:v>
      </x:c>
      <x:c r="E112" s="18" t="str">
        <x:v>MGR005</x:v>
      </x:c>
      <x:c r="F112" s="20" t="n">
        <x:v>45820.5</x:v>
      </x:c>
      <x:c r="G112" s="18" t="str">
        <x:v>Manager and employee</x:v>
      </x:c>
    </x:row>
    <x:row r="113" ht="24" hidden="0" customHeight="1">
      <x:c r="A113" s="18" t="str">
        <x:v>NOTE00112</x:v>
      </x:c>
      <x:c r="B113" s="18" t="str">
        <x:v>MTG0028</x:v>
      </x:c>
      <x:c r="C113" s="18" t="str">
        <x:v>Career aspirations</x:v>
      </x:c>
      <x:c r="D113" s="21" t="str">
        <x:v>The employee is preparing for leadership exposure through mentoring and project ownership.</x:v>
      </x:c>
      <x:c r="E113" s="18" t="str">
        <x:v>MGR005</x:v>
      </x:c>
      <x:c r="F113" s="20" t="n">
        <x:v>45821.5</x:v>
      </x:c>
      <x:c r="G113" s="18" t="str">
        <x:v>Restricted</x:v>
      </x:c>
    </x:row>
    <x:row r="114" ht="24" hidden="0" customHeight="1">
      <x:c r="A114" s="18" t="str">
        <x:v>NOTE00113</x:v>
      </x:c>
      <x:c r="B114" s="18" t="str">
        <x:v>MTG0029</x:v>
      </x:c>
      <x:c r="C114" s="18" t="str">
        <x:v>Strategy</x:v>
      </x:c>
      <x:c r="D114" s="21" t="str">
        <x:v>The employee follows the branch plan and maintains a dependable quarterly pipeline.</x:v>
      </x:c>
      <x:c r="E114" s="18" t="str">
        <x:v>MGR006</x:v>
      </x:c>
      <x:c r="F114" s="20" t="n">
        <x:v>45821.5</x:v>
      </x:c>
      <x:c r="G114" s="18" t="str">
        <x:v>Manager and employee</x:v>
      </x:c>
    </x:row>
    <x:row r="115" ht="15" hidden="0" customHeight="1">
      <x:c r="A115" s="18" t="str">
        <x:v>NOTE00114</x:v>
      </x:c>
      <x:c r="B115" s="18" t="str">
        <x:v>MTG0029</x:v>
      </x:c>
      <x:c r="C115" s="18" t="str">
        <x:v>Communication</x:v>
      </x:c>
      <x:c r="D115" s="21" t="str">
        <x:v>Communication with customers and internal partners meets expectations.</x:v>
      </x:c>
      <x:c r="E115" s="18" t="str">
        <x:v>MGR006</x:v>
      </x:c>
      <x:c r="F115" s="20" t="n">
        <x:v>45821.5</x:v>
      </x:c>
      <x:c r="G115" s="18" t="str">
        <x:v>Manager and employee</x:v>
      </x:c>
    </x:row>
    <x:row r="116" ht="15" hidden="0" customHeight="1">
      <x:c r="A116" s="18" t="str">
        <x:v>NOTE00115</x:v>
      </x:c>
      <x:c r="B116" s="18" t="str">
        <x:v>MTG0029</x:v>
      </x:c>
      <x:c r="C116" s="18" t="str">
        <x:v>Business knowledge</x:v>
      </x:c>
      <x:c r="D116" s="21" t="str">
        <x:v>The employee applies standard loan policy and product knowledge effectively.</x:v>
      </x:c>
      <x:c r="E116" s="18" t="str">
        <x:v>MGR006</x:v>
      </x:c>
      <x:c r="F116" s="20" t="n">
        <x:v>45821.5</x:v>
      </x:c>
      <x:c r="G116" s="18" t="str">
        <x:v>Manager and employee</x:v>
      </x:c>
    </x:row>
    <x:row r="117" ht="24" hidden="0" customHeight="1">
      <x:c r="A117" s="18" t="str">
        <x:v>NOTE00116</x:v>
      </x:c>
      <x:c r="B117" s="18" t="str">
        <x:v>MTG0029</x:v>
      </x:c>
      <x:c r="C117" s="18" t="str">
        <x:v>Career aspirations</x:v>
      </x:c>
      <x:c r="D117" s="21" t="str">
        <x:v>The employee plans to deepen lending expertise and take on a peer-support assignment.</x:v>
      </x:c>
      <x:c r="E117" s="18" t="str">
        <x:v>MGR006</x:v>
      </x:c>
      <x:c r="F117" s="20" t="n">
        <x:v>45822.5</x:v>
      </x:c>
      <x:c r="G117" s="18" t="str">
        <x:v>Restricted</x:v>
      </x:c>
    </x:row>
    <x:row r="118" ht="24" hidden="0" customHeight="1">
      <x:c r="A118" s="18" t="str">
        <x:v>NOTE00117</x:v>
      </x:c>
      <x:c r="B118" s="18" t="str">
        <x:v>MTG0030</x:v>
      </x:c>
      <x:c r="C118" s="18" t="str">
        <x:v>Strategy</x:v>
      </x:c>
      <x:c r="D118" s="21" t="str">
        <x:v>The employee needs a documented weekly pipeline plan and closer follow-through on agreed actions.</x:v>
      </x:c>
      <x:c r="E118" s="18" t="str">
        <x:v>MGR006</x:v>
      </x:c>
      <x:c r="F118" s="20" t="n">
        <x:v>45822.5</x:v>
      </x:c>
      <x:c r="G118" s="18" t="str">
        <x:v>Manager and employee</x:v>
      </x:c>
    </x:row>
    <x:row r="119" ht="24" hidden="0" customHeight="1">
      <x:c r="A119" s="18" t="str">
        <x:v>NOTE00118</x:v>
      </x:c>
      <x:c r="B119" s="18" t="str">
        <x:v>MTG0030</x:v>
      </x:c>
      <x:c r="C119" s="18" t="str">
        <x:v>Communication</x:v>
      </x:c>
      <x:c r="D119" s="21" t="str">
        <x:v>Customer and manager updates were inconsistent; the next quarter includes scheduled coaching and checkpoints.</x:v>
      </x:c>
      <x:c r="E119" s="18" t="str">
        <x:v>MGR006</x:v>
      </x:c>
      <x:c r="F119" s="20" t="n">
        <x:v>45822.5</x:v>
      </x:c>
      <x:c r="G119" s="18" t="str">
        <x:v>Manager and employee</x:v>
      </x:c>
    </x:row>
    <x:row r="120" ht="24" hidden="0" customHeight="1">
      <x:c r="A120" s="18" t="str">
        <x:v>NOTE00119</x:v>
      </x:c>
      <x:c r="B120" s="18" t="str">
        <x:v>MTG0030</x:v>
      </x:c>
      <x:c r="C120" s="18" t="str">
        <x:v>Business knowledge</x:v>
      </x:c>
      <x:c r="D120" s="21" t="str">
        <x:v>Additional training is required on lending policy, product fit, and documentation quality.</x:v>
      </x:c>
      <x:c r="E120" s="18" t="str">
        <x:v>MGR006</x:v>
      </x:c>
      <x:c r="F120" s="20" t="n">
        <x:v>45822.5</x:v>
      </x:c>
      <x:c r="G120" s="18" t="str">
        <x:v>Manager and employee</x:v>
      </x:c>
    </x:row>
    <x:row r="121" ht="24" hidden="0" customHeight="1">
      <x:c r="A121" s="18" t="str">
        <x:v>NOTE00120</x:v>
      </x:c>
      <x:c r="B121" s="18" t="str">
        <x:v>MTG0030</x:v>
      </x:c>
      <x:c r="C121" s="18" t="str">
        <x:v>Career aspirations</x:v>
      </x:c>
      <x:c r="D121" s="21" t="str">
        <x:v>The immediate priority is consistent role performance before pursuing broader responsibilities.</x:v>
      </x:c>
      <x:c r="E121" s="18" t="str">
        <x:v>MGR006</x:v>
      </x:c>
      <x:c r="F121" s="20" t="n">
        <x:v>45823.5</x:v>
      </x:c>
      <x:c r="G121" s="18" t="str">
        <x:v>Restricted</x:v>
      </x:c>
    </x:row>
    <x:row r="122" ht="24" hidden="0" customHeight="1">
      <x:c r="A122" s="18" t="str">
        <x:v>NOTE00121</x:v>
      </x:c>
      <x:c r="B122" s="18" t="str">
        <x:v>MTG0031</x:v>
      </x:c>
      <x:c r="C122" s="18" t="str">
        <x:v>Strategy</x:v>
      </x:c>
      <x:c r="D122" s="21" t="str">
        <x:v>The employee consistently outperforms plan and shares repeatable pipeline practices across the branch.</x:v>
      </x:c>
      <x:c r="E122" s="18" t="str">
        <x:v>MGR001</x:v>
      </x:c>
      <x:c r="F122" s="20" t="n">
        <x:v>45912.5</x:v>
      </x:c>
      <x:c r="G122" s="18" t="str">
        <x:v>Manager and employee</x:v>
      </x:c>
    </x:row>
    <x:row r="123" ht="15" hidden="0" customHeight="1">
      <x:c r="A123" s="18" t="str">
        <x:v>NOTE00122</x:v>
      </x:c>
      <x:c r="B123" s="18" t="str">
        <x:v>MTG0031</x:v>
      </x:c>
      <x:c r="C123" s="18" t="str">
        <x:v>Communication</x:v>
      </x:c>
      <x:c r="D123" s="21" t="str">
        <x:v>Communication is highly effective with customers, peers, and senior leaders.</x:v>
      </x:c>
      <x:c r="E123" s="18" t="str">
        <x:v>MGR001</x:v>
      </x:c>
      <x:c r="F123" s="20" t="n">
        <x:v>45912.5</x:v>
      </x:c>
      <x:c r="G123" s="18" t="str">
        <x:v>Manager and employee</x:v>
      </x:c>
    </x:row>
    <x:row r="124" ht="24" hidden="0" customHeight="1">
      <x:c r="A124" s="18" t="str">
        <x:v>NOTE00123</x:v>
      </x:c>
      <x:c r="B124" s="18" t="str">
        <x:v>MTG0031</x:v>
      </x:c>
      <x:c r="C124" s="18" t="str">
        <x:v>Business knowledge</x:v>
      </x:c>
      <x:c r="D124" s="21" t="str">
        <x:v>The employee demonstrates advanced lending knowledge and serves as a trusted branch resource.</x:v>
      </x:c>
      <x:c r="E124" s="18" t="str">
        <x:v>MGR001</x:v>
      </x:c>
      <x:c r="F124" s="20" t="n">
        <x:v>45912.5</x:v>
      </x:c>
      <x:c r="G124" s="18" t="str">
        <x:v>Manager and employee</x:v>
      </x:c>
    </x:row>
    <x:row r="125" ht="24" hidden="0" customHeight="1">
      <x:c r="A125" s="18" t="str">
        <x:v>NOTE00124</x:v>
      </x:c>
      <x:c r="B125" s="18" t="str">
        <x:v>MTG0031</x:v>
      </x:c>
      <x:c r="C125" s="18" t="str">
        <x:v>Career aspirations</x:v>
      </x:c>
      <x:c r="D125" s="21" t="str">
        <x:v>The employee is ready for stretch leadership assignments and promotion consideration.</x:v>
      </x:c>
      <x:c r="E125" s="18" t="str">
        <x:v>MGR001</x:v>
      </x:c>
      <x:c r="F125" s="20" t="n">
        <x:v>45913.5</x:v>
      </x:c>
      <x:c r="G125" s="18" t="str">
        <x:v>Restricted</x:v>
      </x:c>
    </x:row>
    <x:row r="126" ht="24" hidden="0" customHeight="1">
      <x:c r="A126" s="18" t="str">
        <x:v>NOTE00125</x:v>
      </x:c>
      <x:c r="B126" s="18" t="str">
        <x:v>MTG0032</x:v>
      </x:c>
      <x:c r="C126" s="18" t="str">
        <x:v>Strategy</x:v>
      </x:c>
      <x:c r="D126" s="21" t="str">
        <x:v>The employee exceeds the expected pipeline plan and adapts outreach based on market conditions.</x:v>
      </x:c>
      <x:c r="E126" s="18" t="str">
        <x:v>MGR001</x:v>
      </x:c>
      <x:c r="F126" s="20" t="n">
        <x:v>45913.5</x:v>
      </x:c>
      <x:c r="G126" s="18" t="str">
        <x:v>Manager and employee</x:v>
      </x:c>
    </x:row>
    <x:row r="127" ht="24" hidden="0" customHeight="1">
      <x:c r="A127" s="18" t="str">
        <x:v>NOTE00126</x:v>
      </x:c>
      <x:c r="B127" s="18" t="str">
        <x:v>MTG0032</x:v>
      </x:c>
      <x:c r="C127" s="18" t="str">
        <x:v>Communication</x:v>
      </x:c>
      <x:c r="D127" s="21" t="str">
        <x:v>Communication is proactive and helps resolve customer and processing issues quickly.</x:v>
      </x:c>
      <x:c r="E127" s="18" t="str">
        <x:v>MGR001</x:v>
      </x:c>
      <x:c r="F127" s="20" t="n">
        <x:v>45913.5</x:v>
      </x:c>
      <x:c r="G127" s="18" t="str">
        <x:v>Manager and employee</x:v>
      </x:c>
    </x:row>
    <x:row r="128" ht="24" hidden="0" customHeight="1">
      <x:c r="A128" s="18" t="str">
        <x:v>NOTE00127</x:v>
      </x:c>
      <x:c r="B128" s="18" t="str">
        <x:v>MTG0032</x:v>
      </x:c>
      <x:c r="C128" s="18" t="str">
        <x:v>Business knowledge</x:v>
      </x:c>
      <x:c r="D128" s="21" t="str">
        <x:v>Strong product and policy knowledge supports sound recommendations and peer coaching.</x:v>
      </x:c>
      <x:c r="E128" s="18" t="str">
        <x:v>MGR001</x:v>
      </x:c>
      <x:c r="F128" s="20" t="n">
        <x:v>45913.5</x:v>
      </x:c>
      <x:c r="G128" s="18" t="str">
        <x:v>Manager and employee</x:v>
      </x:c>
    </x:row>
    <x:row r="129" ht="24" hidden="0" customHeight="1">
      <x:c r="A129" s="18" t="str">
        <x:v>NOTE00128</x:v>
      </x:c>
      <x:c r="B129" s="18" t="str">
        <x:v>MTG0032</x:v>
      </x:c>
      <x:c r="C129" s="18" t="str">
        <x:v>Career aspirations</x:v>
      </x:c>
      <x:c r="D129" s="21" t="str">
        <x:v>The employee is preparing for leadership exposure through mentoring and project ownership.</x:v>
      </x:c>
      <x:c r="E129" s="18" t="str">
        <x:v>MGR001</x:v>
      </x:c>
      <x:c r="F129" s="20" t="n">
        <x:v>45914.5</x:v>
      </x:c>
      <x:c r="G129" s="18" t="str">
        <x:v>Restricted</x:v>
      </x:c>
    </x:row>
    <x:row r="130" ht="24" hidden="0" customHeight="1">
      <x:c r="A130" s="18" t="str">
        <x:v>NOTE00129</x:v>
      </x:c>
      <x:c r="B130" s="18" t="str">
        <x:v>MTG0033</x:v>
      </x:c>
      <x:c r="C130" s="18" t="str">
        <x:v>Strategy</x:v>
      </x:c>
      <x:c r="D130" s="21" t="str">
        <x:v>The employee follows the branch plan and maintains a dependable quarterly pipeline.</x:v>
      </x:c>
      <x:c r="E130" s="18" t="str">
        <x:v>MGR001</x:v>
      </x:c>
      <x:c r="F130" s="20" t="n">
        <x:v>45914.5</x:v>
      </x:c>
      <x:c r="G130" s="18" t="str">
        <x:v>Manager and employee</x:v>
      </x:c>
    </x:row>
    <x:row r="131" ht="15" hidden="0" customHeight="1">
      <x:c r="A131" s="18" t="str">
        <x:v>NOTE00130</x:v>
      </x:c>
      <x:c r="B131" s="18" t="str">
        <x:v>MTG0033</x:v>
      </x:c>
      <x:c r="C131" s="18" t="str">
        <x:v>Communication</x:v>
      </x:c>
      <x:c r="D131" s="21" t="str">
        <x:v>Communication with customers and internal partners meets expectations.</x:v>
      </x:c>
      <x:c r="E131" s="18" t="str">
        <x:v>MGR001</x:v>
      </x:c>
      <x:c r="F131" s="20" t="n">
        <x:v>45914.5</x:v>
      </x:c>
      <x:c r="G131" s="18" t="str">
        <x:v>Manager and employee</x:v>
      </x:c>
    </x:row>
    <x:row r="132" ht="15" hidden="0" customHeight="1">
      <x:c r="A132" s="18" t="str">
        <x:v>NOTE00131</x:v>
      </x:c>
      <x:c r="B132" s="18" t="str">
        <x:v>MTG0033</x:v>
      </x:c>
      <x:c r="C132" s="18" t="str">
        <x:v>Business knowledge</x:v>
      </x:c>
      <x:c r="D132" s="21" t="str">
        <x:v>The employee applies standard loan policy and product knowledge effectively.</x:v>
      </x:c>
      <x:c r="E132" s="18" t="str">
        <x:v>MGR001</x:v>
      </x:c>
      <x:c r="F132" s="20" t="n">
        <x:v>45914.5</x:v>
      </x:c>
      <x:c r="G132" s="18" t="str">
        <x:v>Manager and employee</x:v>
      </x:c>
    </x:row>
    <x:row r="133" ht="24" hidden="0" customHeight="1">
      <x:c r="A133" s="18" t="str">
        <x:v>NOTE00132</x:v>
      </x:c>
      <x:c r="B133" s="18" t="str">
        <x:v>MTG0033</x:v>
      </x:c>
      <x:c r="C133" s="18" t="str">
        <x:v>Career aspirations</x:v>
      </x:c>
      <x:c r="D133" s="21" t="str">
        <x:v>The employee plans to deepen lending expertise and take on a peer-support assignment.</x:v>
      </x:c>
      <x:c r="E133" s="18" t="str">
        <x:v>MGR001</x:v>
      </x:c>
      <x:c r="F133" s="20" t="n">
        <x:v>45915.5</x:v>
      </x:c>
      <x:c r="G133" s="18" t="str">
        <x:v>Restricted</x:v>
      </x:c>
    </x:row>
    <x:row r="134" ht="24" hidden="0" customHeight="1">
      <x:c r="A134" s="18" t="str">
        <x:v>NOTE00133</x:v>
      </x:c>
      <x:c r="B134" s="18" t="str">
        <x:v>MTG0034</x:v>
      </x:c>
      <x:c r="C134" s="18" t="str">
        <x:v>Strategy</x:v>
      </x:c>
      <x:c r="D134" s="21" t="str">
        <x:v>The employee follows the branch plan and maintains a dependable quarterly pipeline.</x:v>
      </x:c>
      <x:c r="E134" s="18" t="str">
        <x:v>MGR002</x:v>
      </x:c>
      <x:c r="F134" s="20" t="n">
        <x:v>45915.5</x:v>
      </x:c>
      <x:c r="G134" s="18" t="str">
        <x:v>Manager and employee</x:v>
      </x:c>
    </x:row>
    <x:row r="135" ht="15" hidden="0" customHeight="1">
      <x:c r="A135" s="18" t="str">
        <x:v>NOTE00134</x:v>
      </x:c>
      <x:c r="B135" s="18" t="str">
        <x:v>MTG0034</x:v>
      </x:c>
      <x:c r="C135" s="18" t="str">
        <x:v>Communication</x:v>
      </x:c>
      <x:c r="D135" s="21" t="str">
        <x:v>Communication with customers and internal partners meets expectations.</x:v>
      </x:c>
      <x:c r="E135" s="18" t="str">
        <x:v>MGR002</x:v>
      </x:c>
      <x:c r="F135" s="20" t="n">
        <x:v>45915.5</x:v>
      </x:c>
      <x:c r="G135" s="18" t="str">
        <x:v>Manager and employee</x:v>
      </x:c>
    </x:row>
    <x:row r="136" ht="15" hidden="0" customHeight="1">
      <x:c r="A136" s="18" t="str">
        <x:v>NOTE00135</x:v>
      </x:c>
      <x:c r="B136" s="18" t="str">
        <x:v>MTG0034</x:v>
      </x:c>
      <x:c r="C136" s="18" t="str">
        <x:v>Business knowledge</x:v>
      </x:c>
      <x:c r="D136" s="21" t="str">
        <x:v>The employee applies standard loan policy and product knowledge effectively.</x:v>
      </x:c>
      <x:c r="E136" s="18" t="str">
        <x:v>MGR002</x:v>
      </x:c>
      <x:c r="F136" s="20" t="n">
        <x:v>45915.5</x:v>
      </x:c>
      <x:c r="G136" s="18" t="str">
        <x:v>Manager and employee</x:v>
      </x:c>
    </x:row>
    <x:row r="137" ht="24" hidden="0" customHeight="1">
      <x:c r="A137" s="18" t="str">
        <x:v>NOTE00136</x:v>
      </x:c>
      <x:c r="B137" s="18" t="str">
        <x:v>MTG0034</x:v>
      </x:c>
      <x:c r="C137" s="18" t="str">
        <x:v>Career aspirations</x:v>
      </x:c>
      <x:c r="D137" s="21" t="str">
        <x:v>The employee plans to deepen lending expertise and take on a peer-support assignment.</x:v>
      </x:c>
      <x:c r="E137" s="18" t="str">
        <x:v>MGR002</x:v>
      </x:c>
      <x:c r="F137" s="20" t="n">
        <x:v>45916.5</x:v>
      </x:c>
      <x:c r="G137" s="18" t="str">
        <x:v>Restricted</x:v>
      </x:c>
    </x:row>
    <x:row r="138" ht="24" hidden="0" customHeight="1">
      <x:c r="A138" s="18" t="str">
        <x:v>NOTE00137</x:v>
      </x:c>
      <x:c r="B138" s="18" t="str">
        <x:v>MTG0035</x:v>
      </x:c>
      <x:c r="C138" s="18" t="str">
        <x:v>Strategy</x:v>
      </x:c>
      <x:c r="D138" s="21" t="str">
        <x:v>The employee exceeds the expected pipeline plan and adapts outreach based on market conditions.</x:v>
      </x:c>
      <x:c r="E138" s="18" t="str">
        <x:v>MGR002</x:v>
      </x:c>
      <x:c r="F138" s="20" t="n">
        <x:v>45916.5</x:v>
      </x:c>
      <x:c r="G138" s="18" t="str">
        <x:v>Manager and employee</x:v>
      </x:c>
    </x:row>
    <x:row r="139" ht="24" hidden="0" customHeight="1">
      <x:c r="A139" s="18" t="str">
        <x:v>NOTE00138</x:v>
      </x:c>
      <x:c r="B139" s="18" t="str">
        <x:v>MTG0035</x:v>
      </x:c>
      <x:c r="C139" s="18" t="str">
        <x:v>Communication</x:v>
      </x:c>
      <x:c r="D139" s="21" t="str">
        <x:v>Communication is proactive and helps resolve customer and processing issues quickly.</x:v>
      </x:c>
      <x:c r="E139" s="18" t="str">
        <x:v>MGR002</x:v>
      </x:c>
      <x:c r="F139" s="20" t="n">
        <x:v>45916.5</x:v>
      </x:c>
      <x:c r="G139" s="18" t="str">
        <x:v>Manager and employee</x:v>
      </x:c>
    </x:row>
    <x:row r="140" ht="24" hidden="0" customHeight="1">
      <x:c r="A140" s="18" t="str">
        <x:v>NOTE00139</x:v>
      </x:c>
      <x:c r="B140" s="18" t="str">
        <x:v>MTG0035</x:v>
      </x:c>
      <x:c r="C140" s="18" t="str">
        <x:v>Business knowledge</x:v>
      </x:c>
      <x:c r="D140" s="21" t="str">
        <x:v>Strong product and policy knowledge supports sound recommendations and peer coaching.</x:v>
      </x:c>
      <x:c r="E140" s="18" t="str">
        <x:v>MGR002</x:v>
      </x:c>
      <x:c r="F140" s="20" t="n">
        <x:v>45916.5</x:v>
      </x:c>
      <x:c r="G140" s="18" t="str">
        <x:v>Manager and employee</x:v>
      </x:c>
    </x:row>
    <x:row r="141" ht="24" hidden="0" customHeight="1">
      <x:c r="A141" s="18" t="str">
        <x:v>NOTE00140</x:v>
      </x:c>
      <x:c r="B141" s="18" t="str">
        <x:v>MTG0035</x:v>
      </x:c>
      <x:c r="C141" s="18" t="str">
        <x:v>Career aspirations</x:v>
      </x:c>
      <x:c r="D141" s="21" t="str">
        <x:v>The employee is preparing for leadership exposure through mentoring and project ownership.</x:v>
      </x:c>
      <x:c r="E141" s="18" t="str">
        <x:v>MGR002</x:v>
      </x:c>
      <x:c r="F141" s="20" t="n">
        <x:v>45917.5</x:v>
      </x:c>
      <x:c r="G141" s="18" t="str">
        <x:v>Restricted</x:v>
      </x:c>
    </x:row>
    <x:row r="142" ht="24" hidden="0" customHeight="1">
      <x:c r="A142" s="18" t="str">
        <x:v>NOTE00141</x:v>
      </x:c>
      <x:c r="B142" s="18" t="str">
        <x:v>MTG0036</x:v>
      </x:c>
      <x:c r="C142" s="18" t="str">
        <x:v>Strategy</x:v>
      </x:c>
      <x:c r="D142" s="21" t="str">
        <x:v>The employee has a workable plan but needs more consistent prospecting and pipeline conversion.</x:v>
      </x:c>
      <x:c r="E142" s="18" t="str">
        <x:v>MGR002</x:v>
      </x:c>
      <x:c r="F142" s="20" t="n">
        <x:v>45917.5</x:v>
      </x:c>
      <x:c r="G142" s="18" t="str">
        <x:v>Manager and employee</x:v>
      </x:c>
    </x:row>
    <x:row r="143" ht="24" hidden="0" customHeight="1">
      <x:c r="A143" s="18" t="str">
        <x:v>NOTE00142</x:v>
      </x:c>
      <x:c r="B143" s="18" t="str">
        <x:v>MTG0036</x:v>
      </x:c>
      <x:c r="C143" s="18" t="str">
        <x:v>Communication</x:v>
      </x:c>
      <x:c r="D143" s="21" t="str">
        <x:v>Routine communication is adequate; earlier escalation of stalled applications is needed.</x:v>
      </x:c>
      <x:c r="E143" s="18" t="str">
        <x:v>MGR002</x:v>
      </x:c>
      <x:c r="F143" s="20" t="n">
        <x:v>45917.5</x:v>
      </x:c>
      <x:c r="G143" s="18" t="str">
        <x:v>Manager and employee</x:v>
      </x:c>
    </x:row>
    <x:row r="144" ht="24" hidden="0" customHeight="1">
      <x:c r="A144" s="18" t="str">
        <x:v>NOTE00143</x:v>
      </x:c>
      <x:c r="B144" s="18" t="str">
        <x:v>MTG0036</x:v>
      </x:c>
      <x:c r="C144" s="18" t="str">
        <x:v>Business knowledge</x:v>
      </x:c>
      <x:c r="D144" s="21" t="str">
        <x:v>Core product knowledge is developing, with targeted coaching assigned for complex cases.</x:v>
      </x:c>
      <x:c r="E144" s="18" t="str">
        <x:v>MGR002</x:v>
      </x:c>
      <x:c r="F144" s="20" t="n">
        <x:v>45917.5</x:v>
      </x:c>
      <x:c r="G144" s="18" t="str">
        <x:v>Manager and employee</x:v>
      </x:c>
    </x:row>
    <x:row r="145" ht="24" hidden="0" customHeight="1">
      <x:c r="A145" s="18" t="str">
        <x:v>NOTE00144</x:v>
      </x:c>
      <x:c r="B145" s="18" t="str">
        <x:v>MTG0036</x:v>
      </x:c>
      <x:c r="C145" s="18" t="str">
        <x:v>Career aspirations</x:v>
      </x:c>
      <x:c r="D145" s="21" t="str">
        <x:v>The employee wants broader customer exposure while strengthening current-role consistency.</x:v>
      </x:c>
      <x:c r="E145" s="18" t="str">
        <x:v>MGR002</x:v>
      </x:c>
      <x:c r="F145" s="20" t="n">
        <x:v>45918.5</x:v>
      </x:c>
      <x:c r="G145" s="18" t="str">
        <x:v>Restricted</x:v>
      </x:c>
    </x:row>
    <x:row r="146" ht="24" hidden="0" customHeight="1">
      <x:c r="A146" s="18" t="str">
        <x:v>NOTE00145</x:v>
      </x:c>
      <x:c r="B146" s="18" t="str">
        <x:v>MTG0037</x:v>
      </x:c>
      <x:c r="C146" s="18" t="str">
        <x:v>Strategy</x:v>
      </x:c>
      <x:c r="D146" s="21" t="str">
        <x:v>The employee has a workable plan but needs more consistent prospecting and pipeline conversion.</x:v>
      </x:c>
      <x:c r="E146" s="18" t="str">
        <x:v>MGR003</x:v>
      </x:c>
      <x:c r="F146" s="20" t="n">
        <x:v>45918.5</x:v>
      </x:c>
      <x:c r="G146" s="18" t="str">
        <x:v>Manager and employee</x:v>
      </x:c>
    </x:row>
    <x:row r="147" ht="24" hidden="0" customHeight="1">
      <x:c r="A147" s="18" t="str">
        <x:v>NOTE00146</x:v>
      </x:c>
      <x:c r="B147" s="18" t="str">
        <x:v>MTG0037</x:v>
      </x:c>
      <x:c r="C147" s="18" t="str">
        <x:v>Communication</x:v>
      </x:c>
      <x:c r="D147" s="21" t="str">
        <x:v>Routine communication is adequate; earlier escalation of stalled applications is needed.</x:v>
      </x:c>
      <x:c r="E147" s="18" t="str">
        <x:v>MGR003</x:v>
      </x:c>
      <x:c r="F147" s="20" t="n">
        <x:v>45918.5</x:v>
      </x:c>
      <x:c r="G147" s="18" t="str">
        <x:v>Manager and employee</x:v>
      </x:c>
    </x:row>
    <x:row r="148" ht="24" hidden="0" customHeight="1">
      <x:c r="A148" s="18" t="str">
        <x:v>NOTE00147</x:v>
      </x:c>
      <x:c r="B148" s="18" t="str">
        <x:v>MTG0037</x:v>
      </x:c>
      <x:c r="C148" s="18" t="str">
        <x:v>Business knowledge</x:v>
      </x:c>
      <x:c r="D148" s="21" t="str">
        <x:v>Core product knowledge is developing, with targeted coaching assigned for complex cases.</x:v>
      </x:c>
      <x:c r="E148" s="18" t="str">
        <x:v>MGR003</x:v>
      </x:c>
      <x:c r="F148" s="20" t="n">
        <x:v>45918.5</x:v>
      </x:c>
      <x:c r="G148" s="18" t="str">
        <x:v>Manager and employee</x:v>
      </x:c>
    </x:row>
    <x:row r="149" ht="24" hidden="0" customHeight="1">
      <x:c r="A149" s="18" t="str">
        <x:v>NOTE00148</x:v>
      </x:c>
      <x:c r="B149" s="18" t="str">
        <x:v>MTG0037</x:v>
      </x:c>
      <x:c r="C149" s="18" t="str">
        <x:v>Career aspirations</x:v>
      </x:c>
      <x:c r="D149" s="21" t="str">
        <x:v>The employee wants broader customer exposure while strengthening current-role consistency.</x:v>
      </x:c>
      <x:c r="E149" s="18" t="str">
        <x:v>MGR003</x:v>
      </x:c>
      <x:c r="F149" s="20" t="n">
        <x:v>45919.5</x:v>
      </x:c>
      <x:c r="G149" s="18" t="str">
        <x:v>Restricted</x:v>
      </x:c>
    </x:row>
    <x:row r="150" ht="24" hidden="0" customHeight="1">
      <x:c r="A150" s="18" t="str">
        <x:v>NOTE00149</x:v>
      </x:c>
      <x:c r="B150" s="18" t="str">
        <x:v>MTG0038</x:v>
      </x:c>
      <x:c r="C150" s="18" t="str">
        <x:v>Strategy</x:v>
      </x:c>
      <x:c r="D150" s="21" t="str">
        <x:v>The employee needs a documented weekly pipeline plan and closer follow-through on agreed actions.</x:v>
      </x:c>
      <x:c r="E150" s="18" t="str">
        <x:v>MGR003</x:v>
      </x:c>
      <x:c r="F150" s="20" t="n">
        <x:v>45919.5</x:v>
      </x:c>
      <x:c r="G150" s="18" t="str">
        <x:v>Manager and employee</x:v>
      </x:c>
    </x:row>
    <x:row r="151" ht="24" hidden="0" customHeight="1">
      <x:c r="A151" s="18" t="str">
        <x:v>NOTE00150</x:v>
      </x:c>
      <x:c r="B151" s="18" t="str">
        <x:v>MTG0038</x:v>
      </x:c>
      <x:c r="C151" s="18" t="str">
        <x:v>Communication</x:v>
      </x:c>
      <x:c r="D151" s="21" t="str">
        <x:v>Customer and manager updates were inconsistent; the next quarter includes scheduled coaching and checkpoints.</x:v>
      </x:c>
      <x:c r="E151" s="18" t="str">
        <x:v>MGR003</x:v>
      </x:c>
      <x:c r="F151" s="20" t="n">
        <x:v>45919.5</x:v>
      </x:c>
      <x:c r="G151" s="18" t="str">
        <x:v>Manager and employee</x:v>
      </x:c>
    </x:row>
    <x:row r="152" ht="24" hidden="0" customHeight="1">
      <x:c r="A152" s="18" t="str">
        <x:v>NOTE00151</x:v>
      </x:c>
      <x:c r="B152" s="18" t="str">
        <x:v>MTG0038</x:v>
      </x:c>
      <x:c r="C152" s="18" t="str">
        <x:v>Business knowledge</x:v>
      </x:c>
      <x:c r="D152" s="21" t="str">
        <x:v>Additional training is required on lending policy, product fit, and documentation quality.</x:v>
      </x:c>
      <x:c r="E152" s="18" t="str">
        <x:v>MGR003</x:v>
      </x:c>
      <x:c r="F152" s="20" t="n">
        <x:v>45919.5</x:v>
      </x:c>
      <x:c r="G152" s="18" t="str">
        <x:v>Manager and employee</x:v>
      </x:c>
    </x:row>
    <x:row r="153" ht="24" hidden="0" customHeight="1">
      <x:c r="A153" s="18" t="str">
        <x:v>NOTE00152</x:v>
      </x:c>
      <x:c r="B153" s="18" t="str">
        <x:v>MTG0038</x:v>
      </x:c>
      <x:c r="C153" s="18" t="str">
        <x:v>Career aspirations</x:v>
      </x:c>
      <x:c r="D153" s="21" t="str">
        <x:v>The immediate priority is consistent role performance before pursuing broader responsibilities.</x:v>
      </x:c>
      <x:c r="E153" s="18" t="str">
        <x:v>MGR003</x:v>
      </x:c>
      <x:c r="F153" s="20" t="n">
        <x:v>45920.5</x:v>
      </x:c>
      <x:c r="G153" s="18" t="str">
        <x:v>Restricted</x:v>
      </x:c>
    </x:row>
    <x:row r="154" ht="24" hidden="0" customHeight="1">
      <x:c r="A154" s="18" t="str">
        <x:v>NOTE00153</x:v>
      </x:c>
      <x:c r="B154" s="18" t="str">
        <x:v>MTG0039</x:v>
      </x:c>
      <x:c r="C154" s="18" t="str">
        <x:v>Strategy</x:v>
      </x:c>
      <x:c r="D154" s="21" t="str">
        <x:v>The employee consistently outperforms plan and shares repeatable pipeline practices across the branch.</x:v>
      </x:c>
      <x:c r="E154" s="18" t="str">
        <x:v>MGR004</x:v>
      </x:c>
      <x:c r="F154" s="20" t="n">
        <x:v>45920.5</x:v>
      </x:c>
      <x:c r="G154" s="18" t="str">
        <x:v>Manager and employee</x:v>
      </x:c>
    </x:row>
    <x:row r="155" ht="15" hidden="0" customHeight="1">
      <x:c r="A155" s="18" t="str">
        <x:v>NOTE00154</x:v>
      </x:c>
      <x:c r="B155" s="18" t="str">
        <x:v>MTG0039</x:v>
      </x:c>
      <x:c r="C155" s="18" t="str">
        <x:v>Communication</x:v>
      </x:c>
      <x:c r="D155" s="21" t="str">
        <x:v>Communication is highly effective with customers, peers, and senior leaders.</x:v>
      </x:c>
      <x:c r="E155" s="18" t="str">
        <x:v>MGR004</x:v>
      </x:c>
      <x:c r="F155" s="20" t="n">
        <x:v>45920.5</x:v>
      </x:c>
      <x:c r="G155" s="18" t="str">
        <x:v>Manager and employee</x:v>
      </x:c>
    </x:row>
    <x:row r="156" ht="24" hidden="0" customHeight="1">
      <x:c r="A156" s="18" t="str">
        <x:v>NOTE00155</x:v>
      </x:c>
      <x:c r="B156" s="18" t="str">
        <x:v>MTG0039</x:v>
      </x:c>
      <x:c r="C156" s="18" t="str">
        <x:v>Business knowledge</x:v>
      </x:c>
      <x:c r="D156" s="21" t="str">
        <x:v>The employee demonstrates advanced lending knowledge and serves as a trusted branch resource.</x:v>
      </x:c>
      <x:c r="E156" s="18" t="str">
        <x:v>MGR004</x:v>
      </x:c>
      <x:c r="F156" s="20" t="n">
        <x:v>45920.5</x:v>
      </x:c>
      <x:c r="G156" s="18" t="str">
        <x:v>Manager and employee</x:v>
      </x:c>
    </x:row>
    <x:row r="157" ht="24" hidden="0" customHeight="1">
      <x:c r="A157" s="18" t="str">
        <x:v>NOTE00156</x:v>
      </x:c>
      <x:c r="B157" s="18" t="str">
        <x:v>MTG0039</x:v>
      </x:c>
      <x:c r="C157" s="18" t="str">
        <x:v>Career aspirations</x:v>
      </x:c>
      <x:c r="D157" s="21" t="str">
        <x:v>The employee is ready for stretch leadership assignments and promotion consideration.</x:v>
      </x:c>
      <x:c r="E157" s="18" t="str">
        <x:v>MGR004</x:v>
      </x:c>
      <x:c r="F157" s="20" t="n">
        <x:v>45921.5</x:v>
      </x:c>
      <x:c r="G157" s="18" t="str">
        <x:v>Restricted</x:v>
      </x:c>
    </x:row>
    <x:row r="158" ht="24" hidden="0" customHeight="1">
      <x:c r="A158" s="18" t="str">
        <x:v>NOTE00157</x:v>
      </x:c>
      <x:c r="B158" s="18" t="str">
        <x:v>MTG0040</x:v>
      </x:c>
      <x:c r="C158" s="18" t="str">
        <x:v>Strategy</x:v>
      </x:c>
      <x:c r="D158" s="21" t="str">
        <x:v>The employee exceeds the expected pipeline plan and adapts outreach based on market conditions.</x:v>
      </x:c>
      <x:c r="E158" s="18" t="str">
        <x:v>MGR004</x:v>
      </x:c>
      <x:c r="F158" s="20" t="n">
        <x:v>45921.5</x:v>
      </x:c>
      <x:c r="G158" s="18" t="str">
        <x:v>Manager and employee</x:v>
      </x:c>
    </x:row>
    <x:row r="159" ht="24" hidden="0" customHeight="1">
      <x:c r="A159" s="18" t="str">
        <x:v>NOTE00158</x:v>
      </x:c>
      <x:c r="B159" s="18" t="str">
        <x:v>MTG0040</x:v>
      </x:c>
      <x:c r="C159" s="18" t="str">
        <x:v>Communication</x:v>
      </x:c>
      <x:c r="D159" s="21" t="str">
        <x:v>Communication is proactive and helps resolve customer and processing issues quickly.</x:v>
      </x:c>
      <x:c r="E159" s="18" t="str">
        <x:v>MGR004</x:v>
      </x:c>
      <x:c r="F159" s="20" t="n">
        <x:v>45921.5</x:v>
      </x:c>
      <x:c r="G159" s="18" t="str">
        <x:v>Manager and employee</x:v>
      </x:c>
    </x:row>
    <x:row r="160" ht="24" hidden="0" customHeight="1">
      <x:c r="A160" s="18" t="str">
        <x:v>NOTE00159</x:v>
      </x:c>
      <x:c r="B160" s="18" t="str">
        <x:v>MTG0040</x:v>
      </x:c>
      <x:c r="C160" s="18" t="str">
        <x:v>Business knowledge</x:v>
      </x:c>
      <x:c r="D160" s="21" t="str">
        <x:v>Strong product and policy knowledge supports sound recommendations and peer coaching.</x:v>
      </x:c>
      <x:c r="E160" s="18" t="str">
        <x:v>MGR004</x:v>
      </x:c>
      <x:c r="F160" s="20" t="n">
        <x:v>45921.5</x:v>
      </x:c>
      <x:c r="G160" s="18" t="str">
        <x:v>Manager and employee</x:v>
      </x:c>
    </x:row>
    <x:row r="161" ht="24" hidden="0" customHeight="1">
      <x:c r="A161" s="18" t="str">
        <x:v>NOTE00160</x:v>
      </x:c>
      <x:c r="B161" s="18" t="str">
        <x:v>MTG0040</x:v>
      </x:c>
      <x:c r="C161" s="18" t="str">
        <x:v>Career aspirations</x:v>
      </x:c>
      <x:c r="D161" s="21" t="str">
        <x:v>The employee is preparing for leadership exposure through mentoring and project ownership.</x:v>
      </x:c>
      <x:c r="E161" s="18" t="str">
        <x:v>MGR004</x:v>
      </x:c>
      <x:c r="F161" s="20" t="n">
        <x:v>45922.5</x:v>
      </x:c>
      <x:c r="G161" s="18" t="str">
        <x:v>Restricted</x:v>
      </x:c>
    </x:row>
    <x:row r="162" ht="24" hidden="0" customHeight="1">
      <x:c r="A162" s="18" t="str">
        <x:v>NOTE00161</x:v>
      </x:c>
      <x:c r="B162" s="18" t="str">
        <x:v>MTG0041</x:v>
      </x:c>
      <x:c r="C162" s="18" t="str">
        <x:v>Strategy</x:v>
      </x:c>
      <x:c r="D162" s="21" t="str">
        <x:v>The employee follows the branch plan and maintains a dependable quarterly pipeline.</x:v>
      </x:c>
      <x:c r="E162" s="18" t="str">
        <x:v>MGR004</x:v>
      </x:c>
      <x:c r="F162" s="20" t="n">
        <x:v>45922.5</x:v>
      </x:c>
      <x:c r="G162" s="18" t="str">
        <x:v>Manager and employee</x:v>
      </x:c>
    </x:row>
    <x:row r="163" ht="15" hidden="0" customHeight="1">
      <x:c r="A163" s="18" t="str">
        <x:v>NOTE00162</x:v>
      </x:c>
      <x:c r="B163" s="18" t="str">
        <x:v>MTG0041</x:v>
      </x:c>
      <x:c r="C163" s="18" t="str">
        <x:v>Communication</x:v>
      </x:c>
      <x:c r="D163" s="21" t="str">
        <x:v>Communication with customers and internal partners meets expectations.</x:v>
      </x:c>
      <x:c r="E163" s="18" t="str">
        <x:v>MGR004</x:v>
      </x:c>
      <x:c r="F163" s="20" t="n">
        <x:v>45922.5</x:v>
      </x:c>
      <x:c r="G163" s="18" t="str">
        <x:v>Manager and employee</x:v>
      </x:c>
    </x:row>
    <x:row r="164" ht="15" hidden="0" customHeight="1">
      <x:c r="A164" s="18" t="str">
        <x:v>NOTE00163</x:v>
      </x:c>
      <x:c r="B164" s="18" t="str">
        <x:v>MTG0041</x:v>
      </x:c>
      <x:c r="C164" s="18" t="str">
        <x:v>Business knowledge</x:v>
      </x:c>
      <x:c r="D164" s="21" t="str">
        <x:v>The employee applies standard loan policy and product knowledge effectively.</x:v>
      </x:c>
      <x:c r="E164" s="18" t="str">
        <x:v>MGR004</x:v>
      </x:c>
      <x:c r="F164" s="20" t="n">
        <x:v>45922.5</x:v>
      </x:c>
      <x:c r="G164" s="18" t="str">
        <x:v>Manager and employee</x:v>
      </x:c>
    </x:row>
    <x:row r="165" ht="24" hidden="0" customHeight="1">
      <x:c r="A165" s="18" t="str">
        <x:v>NOTE00164</x:v>
      </x:c>
      <x:c r="B165" s="18" t="str">
        <x:v>MTG0041</x:v>
      </x:c>
      <x:c r="C165" s="18" t="str">
        <x:v>Career aspirations</x:v>
      </x:c>
      <x:c r="D165" s="21" t="str">
        <x:v>The employee plans to deepen lending expertise and take on a peer-support assignment.</x:v>
      </x:c>
      <x:c r="E165" s="18" t="str">
        <x:v>MGR004</x:v>
      </x:c>
      <x:c r="F165" s="20" t="n">
        <x:v>45923.5</x:v>
      </x:c>
      <x:c r="G165" s="18" t="str">
        <x:v>Restricted</x:v>
      </x:c>
    </x:row>
    <x:row r="166" ht="24" hidden="0" customHeight="1">
      <x:c r="A166" s="18" t="str">
        <x:v>NOTE00165</x:v>
      </x:c>
      <x:c r="B166" s="18" t="str">
        <x:v>MTG0042</x:v>
      </x:c>
      <x:c r="C166" s="18" t="str">
        <x:v>Strategy</x:v>
      </x:c>
      <x:c r="D166" s="21" t="str">
        <x:v>The employee has a workable plan but needs more consistent prospecting and pipeline conversion.</x:v>
      </x:c>
      <x:c r="E166" s="18" t="str">
        <x:v>MGR005</x:v>
      </x:c>
      <x:c r="F166" s="20" t="n">
        <x:v>45923.5</x:v>
      </x:c>
      <x:c r="G166" s="18" t="str">
        <x:v>Manager and employee</x:v>
      </x:c>
    </x:row>
    <x:row r="167" ht="24" hidden="0" customHeight="1">
      <x:c r="A167" s="18" t="str">
        <x:v>NOTE00166</x:v>
      </x:c>
      <x:c r="B167" s="18" t="str">
        <x:v>MTG0042</x:v>
      </x:c>
      <x:c r="C167" s="18" t="str">
        <x:v>Communication</x:v>
      </x:c>
      <x:c r="D167" s="21" t="str">
        <x:v>Routine communication is adequate; earlier escalation of stalled applications is needed.</x:v>
      </x:c>
      <x:c r="E167" s="18" t="str">
        <x:v>MGR005</x:v>
      </x:c>
      <x:c r="F167" s="20" t="n">
        <x:v>45923.5</x:v>
      </x:c>
      <x:c r="G167" s="18" t="str">
        <x:v>Manager and employee</x:v>
      </x:c>
    </x:row>
    <x:row r="168" ht="24" hidden="0" customHeight="1">
      <x:c r="A168" s="18" t="str">
        <x:v>NOTE00167</x:v>
      </x:c>
      <x:c r="B168" s="18" t="str">
        <x:v>MTG0042</x:v>
      </x:c>
      <x:c r="C168" s="18" t="str">
        <x:v>Business knowledge</x:v>
      </x:c>
      <x:c r="D168" s="21" t="str">
        <x:v>Core product knowledge is developing, with targeted coaching assigned for complex cases.</x:v>
      </x:c>
      <x:c r="E168" s="18" t="str">
        <x:v>MGR005</x:v>
      </x:c>
      <x:c r="F168" s="20" t="n">
        <x:v>45923.5</x:v>
      </x:c>
      <x:c r="G168" s="18" t="str">
        <x:v>Manager and employee</x:v>
      </x:c>
    </x:row>
    <x:row r="169" ht="24" hidden="0" customHeight="1">
      <x:c r="A169" s="18" t="str">
        <x:v>NOTE00168</x:v>
      </x:c>
      <x:c r="B169" s="18" t="str">
        <x:v>MTG0042</x:v>
      </x:c>
      <x:c r="C169" s="18" t="str">
        <x:v>Career aspirations</x:v>
      </x:c>
      <x:c r="D169" s="21" t="str">
        <x:v>The employee wants broader customer exposure while strengthening current-role consistency.</x:v>
      </x:c>
      <x:c r="E169" s="18" t="str">
        <x:v>MGR005</x:v>
      </x:c>
      <x:c r="F169" s="20" t="n">
        <x:v>45924.5</x:v>
      </x:c>
      <x:c r="G169" s="18" t="str">
        <x:v>Restricted</x:v>
      </x:c>
    </x:row>
    <x:row r="170" ht="24" hidden="0" customHeight="1">
      <x:c r="A170" s="18" t="str">
        <x:v>NOTE00169</x:v>
      </x:c>
      <x:c r="B170" s="18" t="str">
        <x:v>MTG0043</x:v>
      </x:c>
      <x:c r="C170" s="18" t="str">
        <x:v>Strategy</x:v>
      </x:c>
      <x:c r="D170" s="21" t="str">
        <x:v>The employee follows the branch plan and maintains a dependable quarterly pipeline.</x:v>
      </x:c>
      <x:c r="E170" s="18" t="str">
        <x:v>MGR005</x:v>
      </x:c>
      <x:c r="F170" s="20" t="n">
        <x:v>45912.5</x:v>
      </x:c>
      <x:c r="G170" s="18" t="str">
        <x:v>Manager and employee</x:v>
      </x:c>
    </x:row>
    <x:row r="171" ht="15" hidden="0" customHeight="1">
      <x:c r="A171" s="18" t="str">
        <x:v>NOTE00170</x:v>
      </x:c>
      <x:c r="B171" s="18" t="str">
        <x:v>MTG0043</x:v>
      </x:c>
      <x:c r="C171" s="18" t="str">
        <x:v>Communication</x:v>
      </x:c>
      <x:c r="D171" s="21" t="str">
        <x:v>Communication with customers and internal partners meets expectations.</x:v>
      </x:c>
      <x:c r="E171" s="18" t="str">
        <x:v>MGR005</x:v>
      </x:c>
      <x:c r="F171" s="20" t="n">
        <x:v>45912.5</x:v>
      </x:c>
      <x:c r="G171" s="18" t="str">
        <x:v>Manager and employee</x:v>
      </x:c>
    </x:row>
    <x:row r="172" ht="15" hidden="0" customHeight="1">
      <x:c r="A172" s="18" t="str">
        <x:v>NOTE00171</x:v>
      </x:c>
      <x:c r="B172" s="18" t="str">
        <x:v>MTG0043</x:v>
      </x:c>
      <x:c r="C172" s="18" t="str">
        <x:v>Business knowledge</x:v>
      </x:c>
      <x:c r="D172" s="21" t="str">
        <x:v>The employee applies standard loan policy and product knowledge effectively.</x:v>
      </x:c>
      <x:c r="E172" s="18" t="str">
        <x:v>MGR005</x:v>
      </x:c>
      <x:c r="F172" s="20" t="n">
        <x:v>45912.5</x:v>
      </x:c>
      <x:c r="G172" s="18" t="str">
        <x:v>Manager and employee</x:v>
      </x:c>
    </x:row>
    <x:row r="173" ht="24" hidden="0" customHeight="1">
      <x:c r="A173" s="18" t="str">
        <x:v>NOTE00172</x:v>
      </x:c>
      <x:c r="B173" s="18" t="str">
        <x:v>MTG0043</x:v>
      </x:c>
      <x:c r="C173" s="18" t="str">
        <x:v>Career aspirations</x:v>
      </x:c>
      <x:c r="D173" s="21" t="str">
        <x:v>The employee plans to deepen lending expertise and take on a peer-support assignment.</x:v>
      </x:c>
      <x:c r="E173" s="18" t="str">
        <x:v>MGR005</x:v>
      </x:c>
      <x:c r="F173" s="20" t="n">
        <x:v>45913.5</x:v>
      </x:c>
      <x:c r="G173" s="18" t="str">
        <x:v>Restricted</x:v>
      </x:c>
    </x:row>
    <x:row r="174" ht="24" hidden="0" customHeight="1">
      <x:c r="A174" s="18" t="str">
        <x:v>NOTE00173</x:v>
      </x:c>
      <x:c r="B174" s="18" t="str">
        <x:v>MTG0044</x:v>
      </x:c>
      <x:c r="C174" s="18" t="str">
        <x:v>Strategy</x:v>
      </x:c>
      <x:c r="D174" s="21" t="str">
        <x:v>The employee follows the branch plan and maintains a dependable quarterly pipeline.</x:v>
      </x:c>
      <x:c r="E174" s="18" t="str">
        <x:v>MGR006</x:v>
      </x:c>
      <x:c r="F174" s="20" t="n">
        <x:v>45913.5</x:v>
      </x:c>
      <x:c r="G174" s="18" t="str">
        <x:v>Manager and employee</x:v>
      </x:c>
    </x:row>
    <x:row r="175" ht="15" hidden="0" customHeight="1">
      <x:c r="A175" s="18" t="str">
        <x:v>NOTE00174</x:v>
      </x:c>
      <x:c r="B175" s="18" t="str">
        <x:v>MTG0044</x:v>
      </x:c>
      <x:c r="C175" s="18" t="str">
        <x:v>Communication</x:v>
      </x:c>
      <x:c r="D175" s="21" t="str">
        <x:v>Communication with customers and internal partners meets expectations.</x:v>
      </x:c>
      <x:c r="E175" s="18" t="str">
        <x:v>MGR006</x:v>
      </x:c>
      <x:c r="F175" s="20" t="n">
        <x:v>45913.5</x:v>
      </x:c>
      <x:c r="G175" s="18" t="str">
        <x:v>Manager and employee</x:v>
      </x:c>
    </x:row>
    <x:row r="176" ht="15" hidden="0" customHeight="1">
      <x:c r="A176" s="18" t="str">
        <x:v>NOTE00175</x:v>
      </x:c>
      <x:c r="B176" s="18" t="str">
        <x:v>MTG0044</x:v>
      </x:c>
      <x:c r="C176" s="18" t="str">
        <x:v>Business knowledge</x:v>
      </x:c>
      <x:c r="D176" s="21" t="str">
        <x:v>The employee applies standard loan policy and product knowledge effectively.</x:v>
      </x:c>
      <x:c r="E176" s="18" t="str">
        <x:v>MGR006</x:v>
      </x:c>
      <x:c r="F176" s="20" t="n">
        <x:v>45913.5</x:v>
      </x:c>
      <x:c r="G176" s="18" t="str">
        <x:v>Manager and employee</x:v>
      </x:c>
    </x:row>
    <x:row r="177" ht="24" hidden="0" customHeight="1">
      <x:c r="A177" s="18" t="str">
        <x:v>NOTE00176</x:v>
      </x:c>
      <x:c r="B177" s="18" t="str">
        <x:v>MTG0044</x:v>
      </x:c>
      <x:c r="C177" s="18" t="str">
        <x:v>Career aspirations</x:v>
      </x:c>
      <x:c r="D177" s="21" t="str">
        <x:v>The employee plans to deepen lending expertise and take on a peer-support assignment.</x:v>
      </x:c>
      <x:c r="E177" s="18" t="str">
        <x:v>MGR006</x:v>
      </x:c>
      <x:c r="F177" s="20" t="n">
        <x:v>45914.5</x:v>
      </x:c>
      <x:c r="G177" s="18" t="str">
        <x:v>Restricted</x:v>
      </x:c>
    </x:row>
    <x:row r="178" ht="24" hidden="0" customHeight="1">
      <x:c r="A178" s="18" t="str">
        <x:v>NOTE00177</x:v>
      </x:c>
      <x:c r="B178" s="18" t="str">
        <x:v>MTG0045</x:v>
      </x:c>
      <x:c r="C178" s="18" t="str">
        <x:v>Strategy</x:v>
      </x:c>
      <x:c r="D178" s="21" t="str">
        <x:v>The employee needs a documented weekly pipeline plan and closer follow-through on agreed actions.</x:v>
      </x:c>
      <x:c r="E178" s="18" t="str">
        <x:v>MGR006</x:v>
      </x:c>
      <x:c r="F178" s="20" t="n">
        <x:v>45914.5</x:v>
      </x:c>
      <x:c r="G178" s="18" t="str">
        <x:v>Manager and employee</x:v>
      </x:c>
    </x:row>
    <x:row r="179" ht="24" hidden="0" customHeight="1">
      <x:c r="A179" s="18" t="str">
        <x:v>NOTE00178</x:v>
      </x:c>
      <x:c r="B179" s="18" t="str">
        <x:v>MTG0045</x:v>
      </x:c>
      <x:c r="C179" s="18" t="str">
        <x:v>Communication</x:v>
      </x:c>
      <x:c r="D179" s="21" t="str">
        <x:v>Customer and manager updates were inconsistent; the next quarter includes scheduled coaching and checkpoints.</x:v>
      </x:c>
      <x:c r="E179" s="18" t="str">
        <x:v>MGR006</x:v>
      </x:c>
      <x:c r="F179" s="20" t="n">
        <x:v>45914.5</x:v>
      </x:c>
      <x:c r="G179" s="18" t="str">
        <x:v>Manager and employee</x:v>
      </x:c>
    </x:row>
    <x:row r="180" ht="24" hidden="0" customHeight="1">
      <x:c r="A180" s="18" t="str">
        <x:v>NOTE00179</x:v>
      </x:c>
      <x:c r="B180" s="18" t="str">
        <x:v>MTG0045</x:v>
      </x:c>
      <x:c r="C180" s="18" t="str">
        <x:v>Business knowledge</x:v>
      </x:c>
      <x:c r="D180" s="21" t="str">
        <x:v>Additional training is required on lending policy, product fit, and documentation quality.</x:v>
      </x:c>
      <x:c r="E180" s="18" t="str">
        <x:v>MGR006</x:v>
      </x:c>
      <x:c r="F180" s="20" t="n">
        <x:v>45914.5</x:v>
      </x:c>
      <x:c r="G180" s="18" t="str">
        <x:v>Manager and employee</x:v>
      </x:c>
    </x:row>
    <x:row r="181" ht="24" hidden="0" customHeight="1">
      <x:c r="A181" s="18" t="str">
        <x:v>NOTE00180</x:v>
      </x:c>
      <x:c r="B181" s="18" t="str">
        <x:v>MTG0045</x:v>
      </x:c>
      <x:c r="C181" s="18" t="str">
        <x:v>Career aspirations</x:v>
      </x:c>
      <x:c r="D181" s="21" t="str">
        <x:v>The immediate priority is consistent role performance before pursuing broader responsibilities.</x:v>
      </x:c>
      <x:c r="E181" s="18" t="str">
        <x:v>MGR006</x:v>
      </x:c>
      <x:c r="F181" s="20" t="n">
        <x:v>45915.5</x:v>
      </x:c>
      <x:c r="G181" s="18" t="str">
        <x:v>Restricted</x:v>
      </x:c>
    </x:row>
    <x:row r="182" ht="24" hidden="0" customHeight="1">
      <x:c r="A182" s="18" t="str">
        <x:v>NOTE00181</x:v>
      </x:c>
      <x:c r="B182" s="18" t="str">
        <x:v>MTG0046</x:v>
      </x:c>
      <x:c r="C182" s="18" t="str">
        <x:v>Strategy</x:v>
      </x:c>
      <x:c r="D182" s="21" t="str">
        <x:v>The employee consistently outperforms plan and shares repeatable pipeline practices across the branch.</x:v>
      </x:c>
      <x:c r="E182" s="18" t="str">
        <x:v>MGR001</x:v>
      </x:c>
      <x:c r="F182" s="20" t="n">
        <x:v>46004.5</x:v>
      </x:c>
      <x:c r="G182" s="18" t="str">
        <x:v>Manager and employee</x:v>
      </x:c>
    </x:row>
    <x:row r="183" ht="15" hidden="0" customHeight="1">
      <x:c r="A183" s="18" t="str">
        <x:v>NOTE00182</x:v>
      </x:c>
      <x:c r="B183" s="18" t="str">
        <x:v>MTG0046</x:v>
      </x:c>
      <x:c r="C183" s="18" t="str">
        <x:v>Communication</x:v>
      </x:c>
      <x:c r="D183" s="21" t="str">
        <x:v>Communication is highly effective with customers, peers, and senior leaders.</x:v>
      </x:c>
      <x:c r="E183" s="18" t="str">
        <x:v>MGR001</x:v>
      </x:c>
      <x:c r="F183" s="20" t="n">
        <x:v>46004.5</x:v>
      </x:c>
      <x:c r="G183" s="18" t="str">
        <x:v>Manager and employee</x:v>
      </x:c>
    </x:row>
    <x:row r="184" ht="24" hidden="0" customHeight="1">
      <x:c r="A184" s="18" t="str">
        <x:v>NOTE00183</x:v>
      </x:c>
      <x:c r="B184" s="18" t="str">
        <x:v>MTG0046</x:v>
      </x:c>
      <x:c r="C184" s="18" t="str">
        <x:v>Business knowledge</x:v>
      </x:c>
      <x:c r="D184" s="21" t="str">
        <x:v>The employee demonstrates advanced lending knowledge and serves as a trusted branch resource.</x:v>
      </x:c>
      <x:c r="E184" s="18" t="str">
        <x:v>MGR001</x:v>
      </x:c>
      <x:c r="F184" s="20" t="n">
        <x:v>46004.5</x:v>
      </x:c>
      <x:c r="G184" s="18" t="str">
        <x:v>Manager and employee</x:v>
      </x:c>
    </x:row>
    <x:row r="185" ht="24" hidden="0" customHeight="1">
      <x:c r="A185" s="18" t="str">
        <x:v>NOTE00184</x:v>
      </x:c>
      <x:c r="B185" s="18" t="str">
        <x:v>MTG0046</x:v>
      </x:c>
      <x:c r="C185" s="18" t="str">
        <x:v>Career aspirations</x:v>
      </x:c>
      <x:c r="D185" s="21" t="str">
        <x:v>The employee is ready for stretch leadership assignments and promotion consideration.</x:v>
      </x:c>
      <x:c r="E185" s="18" t="str">
        <x:v>MGR001</x:v>
      </x:c>
      <x:c r="F185" s="20" t="n">
        <x:v>46005.5</x:v>
      </x:c>
      <x:c r="G185" s="18" t="str">
        <x:v>Restricted</x:v>
      </x:c>
    </x:row>
    <x:row r="186" ht="24" hidden="0" customHeight="1">
      <x:c r="A186" s="18" t="str">
        <x:v>NOTE00185</x:v>
      </x:c>
      <x:c r="B186" s="18" t="str">
        <x:v>MTG0047</x:v>
      </x:c>
      <x:c r="C186" s="18" t="str">
        <x:v>Strategy</x:v>
      </x:c>
      <x:c r="D186" s="21" t="str">
        <x:v>The employee follows the branch plan and maintains a dependable quarterly pipeline.</x:v>
      </x:c>
      <x:c r="E186" s="18" t="str">
        <x:v>MGR001</x:v>
      </x:c>
      <x:c r="F186" s="20" t="n">
        <x:v>46005.5</x:v>
      </x:c>
      <x:c r="G186" s="18" t="str">
        <x:v>Manager and employee</x:v>
      </x:c>
    </x:row>
    <x:row r="187" ht="15" hidden="0" customHeight="1">
      <x:c r="A187" s="18" t="str">
        <x:v>NOTE00186</x:v>
      </x:c>
      <x:c r="B187" s="18" t="str">
        <x:v>MTG0047</x:v>
      </x:c>
      <x:c r="C187" s="18" t="str">
        <x:v>Communication</x:v>
      </x:c>
      <x:c r="D187" s="21" t="str">
        <x:v>Communication with customers and internal partners meets expectations.</x:v>
      </x:c>
      <x:c r="E187" s="18" t="str">
        <x:v>MGR001</x:v>
      </x:c>
      <x:c r="F187" s="20" t="n">
        <x:v>46005.5</x:v>
      </x:c>
      <x:c r="G187" s="18" t="str">
        <x:v>Manager and employee</x:v>
      </x:c>
    </x:row>
    <x:row r="188" ht="15" hidden="0" customHeight="1">
      <x:c r="A188" s="18" t="str">
        <x:v>NOTE00187</x:v>
      </x:c>
      <x:c r="B188" s="18" t="str">
        <x:v>MTG0047</x:v>
      </x:c>
      <x:c r="C188" s="18" t="str">
        <x:v>Business knowledge</x:v>
      </x:c>
      <x:c r="D188" s="21" t="str">
        <x:v>The employee applies standard loan policy and product knowledge effectively.</x:v>
      </x:c>
      <x:c r="E188" s="18" t="str">
        <x:v>MGR001</x:v>
      </x:c>
      <x:c r="F188" s="20" t="n">
        <x:v>46005.5</x:v>
      </x:c>
      <x:c r="G188" s="18" t="str">
        <x:v>Manager and employee</x:v>
      </x:c>
    </x:row>
    <x:row r="189" ht="24" hidden="0" customHeight="1">
      <x:c r="A189" s="18" t="str">
        <x:v>NOTE00188</x:v>
      </x:c>
      <x:c r="B189" s="18" t="str">
        <x:v>MTG0047</x:v>
      </x:c>
      <x:c r="C189" s="18" t="str">
        <x:v>Career aspirations</x:v>
      </x:c>
      <x:c r="D189" s="21" t="str">
        <x:v>The employee plans to deepen lending expertise and take on a peer-support assignment.</x:v>
      </x:c>
      <x:c r="E189" s="18" t="str">
        <x:v>MGR001</x:v>
      </x:c>
      <x:c r="F189" s="20" t="n">
        <x:v>46006.5</x:v>
      </x:c>
      <x:c r="G189" s="18" t="str">
        <x:v>Restricted</x:v>
      </x:c>
    </x:row>
    <x:row r="190" ht="24" hidden="0" customHeight="1">
      <x:c r="A190" s="18" t="str">
        <x:v>NOTE00189</x:v>
      </x:c>
      <x:c r="B190" s="18" t="str">
        <x:v>MTG0048</x:v>
      </x:c>
      <x:c r="C190" s="18" t="str">
        <x:v>Strategy</x:v>
      </x:c>
      <x:c r="D190" s="21" t="str">
        <x:v>The employee exceeds the expected pipeline plan and adapts outreach based on market conditions.</x:v>
      </x:c>
      <x:c r="E190" s="18" t="str">
        <x:v>MGR001</x:v>
      </x:c>
      <x:c r="F190" s="20" t="n">
        <x:v>46006.5</x:v>
      </x:c>
      <x:c r="G190" s="18" t="str">
        <x:v>Manager and employee</x:v>
      </x:c>
    </x:row>
    <x:row r="191" ht="24" hidden="0" customHeight="1">
      <x:c r="A191" s="18" t="str">
        <x:v>NOTE00190</x:v>
      </x:c>
      <x:c r="B191" s="18" t="str">
        <x:v>MTG0048</x:v>
      </x:c>
      <x:c r="C191" s="18" t="str">
        <x:v>Communication</x:v>
      </x:c>
      <x:c r="D191" s="21" t="str">
        <x:v>Communication is proactive and helps resolve customer and processing issues quickly.</x:v>
      </x:c>
      <x:c r="E191" s="18" t="str">
        <x:v>MGR001</x:v>
      </x:c>
      <x:c r="F191" s="20" t="n">
        <x:v>46006.5</x:v>
      </x:c>
      <x:c r="G191" s="18" t="str">
        <x:v>Manager and employee</x:v>
      </x:c>
    </x:row>
    <x:row r="192" ht="24" hidden="0" customHeight="1">
      <x:c r="A192" s="18" t="str">
        <x:v>NOTE00191</x:v>
      </x:c>
      <x:c r="B192" s="18" t="str">
        <x:v>MTG0048</x:v>
      </x:c>
      <x:c r="C192" s="18" t="str">
        <x:v>Business knowledge</x:v>
      </x:c>
      <x:c r="D192" s="21" t="str">
        <x:v>Strong product and policy knowledge supports sound recommendations and peer coaching.</x:v>
      </x:c>
      <x:c r="E192" s="18" t="str">
        <x:v>MGR001</x:v>
      </x:c>
      <x:c r="F192" s="20" t="n">
        <x:v>46006.5</x:v>
      </x:c>
      <x:c r="G192" s="18" t="str">
        <x:v>Manager and employee</x:v>
      </x:c>
    </x:row>
    <x:row r="193" ht="24" hidden="0" customHeight="1">
      <x:c r="A193" s="18" t="str">
        <x:v>NOTE00192</x:v>
      </x:c>
      <x:c r="B193" s="18" t="str">
        <x:v>MTG0048</x:v>
      </x:c>
      <x:c r="C193" s="18" t="str">
        <x:v>Career aspirations</x:v>
      </x:c>
      <x:c r="D193" s="21" t="str">
        <x:v>The employee is preparing for leadership exposure through mentoring and project ownership.</x:v>
      </x:c>
      <x:c r="E193" s="18" t="str">
        <x:v>MGR001</x:v>
      </x:c>
      <x:c r="F193" s="20" t="n">
        <x:v>46007.5</x:v>
      </x:c>
      <x:c r="G193" s="18" t="str">
        <x:v>Restricted</x:v>
      </x:c>
    </x:row>
    <x:row r="194" ht="24" hidden="0" customHeight="1">
      <x:c r="A194" s="18" t="str">
        <x:v>NOTE00193</x:v>
      </x:c>
      <x:c r="B194" s="18" t="str">
        <x:v>MTG0049</x:v>
      </x:c>
      <x:c r="C194" s="18" t="str">
        <x:v>Strategy</x:v>
      </x:c>
      <x:c r="D194" s="21" t="str">
        <x:v>The employee has a workable plan but needs more consistent prospecting and pipeline conversion.</x:v>
      </x:c>
      <x:c r="E194" s="18" t="str">
        <x:v>MGR002</x:v>
      </x:c>
      <x:c r="F194" s="20" t="n">
        <x:v>46007.5</x:v>
      </x:c>
      <x:c r="G194" s="18" t="str">
        <x:v>Manager and employee</x:v>
      </x:c>
    </x:row>
    <x:row r="195" ht="24" hidden="0" customHeight="1">
      <x:c r="A195" s="18" t="str">
        <x:v>NOTE00194</x:v>
      </x:c>
      <x:c r="B195" s="18" t="str">
        <x:v>MTG0049</x:v>
      </x:c>
      <x:c r="C195" s="18" t="str">
        <x:v>Communication</x:v>
      </x:c>
      <x:c r="D195" s="21" t="str">
        <x:v>Routine communication is adequate; earlier escalation of stalled applications is needed.</x:v>
      </x:c>
      <x:c r="E195" s="18" t="str">
        <x:v>MGR002</x:v>
      </x:c>
      <x:c r="F195" s="20" t="n">
        <x:v>46007.5</x:v>
      </x:c>
      <x:c r="G195" s="18" t="str">
        <x:v>Manager and employee</x:v>
      </x:c>
    </x:row>
    <x:row r="196" ht="24" hidden="0" customHeight="1">
      <x:c r="A196" s="18" t="str">
        <x:v>NOTE00195</x:v>
      </x:c>
      <x:c r="B196" s="18" t="str">
        <x:v>MTG0049</x:v>
      </x:c>
      <x:c r="C196" s="18" t="str">
        <x:v>Business knowledge</x:v>
      </x:c>
      <x:c r="D196" s="21" t="str">
        <x:v>Core product knowledge is developing, with targeted coaching assigned for complex cases.</x:v>
      </x:c>
      <x:c r="E196" s="18" t="str">
        <x:v>MGR002</x:v>
      </x:c>
      <x:c r="F196" s="20" t="n">
        <x:v>46007.5</x:v>
      </x:c>
      <x:c r="G196" s="18" t="str">
        <x:v>Manager and employee</x:v>
      </x:c>
    </x:row>
    <x:row r="197" ht="24" hidden="0" customHeight="1">
      <x:c r="A197" s="18" t="str">
        <x:v>NOTE00196</x:v>
      </x:c>
      <x:c r="B197" s="18" t="str">
        <x:v>MTG0049</x:v>
      </x:c>
      <x:c r="C197" s="18" t="str">
        <x:v>Career aspirations</x:v>
      </x:c>
      <x:c r="D197" s="21" t="str">
        <x:v>The employee wants broader customer exposure while strengthening current-role consistency.</x:v>
      </x:c>
      <x:c r="E197" s="18" t="str">
        <x:v>MGR002</x:v>
      </x:c>
      <x:c r="F197" s="20" t="n">
        <x:v>46008.5</x:v>
      </x:c>
      <x:c r="G197" s="18" t="str">
        <x:v>Restricted</x:v>
      </x:c>
    </x:row>
    <x:row r="198" ht="24" hidden="0" customHeight="1">
      <x:c r="A198" s="18" t="str">
        <x:v>NOTE00197</x:v>
      </x:c>
      <x:c r="B198" s="18" t="str">
        <x:v>MTG0050</x:v>
      </x:c>
      <x:c r="C198" s="18" t="str">
        <x:v>Strategy</x:v>
      </x:c>
      <x:c r="D198" s="21" t="str">
        <x:v>The employee exceeds the expected pipeline plan and adapts outreach based on market conditions.</x:v>
      </x:c>
      <x:c r="E198" s="18" t="str">
        <x:v>MGR002</x:v>
      </x:c>
      <x:c r="F198" s="20" t="n">
        <x:v>46008.5</x:v>
      </x:c>
      <x:c r="G198" s="18" t="str">
        <x:v>Manager and employee</x:v>
      </x:c>
    </x:row>
    <x:row r="199" ht="24" hidden="0" customHeight="1">
      <x:c r="A199" s="18" t="str">
        <x:v>NOTE00198</x:v>
      </x:c>
      <x:c r="B199" s="18" t="str">
        <x:v>MTG0050</x:v>
      </x:c>
      <x:c r="C199" s="18" t="str">
        <x:v>Communication</x:v>
      </x:c>
      <x:c r="D199" s="21" t="str">
        <x:v>Communication is proactive and helps resolve customer and processing issues quickly.</x:v>
      </x:c>
      <x:c r="E199" s="18" t="str">
        <x:v>MGR002</x:v>
      </x:c>
      <x:c r="F199" s="20" t="n">
        <x:v>46008.5</x:v>
      </x:c>
      <x:c r="G199" s="18" t="str">
        <x:v>Manager and employee</x:v>
      </x:c>
    </x:row>
    <x:row r="200" ht="24" hidden="0" customHeight="1">
      <x:c r="A200" s="18" t="str">
        <x:v>NOTE00199</x:v>
      </x:c>
      <x:c r="B200" s="18" t="str">
        <x:v>MTG0050</x:v>
      </x:c>
      <x:c r="C200" s="18" t="str">
        <x:v>Business knowledge</x:v>
      </x:c>
      <x:c r="D200" s="21" t="str">
        <x:v>Strong product and policy knowledge supports sound recommendations and peer coaching.</x:v>
      </x:c>
      <x:c r="E200" s="18" t="str">
        <x:v>MGR002</x:v>
      </x:c>
      <x:c r="F200" s="20" t="n">
        <x:v>46008.5</x:v>
      </x:c>
      <x:c r="G200" s="18" t="str">
        <x:v>Manager and employee</x:v>
      </x:c>
    </x:row>
    <x:row r="201" ht="24" hidden="0" customHeight="1">
      <x:c r="A201" s="18" t="str">
        <x:v>NOTE00200</x:v>
      </x:c>
      <x:c r="B201" s="18" t="str">
        <x:v>MTG0050</x:v>
      </x:c>
      <x:c r="C201" s="18" t="str">
        <x:v>Career aspirations</x:v>
      </x:c>
      <x:c r="D201" s="21" t="str">
        <x:v>The employee is preparing for leadership exposure through mentoring and project ownership.</x:v>
      </x:c>
      <x:c r="E201" s="18" t="str">
        <x:v>MGR002</x:v>
      </x:c>
      <x:c r="F201" s="20" t="n">
        <x:v>46009.5</x:v>
      </x:c>
      <x:c r="G201" s="18" t="str">
        <x:v>Restricted</x:v>
      </x:c>
    </x:row>
    <x:row r="202" ht="24" hidden="0" customHeight="1">
      <x:c r="A202" s="18" t="str">
        <x:v>NOTE00201</x:v>
      </x:c>
      <x:c r="B202" s="18" t="str">
        <x:v>MTG0051</x:v>
      </x:c>
      <x:c r="C202" s="18" t="str">
        <x:v>Strategy</x:v>
      </x:c>
      <x:c r="D202" s="21" t="str">
        <x:v>The employee follows the branch plan and maintains a dependable quarterly pipeline.</x:v>
      </x:c>
      <x:c r="E202" s="18" t="str">
        <x:v>MGR002</x:v>
      </x:c>
      <x:c r="F202" s="20" t="n">
        <x:v>46009.5</x:v>
      </x:c>
      <x:c r="G202" s="18" t="str">
        <x:v>Manager and employee</x:v>
      </x:c>
    </x:row>
    <x:row r="203" ht="15" hidden="0" customHeight="1">
      <x:c r="A203" s="18" t="str">
        <x:v>NOTE00202</x:v>
      </x:c>
      <x:c r="B203" s="18" t="str">
        <x:v>MTG0051</x:v>
      </x:c>
      <x:c r="C203" s="18" t="str">
        <x:v>Communication</x:v>
      </x:c>
      <x:c r="D203" s="21" t="str">
        <x:v>Communication with customers and internal partners meets expectations.</x:v>
      </x:c>
      <x:c r="E203" s="18" t="str">
        <x:v>MGR002</x:v>
      </x:c>
      <x:c r="F203" s="20" t="n">
        <x:v>46009.5</x:v>
      </x:c>
      <x:c r="G203" s="18" t="str">
        <x:v>Manager and employee</x:v>
      </x:c>
    </x:row>
    <x:row r="204" ht="15" hidden="0" customHeight="1">
      <x:c r="A204" s="18" t="str">
        <x:v>NOTE00203</x:v>
      </x:c>
      <x:c r="B204" s="18" t="str">
        <x:v>MTG0051</x:v>
      </x:c>
      <x:c r="C204" s="18" t="str">
        <x:v>Business knowledge</x:v>
      </x:c>
      <x:c r="D204" s="21" t="str">
        <x:v>The employee applies standard loan policy and product knowledge effectively.</x:v>
      </x:c>
      <x:c r="E204" s="18" t="str">
        <x:v>MGR002</x:v>
      </x:c>
      <x:c r="F204" s="20" t="n">
        <x:v>46009.5</x:v>
      </x:c>
      <x:c r="G204" s="18" t="str">
        <x:v>Manager and employee</x:v>
      </x:c>
    </x:row>
    <x:row r="205" ht="24" hidden="0" customHeight="1">
      <x:c r="A205" s="18" t="str">
        <x:v>NOTE00204</x:v>
      </x:c>
      <x:c r="B205" s="18" t="str">
        <x:v>MTG0051</x:v>
      </x:c>
      <x:c r="C205" s="18" t="str">
        <x:v>Career aspirations</x:v>
      </x:c>
      <x:c r="D205" s="21" t="str">
        <x:v>The employee plans to deepen lending expertise and take on a peer-support assignment.</x:v>
      </x:c>
      <x:c r="E205" s="18" t="str">
        <x:v>MGR002</x:v>
      </x:c>
      <x:c r="F205" s="20" t="n">
        <x:v>46010.5</x:v>
      </x:c>
      <x:c r="G205" s="18" t="str">
        <x:v>Restricted</x:v>
      </x:c>
    </x:row>
    <x:row r="206" ht="24" hidden="0" customHeight="1">
      <x:c r="A206" s="18" t="str">
        <x:v>NOTE00205</x:v>
      </x:c>
      <x:c r="B206" s="18" t="str">
        <x:v>MTG0052</x:v>
      </x:c>
      <x:c r="C206" s="18" t="str">
        <x:v>Strategy</x:v>
      </x:c>
      <x:c r="D206" s="21" t="str">
        <x:v>The employee has a workable plan but needs more consistent prospecting and pipeline conversion.</x:v>
      </x:c>
      <x:c r="E206" s="18" t="str">
        <x:v>MGR003</x:v>
      </x:c>
      <x:c r="F206" s="20" t="n">
        <x:v>46010.5</x:v>
      </x:c>
      <x:c r="G206" s="18" t="str">
        <x:v>Manager and employee</x:v>
      </x:c>
    </x:row>
    <x:row r="207" ht="24" hidden="0" customHeight="1">
      <x:c r="A207" s="18" t="str">
        <x:v>NOTE00206</x:v>
      </x:c>
      <x:c r="B207" s="18" t="str">
        <x:v>MTG0052</x:v>
      </x:c>
      <x:c r="C207" s="18" t="str">
        <x:v>Communication</x:v>
      </x:c>
      <x:c r="D207" s="21" t="str">
        <x:v>Routine communication is adequate; earlier escalation of stalled applications is needed.</x:v>
      </x:c>
      <x:c r="E207" s="18" t="str">
        <x:v>MGR003</x:v>
      </x:c>
      <x:c r="F207" s="20" t="n">
        <x:v>46010.5</x:v>
      </x:c>
      <x:c r="G207" s="18" t="str">
        <x:v>Manager and employee</x:v>
      </x:c>
    </x:row>
    <x:row r="208" ht="24" hidden="0" customHeight="1">
      <x:c r="A208" s="18" t="str">
        <x:v>NOTE00207</x:v>
      </x:c>
      <x:c r="B208" s="18" t="str">
        <x:v>MTG0052</x:v>
      </x:c>
      <x:c r="C208" s="18" t="str">
        <x:v>Business knowledge</x:v>
      </x:c>
      <x:c r="D208" s="21" t="str">
        <x:v>Core product knowledge is developing, with targeted coaching assigned for complex cases.</x:v>
      </x:c>
      <x:c r="E208" s="18" t="str">
        <x:v>MGR003</x:v>
      </x:c>
      <x:c r="F208" s="20" t="n">
        <x:v>46010.5</x:v>
      </x:c>
      <x:c r="G208" s="18" t="str">
        <x:v>Manager and employee</x:v>
      </x:c>
    </x:row>
    <x:row r="209" ht="24" hidden="0" customHeight="1">
      <x:c r="A209" s="18" t="str">
        <x:v>NOTE00208</x:v>
      </x:c>
      <x:c r="B209" s="18" t="str">
        <x:v>MTG0052</x:v>
      </x:c>
      <x:c r="C209" s="18" t="str">
        <x:v>Career aspirations</x:v>
      </x:c>
      <x:c r="D209" s="21" t="str">
        <x:v>The employee wants broader customer exposure while strengthening current-role consistency.</x:v>
      </x:c>
      <x:c r="E209" s="18" t="str">
        <x:v>MGR003</x:v>
      </x:c>
      <x:c r="F209" s="20" t="n">
        <x:v>46011.5</x:v>
      </x:c>
      <x:c r="G209" s="18" t="str">
        <x:v>Restricted</x:v>
      </x:c>
    </x:row>
    <x:row r="210" ht="24" hidden="0" customHeight="1">
      <x:c r="A210" s="18" t="str">
        <x:v>NOTE00209</x:v>
      </x:c>
      <x:c r="B210" s="18" t="str">
        <x:v>MTG0053</x:v>
      </x:c>
      <x:c r="C210" s="18" t="str">
        <x:v>Strategy</x:v>
      </x:c>
      <x:c r="D210" s="21" t="str">
        <x:v>The employee needs a documented weekly pipeline plan and closer follow-through on agreed actions.</x:v>
      </x:c>
      <x:c r="E210" s="18" t="str">
        <x:v>MGR003</x:v>
      </x:c>
      <x:c r="F210" s="20" t="n">
        <x:v>46011.5</x:v>
      </x:c>
      <x:c r="G210" s="18" t="str">
        <x:v>Manager and employee</x:v>
      </x:c>
    </x:row>
    <x:row r="211" ht="24" hidden="0" customHeight="1">
      <x:c r="A211" s="18" t="str">
        <x:v>NOTE00210</x:v>
      </x:c>
      <x:c r="B211" s="18" t="str">
        <x:v>MTG0053</x:v>
      </x:c>
      <x:c r="C211" s="18" t="str">
        <x:v>Communication</x:v>
      </x:c>
      <x:c r="D211" s="21" t="str">
        <x:v>Customer and manager updates were inconsistent; the next quarter includes scheduled coaching and checkpoints.</x:v>
      </x:c>
      <x:c r="E211" s="18" t="str">
        <x:v>MGR003</x:v>
      </x:c>
      <x:c r="F211" s="20" t="n">
        <x:v>46011.5</x:v>
      </x:c>
      <x:c r="G211" s="18" t="str">
        <x:v>Manager and employee</x:v>
      </x:c>
    </x:row>
    <x:row r="212" ht="24" hidden="0" customHeight="1">
      <x:c r="A212" s="18" t="str">
        <x:v>NOTE00211</x:v>
      </x:c>
      <x:c r="B212" s="18" t="str">
        <x:v>MTG0053</x:v>
      </x:c>
      <x:c r="C212" s="18" t="str">
        <x:v>Business knowledge</x:v>
      </x:c>
      <x:c r="D212" s="21" t="str">
        <x:v>Additional training is required on lending policy, product fit, and documentation quality.</x:v>
      </x:c>
      <x:c r="E212" s="18" t="str">
        <x:v>MGR003</x:v>
      </x:c>
      <x:c r="F212" s="20" t="n">
        <x:v>46011.5</x:v>
      </x:c>
      <x:c r="G212" s="18" t="str">
        <x:v>Manager and employee</x:v>
      </x:c>
    </x:row>
    <x:row r="213" ht="24" hidden="0" customHeight="1">
      <x:c r="A213" s="18" t="str">
        <x:v>NOTE00212</x:v>
      </x:c>
      <x:c r="B213" s="18" t="str">
        <x:v>MTG0053</x:v>
      </x:c>
      <x:c r="C213" s="18" t="str">
        <x:v>Career aspirations</x:v>
      </x:c>
      <x:c r="D213" s="21" t="str">
        <x:v>The immediate priority is consistent role performance before pursuing broader responsibilities.</x:v>
      </x:c>
      <x:c r="E213" s="18" t="str">
        <x:v>MGR003</x:v>
      </x:c>
      <x:c r="F213" s="20" t="n">
        <x:v>46012.5</x:v>
      </x:c>
      <x:c r="G213" s="18" t="str">
        <x:v>Restricted</x:v>
      </x:c>
    </x:row>
    <x:row r="214" ht="24" hidden="0" customHeight="1">
      <x:c r="A214" s="18" t="str">
        <x:v>NOTE00213</x:v>
      </x:c>
      <x:c r="B214" s="18" t="str">
        <x:v>MTG0054</x:v>
      </x:c>
      <x:c r="C214" s="18" t="str">
        <x:v>Strategy</x:v>
      </x:c>
      <x:c r="D214" s="21" t="str">
        <x:v>The employee consistently outperforms plan and shares repeatable pipeline practices across the branch.</x:v>
      </x:c>
      <x:c r="E214" s="18" t="str">
        <x:v>MGR004</x:v>
      </x:c>
      <x:c r="F214" s="20" t="n">
        <x:v>46012.5</x:v>
      </x:c>
      <x:c r="G214" s="18" t="str">
        <x:v>Manager and employee</x:v>
      </x:c>
    </x:row>
    <x:row r="215" ht="15" hidden="0" customHeight="1">
      <x:c r="A215" s="18" t="str">
        <x:v>NOTE00214</x:v>
      </x:c>
      <x:c r="B215" s="18" t="str">
        <x:v>MTG0054</x:v>
      </x:c>
      <x:c r="C215" s="18" t="str">
        <x:v>Communication</x:v>
      </x:c>
      <x:c r="D215" s="21" t="str">
        <x:v>Communication is highly effective with customers, peers, and senior leaders.</x:v>
      </x:c>
      <x:c r="E215" s="18" t="str">
        <x:v>MGR004</x:v>
      </x:c>
      <x:c r="F215" s="20" t="n">
        <x:v>46012.5</x:v>
      </x:c>
      <x:c r="G215" s="18" t="str">
        <x:v>Manager and employee</x:v>
      </x:c>
    </x:row>
    <x:row r="216" ht="24" hidden="0" customHeight="1">
      <x:c r="A216" s="18" t="str">
        <x:v>NOTE00215</x:v>
      </x:c>
      <x:c r="B216" s="18" t="str">
        <x:v>MTG0054</x:v>
      </x:c>
      <x:c r="C216" s="18" t="str">
        <x:v>Business knowledge</x:v>
      </x:c>
      <x:c r="D216" s="21" t="str">
        <x:v>The employee demonstrates advanced lending knowledge and serves as a trusted branch resource.</x:v>
      </x:c>
      <x:c r="E216" s="18" t="str">
        <x:v>MGR004</x:v>
      </x:c>
      <x:c r="F216" s="20" t="n">
        <x:v>46012.5</x:v>
      </x:c>
      <x:c r="G216" s="18" t="str">
        <x:v>Manager and employee</x:v>
      </x:c>
    </x:row>
    <x:row r="217" ht="24" hidden="0" customHeight="1">
      <x:c r="A217" s="18" t="str">
        <x:v>NOTE00216</x:v>
      </x:c>
      <x:c r="B217" s="18" t="str">
        <x:v>MTG0054</x:v>
      </x:c>
      <x:c r="C217" s="18" t="str">
        <x:v>Career aspirations</x:v>
      </x:c>
      <x:c r="D217" s="21" t="str">
        <x:v>The employee is ready for stretch leadership assignments and promotion consideration.</x:v>
      </x:c>
      <x:c r="E217" s="18" t="str">
        <x:v>MGR004</x:v>
      </x:c>
      <x:c r="F217" s="20" t="n">
        <x:v>46013.5</x:v>
      </x:c>
      <x:c r="G217" s="18" t="str">
        <x:v>Restricted</x:v>
      </x:c>
    </x:row>
    <x:row r="218" ht="24" hidden="0" customHeight="1">
      <x:c r="A218" s="18" t="str">
        <x:v>NOTE00217</x:v>
      </x:c>
      <x:c r="B218" s="18" t="str">
        <x:v>MTG0055</x:v>
      </x:c>
      <x:c r="C218" s="18" t="str">
        <x:v>Strategy</x:v>
      </x:c>
      <x:c r="D218" s="21" t="str">
        <x:v>The employee exceeds the expected pipeline plan and adapts outreach based on market conditions.</x:v>
      </x:c>
      <x:c r="E218" s="18" t="str">
        <x:v>MGR004</x:v>
      </x:c>
      <x:c r="F218" s="20" t="n">
        <x:v>46013.5</x:v>
      </x:c>
      <x:c r="G218" s="18" t="str">
        <x:v>Manager and employee</x:v>
      </x:c>
    </x:row>
    <x:row r="219" ht="24" hidden="0" customHeight="1">
      <x:c r="A219" s="18" t="str">
        <x:v>NOTE00218</x:v>
      </x:c>
      <x:c r="B219" s="18" t="str">
        <x:v>MTG0055</x:v>
      </x:c>
      <x:c r="C219" s="18" t="str">
        <x:v>Communication</x:v>
      </x:c>
      <x:c r="D219" s="21" t="str">
        <x:v>Communication is proactive and helps resolve customer and processing issues quickly.</x:v>
      </x:c>
      <x:c r="E219" s="18" t="str">
        <x:v>MGR004</x:v>
      </x:c>
      <x:c r="F219" s="20" t="n">
        <x:v>46013.5</x:v>
      </x:c>
      <x:c r="G219" s="18" t="str">
        <x:v>Manager and employee</x:v>
      </x:c>
    </x:row>
    <x:row r="220" ht="24" hidden="0" customHeight="1">
      <x:c r="A220" s="18" t="str">
        <x:v>NOTE00219</x:v>
      </x:c>
      <x:c r="B220" s="18" t="str">
        <x:v>MTG0055</x:v>
      </x:c>
      <x:c r="C220" s="18" t="str">
        <x:v>Business knowledge</x:v>
      </x:c>
      <x:c r="D220" s="21" t="str">
        <x:v>Strong product and policy knowledge supports sound recommendations and peer coaching.</x:v>
      </x:c>
      <x:c r="E220" s="18" t="str">
        <x:v>MGR004</x:v>
      </x:c>
      <x:c r="F220" s="20" t="n">
        <x:v>46013.5</x:v>
      </x:c>
      <x:c r="G220" s="18" t="str">
        <x:v>Manager and employee</x:v>
      </x:c>
    </x:row>
    <x:row r="221" ht="24" hidden="0" customHeight="1">
      <x:c r="A221" s="18" t="str">
        <x:v>NOTE00220</x:v>
      </x:c>
      <x:c r="B221" s="18" t="str">
        <x:v>MTG0055</x:v>
      </x:c>
      <x:c r="C221" s="18" t="str">
        <x:v>Career aspirations</x:v>
      </x:c>
      <x:c r="D221" s="21" t="str">
        <x:v>The employee is preparing for leadership exposure through mentoring and project ownership.</x:v>
      </x:c>
      <x:c r="E221" s="18" t="str">
        <x:v>MGR004</x:v>
      </x:c>
      <x:c r="F221" s="20" t="n">
        <x:v>46014.5</x:v>
      </x:c>
      <x:c r="G221" s="18" t="str">
        <x:v>Restricted</x:v>
      </x:c>
    </x:row>
    <x:row r="222" ht="24" hidden="0" customHeight="1">
      <x:c r="A222" s="18" t="str">
        <x:v>NOTE00221</x:v>
      </x:c>
      <x:c r="B222" s="18" t="str">
        <x:v>MTG0056</x:v>
      </x:c>
      <x:c r="C222" s="18" t="str">
        <x:v>Strategy</x:v>
      </x:c>
      <x:c r="D222" s="21" t="str">
        <x:v>The employee follows the branch plan and maintains a dependable quarterly pipeline.</x:v>
      </x:c>
      <x:c r="E222" s="18" t="str">
        <x:v>MGR004</x:v>
      </x:c>
      <x:c r="F222" s="20" t="n">
        <x:v>46014.5</x:v>
      </x:c>
      <x:c r="G222" s="18" t="str">
        <x:v>Manager and employee</x:v>
      </x:c>
    </x:row>
    <x:row r="223" ht="15" hidden="0" customHeight="1">
      <x:c r="A223" s="18" t="str">
        <x:v>NOTE00222</x:v>
      </x:c>
      <x:c r="B223" s="18" t="str">
        <x:v>MTG0056</x:v>
      </x:c>
      <x:c r="C223" s="18" t="str">
        <x:v>Communication</x:v>
      </x:c>
      <x:c r="D223" s="21" t="str">
        <x:v>Communication with customers and internal partners meets expectations.</x:v>
      </x:c>
      <x:c r="E223" s="18" t="str">
        <x:v>MGR004</x:v>
      </x:c>
      <x:c r="F223" s="20" t="n">
        <x:v>46014.5</x:v>
      </x:c>
      <x:c r="G223" s="18" t="str">
        <x:v>Manager and employee</x:v>
      </x:c>
    </x:row>
    <x:row r="224" ht="15" hidden="0" customHeight="1">
      <x:c r="A224" s="18" t="str">
        <x:v>NOTE00223</x:v>
      </x:c>
      <x:c r="B224" s="18" t="str">
        <x:v>MTG0056</x:v>
      </x:c>
      <x:c r="C224" s="18" t="str">
        <x:v>Business knowledge</x:v>
      </x:c>
      <x:c r="D224" s="21" t="str">
        <x:v>The employee applies standard loan policy and product knowledge effectively.</x:v>
      </x:c>
      <x:c r="E224" s="18" t="str">
        <x:v>MGR004</x:v>
      </x:c>
      <x:c r="F224" s="20" t="n">
        <x:v>46014.5</x:v>
      </x:c>
      <x:c r="G224" s="18" t="str">
        <x:v>Manager and employee</x:v>
      </x:c>
    </x:row>
    <x:row r="225" ht="24" hidden="0" customHeight="1">
      <x:c r="A225" s="18" t="str">
        <x:v>NOTE00224</x:v>
      </x:c>
      <x:c r="B225" s="18" t="str">
        <x:v>MTG0056</x:v>
      </x:c>
      <x:c r="C225" s="18" t="str">
        <x:v>Career aspirations</x:v>
      </x:c>
      <x:c r="D225" s="21" t="str">
        <x:v>The employee plans to deepen lending expertise and take on a peer-support assignment.</x:v>
      </x:c>
      <x:c r="E225" s="18" t="str">
        <x:v>MGR004</x:v>
      </x:c>
      <x:c r="F225" s="20" t="n">
        <x:v>46015.5</x:v>
      </x:c>
      <x:c r="G225" s="18" t="str">
        <x:v>Restricted</x:v>
      </x:c>
    </x:row>
    <x:row r="226" ht="24" hidden="0" customHeight="1">
      <x:c r="A226" s="18" t="str">
        <x:v>NOTE00225</x:v>
      </x:c>
      <x:c r="B226" s="18" t="str">
        <x:v>MTG0057</x:v>
      </x:c>
      <x:c r="C226" s="18" t="str">
        <x:v>Strategy</x:v>
      </x:c>
      <x:c r="D226" s="21" t="str">
        <x:v>The employee has a workable plan but needs more consistent prospecting and pipeline conversion.</x:v>
      </x:c>
      <x:c r="E226" s="18" t="str">
        <x:v>MGR005</x:v>
      </x:c>
      <x:c r="F226" s="20" t="n">
        <x:v>46015.5</x:v>
      </x:c>
      <x:c r="G226" s="18" t="str">
        <x:v>Manager and employee</x:v>
      </x:c>
    </x:row>
    <x:row r="227" ht="24" hidden="0" customHeight="1">
      <x:c r="A227" s="18" t="str">
        <x:v>NOTE00226</x:v>
      </x:c>
      <x:c r="B227" s="18" t="str">
        <x:v>MTG0057</x:v>
      </x:c>
      <x:c r="C227" s="18" t="str">
        <x:v>Communication</x:v>
      </x:c>
      <x:c r="D227" s="21" t="str">
        <x:v>Routine communication is adequate; earlier escalation of stalled applications is needed.</x:v>
      </x:c>
      <x:c r="E227" s="18" t="str">
        <x:v>MGR005</x:v>
      </x:c>
      <x:c r="F227" s="20" t="n">
        <x:v>46015.5</x:v>
      </x:c>
      <x:c r="G227" s="18" t="str">
        <x:v>Manager and employee</x:v>
      </x:c>
    </x:row>
    <x:row r="228" ht="24" hidden="0" customHeight="1">
      <x:c r="A228" s="18" t="str">
        <x:v>NOTE00227</x:v>
      </x:c>
      <x:c r="B228" s="18" t="str">
        <x:v>MTG0057</x:v>
      </x:c>
      <x:c r="C228" s="18" t="str">
        <x:v>Business knowledge</x:v>
      </x:c>
      <x:c r="D228" s="21" t="str">
        <x:v>Core product knowledge is developing, with targeted coaching assigned for complex cases.</x:v>
      </x:c>
      <x:c r="E228" s="18" t="str">
        <x:v>MGR005</x:v>
      </x:c>
      <x:c r="F228" s="20" t="n">
        <x:v>46015.5</x:v>
      </x:c>
      <x:c r="G228" s="18" t="str">
        <x:v>Manager and employee</x:v>
      </x:c>
    </x:row>
    <x:row r="229" ht="24" hidden="0" customHeight="1">
      <x:c r="A229" s="18" t="str">
        <x:v>NOTE00228</x:v>
      </x:c>
      <x:c r="B229" s="18" t="str">
        <x:v>MTG0057</x:v>
      </x:c>
      <x:c r="C229" s="18" t="str">
        <x:v>Career aspirations</x:v>
      </x:c>
      <x:c r="D229" s="21" t="str">
        <x:v>The employee wants broader customer exposure while strengthening current-role consistency.</x:v>
      </x:c>
      <x:c r="E229" s="18" t="str">
        <x:v>MGR005</x:v>
      </x:c>
      <x:c r="F229" s="20" t="n">
        <x:v>46016.5</x:v>
      </x:c>
      <x:c r="G229" s="18" t="str">
        <x:v>Restricted</x:v>
      </x:c>
    </x:row>
    <x:row r="230" ht="24" hidden="0" customHeight="1">
      <x:c r="A230" s="18" t="str">
        <x:v>NOTE00229</x:v>
      </x:c>
      <x:c r="B230" s="18" t="str">
        <x:v>MTG0058</x:v>
      </x:c>
      <x:c r="C230" s="18" t="str">
        <x:v>Strategy</x:v>
      </x:c>
      <x:c r="D230" s="21" t="str">
        <x:v>The employee exceeds the expected pipeline plan and adapts outreach based on market conditions.</x:v>
      </x:c>
      <x:c r="E230" s="18" t="str">
        <x:v>MGR005</x:v>
      </x:c>
      <x:c r="F230" s="20" t="n">
        <x:v>46004.5</x:v>
      </x:c>
      <x:c r="G230" s="18" t="str">
        <x:v>Manager and employee</x:v>
      </x:c>
    </x:row>
    <x:row r="231" ht="24" hidden="0" customHeight="1">
      <x:c r="A231" s="18" t="str">
        <x:v>NOTE00230</x:v>
      </x:c>
      <x:c r="B231" s="18" t="str">
        <x:v>MTG0058</x:v>
      </x:c>
      <x:c r="C231" s="18" t="str">
        <x:v>Communication</x:v>
      </x:c>
      <x:c r="D231" s="21" t="str">
        <x:v>Communication is proactive and helps resolve customer and processing issues quickly.</x:v>
      </x:c>
      <x:c r="E231" s="18" t="str">
        <x:v>MGR005</x:v>
      </x:c>
      <x:c r="F231" s="20" t="n">
        <x:v>46004.5</x:v>
      </x:c>
      <x:c r="G231" s="18" t="str">
        <x:v>Manager and employee</x:v>
      </x:c>
    </x:row>
    <x:row r="232" ht="24" hidden="0" customHeight="1">
      <x:c r="A232" s="18" t="str">
        <x:v>NOTE00231</x:v>
      </x:c>
      <x:c r="B232" s="18" t="str">
        <x:v>MTG0058</x:v>
      </x:c>
      <x:c r="C232" s="18" t="str">
        <x:v>Business knowledge</x:v>
      </x:c>
      <x:c r="D232" s="21" t="str">
        <x:v>Strong product and policy knowledge supports sound recommendations and peer coaching.</x:v>
      </x:c>
      <x:c r="E232" s="18" t="str">
        <x:v>MGR005</x:v>
      </x:c>
      <x:c r="F232" s="20" t="n">
        <x:v>46004.5</x:v>
      </x:c>
      <x:c r="G232" s="18" t="str">
        <x:v>Manager and employee</x:v>
      </x:c>
    </x:row>
    <x:row r="233" ht="24" hidden="0" customHeight="1">
      <x:c r="A233" s="18" t="str">
        <x:v>NOTE00232</x:v>
      </x:c>
      <x:c r="B233" s="18" t="str">
        <x:v>MTG0058</x:v>
      </x:c>
      <x:c r="C233" s="18" t="str">
        <x:v>Career aspirations</x:v>
      </x:c>
      <x:c r="D233" s="21" t="str">
        <x:v>The employee is preparing for leadership exposure through mentoring and project ownership.</x:v>
      </x:c>
      <x:c r="E233" s="18" t="str">
        <x:v>MGR005</x:v>
      </x:c>
      <x:c r="F233" s="20" t="n">
        <x:v>46005.5</x:v>
      </x:c>
      <x:c r="G233" s="18" t="str">
        <x:v>Restricted</x:v>
      </x:c>
    </x:row>
    <x:row r="234" ht="24" hidden="0" customHeight="1">
      <x:c r="A234" s="18" t="str">
        <x:v>NOTE00233</x:v>
      </x:c>
      <x:c r="B234" s="18" t="str">
        <x:v>MTG0059</x:v>
      </x:c>
      <x:c r="C234" s="18" t="str">
        <x:v>Strategy</x:v>
      </x:c>
      <x:c r="D234" s="21" t="str">
        <x:v>The employee follows the branch plan and maintains a dependable quarterly pipeline.</x:v>
      </x:c>
      <x:c r="E234" s="18" t="str">
        <x:v>MGR006</x:v>
      </x:c>
      <x:c r="F234" s="20" t="n">
        <x:v>46005.5</x:v>
      </x:c>
      <x:c r="G234" s="18" t="str">
        <x:v>Manager and employee</x:v>
      </x:c>
    </x:row>
    <x:row r="235" ht="15" hidden="0" customHeight="1">
      <x:c r="A235" s="18" t="str">
        <x:v>NOTE00234</x:v>
      </x:c>
      <x:c r="B235" s="18" t="str">
        <x:v>MTG0059</x:v>
      </x:c>
      <x:c r="C235" s="18" t="str">
        <x:v>Communication</x:v>
      </x:c>
      <x:c r="D235" s="21" t="str">
        <x:v>Communication with customers and internal partners meets expectations.</x:v>
      </x:c>
      <x:c r="E235" s="18" t="str">
        <x:v>MGR006</x:v>
      </x:c>
      <x:c r="F235" s="20" t="n">
        <x:v>46005.5</x:v>
      </x:c>
      <x:c r="G235" s="18" t="str">
        <x:v>Manager and employee</x:v>
      </x:c>
    </x:row>
    <x:row r="236" ht="15" hidden="0" customHeight="1">
      <x:c r="A236" s="18" t="str">
        <x:v>NOTE00235</x:v>
      </x:c>
      <x:c r="B236" s="18" t="str">
        <x:v>MTG0059</x:v>
      </x:c>
      <x:c r="C236" s="18" t="str">
        <x:v>Business knowledge</x:v>
      </x:c>
      <x:c r="D236" s="21" t="str">
        <x:v>The employee applies standard loan policy and product knowledge effectively.</x:v>
      </x:c>
      <x:c r="E236" s="18" t="str">
        <x:v>MGR006</x:v>
      </x:c>
      <x:c r="F236" s="20" t="n">
        <x:v>46005.5</x:v>
      </x:c>
      <x:c r="G236" s="18" t="str">
        <x:v>Manager and employee</x:v>
      </x:c>
    </x:row>
    <x:row r="237" ht="24" hidden="0" customHeight="1">
      <x:c r="A237" s="18" t="str">
        <x:v>NOTE00236</x:v>
      </x:c>
      <x:c r="B237" s="18" t="str">
        <x:v>MTG0059</x:v>
      </x:c>
      <x:c r="C237" s="18" t="str">
        <x:v>Career aspirations</x:v>
      </x:c>
      <x:c r="D237" s="21" t="str">
        <x:v>The employee plans to deepen lending expertise and take on a peer-support assignment.</x:v>
      </x:c>
      <x:c r="E237" s="18" t="str">
        <x:v>MGR006</x:v>
      </x:c>
      <x:c r="F237" s="20" t="n">
        <x:v>46006.5</x:v>
      </x:c>
      <x:c r="G237" s="18" t="str">
        <x:v>Restricted</x:v>
      </x:c>
    </x:row>
    <x:row r="238" ht="24" hidden="0" customHeight="1">
      <x:c r="A238" s="18" t="str">
        <x:v>NOTE00237</x:v>
      </x:c>
      <x:c r="B238" s="18" t="str">
        <x:v>MTG0060</x:v>
      </x:c>
      <x:c r="C238" s="18" t="str">
        <x:v>Strategy</x:v>
      </x:c>
      <x:c r="D238" s="21" t="str">
        <x:v>The employee needs a documented weekly pipeline plan and closer follow-through on agreed actions.</x:v>
      </x:c>
      <x:c r="E238" s="18" t="str">
        <x:v>MGR006</x:v>
      </x:c>
      <x:c r="F238" s="20" t="n">
        <x:v>46006.5</x:v>
      </x:c>
      <x:c r="G238" s="18" t="str">
        <x:v>Manager and employee</x:v>
      </x:c>
    </x:row>
    <x:row r="239" ht="24" hidden="0" customHeight="1">
      <x:c r="A239" s="18" t="str">
        <x:v>NOTE00238</x:v>
      </x:c>
      <x:c r="B239" s="18" t="str">
        <x:v>MTG0060</x:v>
      </x:c>
      <x:c r="C239" s="18" t="str">
        <x:v>Communication</x:v>
      </x:c>
      <x:c r="D239" s="21" t="str">
        <x:v>Customer and manager updates were inconsistent; the next quarter includes scheduled coaching and checkpoints.</x:v>
      </x:c>
      <x:c r="E239" s="18" t="str">
        <x:v>MGR006</x:v>
      </x:c>
      <x:c r="F239" s="20" t="n">
        <x:v>46006.5</x:v>
      </x:c>
      <x:c r="G239" s="18" t="str">
        <x:v>Manager and employee</x:v>
      </x:c>
    </x:row>
    <x:row r="240" ht="24" hidden="0" customHeight="1">
      <x:c r="A240" s="18" t="str">
        <x:v>NOTE00239</x:v>
      </x:c>
      <x:c r="B240" s="18" t="str">
        <x:v>MTG0060</x:v>
      </x:c>
      <x:c r="C240" s="18" t="str">
        <x:v>Business knowledge</x:v>
      </x:c>
      <x:c r="D240" s="21" t="str">
        <x:v>Additional training is required on lending policy, product fit, and documentation quality.</x:v>
      </x:c>
      <x:c r="E240" s="18" t="str">
        <x:v>MGR006</x:v>
      </x:c>
      <x:c r="F240" s="20" t="n">
        <x:v>46006.5</x:v>
      </x:c>
      <x:c r="G240" s="18" t="str">
        <x:v>Manager and employee</x:v>
      </x:c>
    </x:row>
    <x:row r="241" ht="24" hidden="0" customHeight="1">
      <x:c r="A241" s="18" t="str">
        <x:v>NOTE00240</x:v>
      </x:c>
      <x:c r="B241" s="18" t="str">
        <x:v>MTG0060</x:v>
      </x:c>
      <x:c r="C241" s="18" t="str">
        <x:v>Career aspirations</x:v>
      </x:c>
      <x:c r="D241" s="21" t="str">
        <x:v>The immediate priority is consistent role performance before pursuing broader responsibilities.</x:v>
      </x:c>
      <x:c r="E241" s="18" t="str">
        <x:v>MGR006</x:v>
      </x:c>
      <x:c r="F241" s="20" t="n">
        <x:v>46007.5</x:v>
      </x:c>
      <x:c r="G241" s="18" t="str">
        <x:v>Restricted</x:v>
      </x:c>
    </x:row>
    <x:row r="242" ht="24" hidden="0" customHeight="1">
      <x:c r="A242" s="18" t="str">
        <x:v>NOTE00241</x:v>
      </x:c>
      <x:c r="B242" s="18" t="str">
        <x:v>MTG0061</x:v>
      </x:c>
      <x:c r="C242" s="18" t="str">
        <x:v>Strategy</x:v>
      </x:c>
      <x:c r="D242" s="21" t="str">
        <x:v>The employee consistently outperforms plan and shares repeatable pipeline practices across the branch.</x:v>
      </x:c>
      <x:c r="E242" s="18" t="str">
        <x:v>MGR001</x:v>
      </x:c>
      <x:c r="F242" s="20" t="n">
        <x:v>46094.5</x:v>
      </x:c>
      <x:c r="G242" s="18" t="str">
        <x:v>Manager and employee</x:v>
      </x:c>
    </x:row>
    <x:row r="243" ht="15" hidden="0" customHeight="1">
      <x:c r="A243" s="18" t="str">
        <x:v>NOTE00242</x:v>
      </x:c>
      <x:c r="B243" s="18" t="str">
        <x:v>MTG0061</x:v>
      </x:c>
      <x:c r="C243" s="18" t="str">
        <x:v>Communication</x:v>
      </x:c>
      <x:c r="D243" s="21" t="str">
        <x:v>Communication is highly effective with customers, peers, and senior leaders.</x:v>
      </x:c>
      <x:c r="E243" s="18" t="str">
        <x:v>MGR001</x:v>
      </x:c>
      <x:c r="F243" s="20" t="n">
        <x:v>46094.5</x:v>
      </x:c>
      <x:c r="G243" s="18" t="str">
        <x:v>Manager and employee</x:v>
      </x:c>
    </x:row>
    <x:row r="244" ht="24" hidden="0" customHeight="1">
      <x:c r="A244" s="18" t="str">
        <x:v>NOTE00243</x:v>
      </x:c>
      <x:c r="B244" s="18" t="str">
        <x:v>MTG0061</x:v>
      </x:c>
      <x:c r="C244" s="18" t="str">
        <x:v>Business knowledge</x:v>
      </x:c>
      <x:c r="D244" s="21" t="str">
        <x:v>The employee demonstrates advanced lending knowledge and serves as a trusted branch resource.</x:v>
      </x:c>
      <x:c r="E244" s="18" t="str">
        <x:v>MGR001</x:v>
      </x:c>
      <x:c r="F244" s="20" t="n">
        <x:v>46094.5</x:v>
      </x:c>
      <x:c r="G244" s="18" t="str">
        <x:v>Manager and employee</x:v>
      </x:c>
    </x:row>
    <x:row r="245" ht="24" hidden="0" customHeight="1">
      <x:c r="A245" s="18" t="str">
        <x:v>NOTE00244</x:v>
      </x:c>
      <x:c r="B245" s="18" t="str">
        <x:v>MTG0061</x:v>
      </x:c>
      <x:c r="C245" s="18" t="str">
        <x:v>Career aspirations</x:v>
      </x:c>
      <x:c r="D245" s="21" t="str">
        <x:v>The employee is ready for stretch leadership assignments and promotion consideration.</x:v>
      </x:c>
      <x:c r="E245" s="18" t="str">
        <x:v>MGR001</x:v>
      </x:c>
      <x:c r="F245" s="20" t="n">
        <x:v>46095.5</x:v>
      </x:c>
      <x:c r="G245" s="18" t="str">
        <x:v>Restricted</x:v>
      </x:c>
    </x:row>
    <x:row r="246" ht="24" hidden="0" customHeight="1">
      <x:c r="A246" s="18" t="str">
        <x:v>NOTE00245</x:v>
      </x:c>
      <x:c r="B246" s="18" t="str">
        <x:v>MTG0062</x:v>
      </x:c>
      <x:c r="C246" s="18" t="str">
        <x:v>Strategy</x:v>
      </x:c>
      <x:c r="D246" s="21" t="str">
        <x:v>The employee exceeds the expected pipeline plan and adapts outreach based on market conditions.</x:v>
      </x:c>
      <x:c r="E246" s="18" t="str">
        <x:v>MGR001</x:v>
      </x:c>
      <x:c r="F246" s="20" t="n">
        <x:v>46095.5</x:v>
      </x:c>
      <x:c r="G246" s="18" t="str">
        <x:v>Manager and employee</x:v>
      </x:c>
    </x:row>
    <x:row r="247" ht="24" hidden="0" customHeight="1">
      <x:c r="A247" s="18" t="str">
        <x:v>NOTE00246</x:v>
      </x:c>
      <x:c r="B247" s="18" t="str">
        <x:v>MTG0062</x:v>
      </x:c>
      <x:c r="C247" s="18" t="str">
        <x:v>Communication</x:v>
      </x:c>
      <x:c r="D247" s="21" t="str">
        <x:v>Communication is proactive and helps resolve customer and processing issues quickly.</x:v>
      </x:c>
      <x:c r="E247" s="18" t="str">
        <x:v>MGR001</x:v>
      </x:c>
      <x:c r="F247" s="20" t="n">
        <x:v>46095.5</x:v>
      </x:c>
      <x:c r="G247" s="18" t="str">
        <x:v>Manager and employee</x:v>
      </x:c>
    </x:row>
    <x:row r="248" ht="24" hidden="0" customHeight="1">
      <x:c r="A248" s="18" t="str">
        <x:v>NOTE00247</x:v>
      </x:c>
      <x:c r="B248" s="18" t="str">
        <x:v>MTG0062</x:v>
      </x:c>
      <x:c r="C248" s="18" t="str">
        <x:v>Business knowledge</x:v>
      </x:c>
      <x:c r="D248" s="21" t="str">
        <x:v>Strong product and policy knowledge supports sound recommendations and peer coaching.</x:v>
      </x:c>
      <x:c r="E248" s="18" t="str">
        <x:v>MGR001</x:v>
      </x:c>
      <x:c r="F248" s="20" t="n">
        <x:v>46095.5</x:v>
      </x:c>
      <x:c r="G248" s="18" t="str">
        <x:v>Manager and employee</x:v>
      </x:c>
    </x:row>
    <x:row r="249" ht="24" hidden="0" customHeight="1">
      <x:c r="A249" s="18" t="str">
        <x:v>NOTE00248</x:v>
      </x:c>
      <x:c r="B249" s="18" t="str">
        <x:v>MTG0062</x:v>
      </x:c>
      <x:c r="C249" s="18" t="str">
        <x:v>Career aspirations</x:v>
      </x:c>
      <x:c r="D249" s="21" t="str">
        <x:v>The employee is preparing for leadership exposure through mentoring and project ownership.</x:v>
      </x:c>
      <x:c r="E249" s="18" t="str">
        <x:v>MGR001</x:v>
      </x:c>
      <x:c r="F249" s="20" t="n">
        <x:v>46096.5</x:v>
      </x:c>
      <x:c r="G249" s="18" t="str">
        <x:v>Restricted</x:v>
      </x:c>
    </x:row>
    <x:row r="250" ht="24" hidden="0" customHeight="1">
      <x:c r="A250" s="18" t="str">
        <x:v>NOTE00249</x:v>
      </x:c>
      <x:c r="B250" s="18" t="str">
        <x:v>MTG0063</x:v>
      </x:c>
      <x:c r="C250" s="18" t="str">
        <x:v>Strategy</x:v>
      </x:c>
      <x:c r="D250" s="21" t="str">
        <x:v>The employee follows the branch plan and maintains a dependable quarterly pipeline.</x:v>
      </x:c>
      <x:c r="E250" s="18" t="str">
        <x:v>MGR001</x:v>
      </x:c>
      <x:c r="F250" s="20" t="n">
        <x:v>46096.5</x:v>
      </x:c>
      <x:c r="G250" s="18" t="str">
        <x:v>Manager and employee</x:v>
      </x:c>
    </x:row>
    <x:row r="251" ht="15" hidden="0" customHeight="1">
      <x:c r="A251" s="18" t="str">
        <x:v>NOTE00250</x:v>
      </x:c>
      <x:c r="B251" s="18" t="str">
        <x:v>MTG0063</x:v>
      </x:c>
      <x:c r="C251" s="18" t="str">
        <x:v>Communication</x:v>
      </x:c>
      <x:c r="D251" s="21" t="str">
        <x:v>Communication with customers and internal partners meets expectations.</x:v>
      </x:c>
      <x:c r="E251" s="18" t="str">
        <x:v>MGR001</x:v>
      </x:c>
      <x:c r="F251" s="20" t="n">
        <x:v>46096.5</x:v>
      </x:c>
      <x:c r="G251" s="18" t="str">
        <x:v>Manager and employee</x:v>
      </x:c>
    </x:row>
    <x:row r="252" ht="15" hidden="0" customHeight="1">
      <x:c r="A252" s="18" t="str">
        <x:v>NOTE00251</x:v>
      </x:c>
      <x:c r="B252" s="18" t="str">
        <x:v>MTG0063</x:v>
      </x:c>
      <x:c r="C252" s="18" t="str">
        <x:v>Business knowledge</x:v>
      </x:c>
      <x:c r="D252" s="21" t="str">
        <x:v>The employee applies standard loan policy and product knowledge effectively.</x:v>
      </x:c>
      <x:c r="E252" s="18" t="str">
        <x:v>MGR001</x:v>
      </x:c>
      <x:c r="F252" s="20" t="n">
        <x:v>46096.5</x:v>
      </x:c>
      <x:c r="G252" s="18" t="str">
        <x:v>Manager and employee</x:v>
      </x:c>
    </x:row>
    <x:row r="253" ht="24" hidden="0" customHeight="1">
      <x:c r="A253" s="18" t="str">
        <x:v>NOTE00252</x:v>
      </x:c>
      <x:c r="B253" s="18" t="str">
        <x:v>MTG0063</x:v>
      </x:c>
      <x:c r="C253" s="18" t="str">
        <x:v>Career aspirations</x:v>
      </x:c>
      <x:c r="D253" s="21" t="str">
        <x:v>The employee plans to deepen lending expertise and take on a peer-support assignment.</x:v>
      </x:c>
      <x:c r="E253" s="18" t="str">
        <x:v>MGR001</x:v>
      </x:c>
      <x:c r="F253" s="20" t="n">
        <x:v>46097.5</x:v>
      </x:c>
      <x:c r="G253" s="18" t="str">
        <x:v>Restricted</x:v>
      </x:c>
    </x:row>
    <x:row r="254" ht="24" hidden="0" customHeight="1">
      <x:c r="A254" s="18" t="str">
        <x:v>NOTE00253</x:v>
      </x:c>
      <x:c r="B254" s="18" t="str">
        <x:v>MTG0064</x:v>
      </x:c>
      <x:c r="C254" s="18" t="str">
        <x:v>Strategy</x:v>
      </x:c>
      <x:c r="D254" s="21" t="str">
        <x:v>The employee has a workable plan but needs more consistent prospecting and pipeline conversion.</x:v>
      </x:c>
      <x:c r="E254" s="18" t="str">
        <x:v>MGR002</x:v>
      </x:c>
      <x:c r="F254" s="20" t="n">
        <x:v>46097.5</x:v>
      </x:c>
      <x:c r="G254" s="18" t="str">
        <x:v>Manager and employee</x:v>
      </x:c>
    </x:row>
    <x:row r="255" ht="24" hidden="0" customHeight="1">
      <x:c r="A255" s="18" t="str">
        <x:v>NOTE00254</x:v>
      </x:c>
      <x:c r="B255" s="18" t="str">
        <x:v>MTG0064</x:v>
      </x:c>
      <x:c r="C255" s="18" t="str">
        <x:v>Communication</x:v>
      </x:c>
      <x:c r="D255" s="21" t="str">
        <x:v>Routine communication is adequate; earlier escalation of stalled applications is needed.</x:v>
      </x:c>
      <x:c r="E255" s="18" t="str">
        <x:v>MGR002</x:v>
      </x:c>
      <x:c r="F255" s="20" t="n">
        <x:v>46097.5</x:v>
      </x:c>
      <x:c r="G255" s="18" t="str">
        <x:v>Manager and employee</x:v>
      </x:c>
    </x:row>
    <x:row r="256" ht="24" hidden="0" customHeight="1">
      <x:c r="A256" s="18" t="str">
        <x:v>NOTE00255</x:v>
      </x:c>
      <x:c r="B256" s="18" t="str">
        <x:v>MTG0064</x:v>
      </x:c>
      <x:c r="C256" s="18" t="str">
        <x:v>Business knowledge</x:v>
      </x:c>
      <x:c r="D256" s="21" t="str">
        <x:v>Core product knowledge is developing, with targeted coaching assigned for complex cases.</x:v>
      </x:c>
      <x:c r="E256" s="18" t="str">
        <x:v>MGR002</x:v>
      </x:c>
      <x:c r="F256" s="20" t="n">
        <x:v>46097.5</x:v>
      </x:c>
      <x:c r="G256" s="18" t="str">
        <x:v>Manager and employee</x:v>
      </x:c>
    </x:row>
    <x:row r="257" ht="24" hidden="0" customHeight="1">
      <x:c r="A257" s="18" t="str">
        <x:v>NOTE00256</x:v>
      </x:c>
      <x:c r="B257" s="18" t="str">
        <x:v>MTG0064</x:v>
      </x:c>
      <x:c r="C257" s="18" t="str">
        <x:v>Career aspirations</x:v>
      </x:c>
      <x:c r="D257" s="21" t="str">
        <x:v>The employee wants broader customer exposure while strengthening current-role consistency.</x:v>
      </x:c>
      <x:c r="E257" s="18" t="str">
        <x:v>MGR002</x:v>
      </x:c>
      <x:c r="F257" s="20" t="n">
        <x:v>46098.5</x:v>
      </x:c>
      <x:c r="G257" s="18" t="str">
        <x:v>Restricted</x:v>
      </x:c>
    </x:row>
    <x:row r="258" ht="24" hidden="0" customHeight="1">
      <x:c r="A258" s="18" t="str">
        <x:v>NOTE00257</x:v>
      </x:c>
      <x:c r="B258" s="18" t="str">
        <x:v>MTG0065</x:v>
      </x:c>
      <x:c r="C258" s="18" t="str">
        <x:v>Strategy</x:v>
      </x:c>
      <x:c r="D258" s="21" t="str">
        <x:v>The employee follows the branch plan and maintains a dependable quarterly pipeline.</x:v>
      </x:c>
      <x:c r="E258" s="18" t="str">
        <x:v>MGR002</x:v>
      </x:c>
      <x:c r="F258" s="20" t="n">
        <x:v>46098.5</x:v>
      </x:c>
      <x:c r="G258" s="18" t="str">
        <x:v>Manager and employee</x:v>
      </x:c>
    </x:row>
    <x:row r="259" ht="15" hidden="0" customHeight="1">
      <x:c r="A259" s="18" t="str">
        <x:v>NOTE00258</x:v>
      </x:c>
      <x:c r="B259" s="18" t="str">
        <x:v>MTG0065</x:v>
      </x:c>
      <x:c r="C259" s="18" t="str">
        <x:v>Communication</x:v>
      </x:c>
      <x:c r="D259" s="21" t="str">
        <x:v>Communication with customers and internal partners meets expectations.</x:v>
      </x:c>
      <x:c r="E259" s="18" t="str">
        <x:v>MGR002</x:v>
      </x:c>
      <x:c r="F259" s="20" t="n">
        <x:v>46098.5</x:v>
      </x:c>
      <x:c r="G259" s="18" t="str">
        <x:v>Manager and employee</x:v>
      </x:c>
    </x:row>
    <x:row r="260" ht="15" hidden="0" customHeight="1">
      <x:c r="A260" s="18" t="str">
        <x:v>NOTE00259</x:v>
      </x:c>
      <x:c r="B260" s="18" t="str">
        <x:v>MTG0065</x:v>
      </x:c>
      <x:c r="C260" s="18" t="str">
        <x:v>Business knowledge</x:v>
      </x:c>
      <x:c r="D260" s="21" t="str">
        <x:v>The employee applies standard loan policy and product knowledge effectively.</x:v>
      </x:c>
      <x:c r="E260" s="18" t="str">
        <x:v>MGR002</x:v>
      </x:c>
      <x:c r="F260" s="20" t="n">
        <x:v>46098.5</x:v>
      </x:c>
      <x:c r="G260" s="18" t="str">
        <x:v>Manager and employee</x:v>
      </x:c>
    </x:row>
    <x:row r="261" ht="24" hidden="0" customHeight="1">
      <x:c r="A261" s="18" t="str">
        <x:v>NOTE00260</x:v>
      </x:c>
      <x:c r="B261" s="18" t="str">
        <x:v>MTG0065</x:v>
      </x:c>
      <x:c r="C261" s="18" t="str">
        <x:v>Career aspirations</x:v>
      </x:c>
      <x:c r="D261" s="21" t="str">
        <x:v>The employee plans to deepen lending expertise and take on a peer-support assignment.</x:v>
      </x:c>
      <x:c r="E261" s="18" t="str">
        <x:v>MGR002</x:v>
      </x:c>
      <x:c r="F261" s="20" t="n">
        <x:v>46099.5</x:v>
      </x:c>
      <x:c r="G261" s="18" t="str">
        <x:v>Restricted</x:v>
      </x:c>
    </x:row>
    <x:row r="262" ht="24" hidden="0" customHeight="1">
      <x:c r="A262" s="18" t="str">
        <x:v>NOTE00261</x:v>
      </x:c>
      <x:c r="B262" s="18" t="str">
        <x:v>MTG0066</x:v>
      </x:c>
      <x:c r="C262" s="18" t="str">
        <x:v>Strategy</x:v>
      </x:c>
      <x:c r="D262" s="21" t="str">
        <x:v>The employee follows the branch plan and maintains a dependable quarterly pipeline.</x:v>
      </x:c>
      <x:c r="E262" s="18" t="str">
        <x:v>MGR002</x:v>
      </x:c>
      <x:c r="F262" s="20" t="n">
        <x:v>46099.5</x:v>
      </x:c>
      <x:c r="G262" s="18" t="str">
        <x:v>Manager and employee</x:v>
      </x:c>
    </x:row>
    <x:row r="263" ht="15" hidden="0" customHeight="1">
      <x:c r="A263" s="18" t="str">
        <x:v>NOTE00262</x:v>
      </x:c>
      <x:c r="B263" s="18" t="str">
        <x:v>MTG0066</x:v>
      </x:c>
      <x:c r="C263" s="18" t="str">
        <x:v>Communication</x:v>
      </x:c>
      <x:c r="D263" s="21" t="str">
        <x:v>Communication with customers and internal partners meets expectations.</x:v>
      </x:c>
      <x:c r="E263" s="18" t="str">
        <x:v>MGR002</x:v>
      </x:c>
      <x:c r="F263" s="20" t="n">
        <x:v>46099.5</x:v>
      </x:c>
      <x:c r="G263" s="18" t="str">
        <x:v>Manager and employee</x:v>
      </x:c>
    </x:row>
    <x:row r="264" ht="15" hidden="0" customHeight="1">
      <x:c r="A264" s="18" t="str">
        <x:v>NOTE00263</x:v>
      </x:c>
      <x:c r="B264" s="18" t="str">
        <x:v>MTG0066</x:v>
      </x:c>
      <x:c r="C264" s="18" t="str">
        <x:v>Business knowledge</x:v>
      </x:c>
      <x:c r="D264" s="21" t="str">
        <x:v>The employee applies standard loan policy and product knowledge effectively.</x:v>
      </x:c>
      <x:c r="E264" s="18" t="str">
        <x:v>MGR002</x:v>
      </x:c>
      <x:c r="F264" s="20" t="n">
        <x:v>46099.5</x:v>
      </x:c>
      <x:c r="G264" s="18" t="str">
        <x:v>Manager and employee</x:v>
      </x:c>
    </x:row>
    <x:row r="265" ht="24" hidden="0" customHeight="1">
      <x:c r="A265" s="18" t="str">
        <x:v>NOTE00264</x:v>
      </x:c>
      <x:c r="B265" s="18" t="str">
        <x:v>MTG0066</x:v>
      </x:c>
      <x:c r="C265" s="18" t="str">
        <x:v>Career aspirations</x:v>
      </x:c>
      <x:c r="D265" s="21" t="str">
        <x:v>The employee plans to deepen lending expertise and take on a peer-support assignment.</x:v>
      </x:c>
      <x:c r="E265" s="18" t="str">
        <x:v>MGR002</x:v>
      </x:c>
      <x:c r="F265" s="20" t="n">
        <x:v>46100.5</x:v>
      </x:c>
      <x:c r="G265" s="18" t="str">
        <x:v>Restricted</x:v>
      </x:c>
    </x:row>
    <x:row r="266" ht="24" hidden="0" customHeight="1">
      <x:c r="A266" s="18" t="str">
        <x:v>NOTE00265</x:v>
      </x:c>
      <x:c r="B266" s="18" t="str">
        <x:v>MTG0067</x:v>
      </x:c>
      <x:c r="C266" s="18" t="str">
        <x:v>Strategy</x:v>
      </x:c>
      <x:c r="D266" s="21" t="str">
        <x:v>The employee has a workable plan but needs more consistent prospecting and pipeline conversion.</x:v>
      </x:c>
      <x:c r="E266" s="18" t="str">
        <x:v>MGR003</x:v>
      </x:c>
      <x:c r="F266" s="20" t="n">
        <x:v>46100.5</x:v>
      </x:c>
      <x:c r="G266" s="18" t="str">
        <x:v>Manager and employee</x:v>
      </x:c>
    </x:row>
    <x:row r="267" ht="24" hidden="0" customHeight="1">
      <x:c r="A267" s="18" t="str">
        <x:v>NOTE00266</x:v>
      </x:c>
      <x:c r="B267" s="18" t="str">
        <x:v>MTG0067</x:v>
      </x:c>
      <x:c r="C267" s="18" t="str">
        <x:v>Communication</x:v>
      </x:c>
      <x:c r="D267" s="21" t="str">
        <x:v>Routine communication is adequate; earlier escalation of stalled applications is needed.</x:v>
      </x:c>
      <x:c r="E267" s="18" t="str">
        <x:v>MGR003</x:v>
      </x:c>
      <x:c r="F267" s="20" t="n">
        <x:v>46100.5</x:v>
      </x:c>
      <x:c r="G267" s="18" t="str">
        <x:v>Manager and employee</x:v>
      </x:c>
    </x:row>
    <x:row r="268" ht="24" hidden="0" customHeight="1">
      <x:c r="A268" s="18" t="str">
        <x:v>NOTE00267</x:v>
      </x:c>
      <x:c r="B268" s="18" t="str">
        <x:v>MTG0067</x:v>
      </x:c>
      <x:c r="C268" s="18" t="str">
        <x:v>Business knowledge</x:v>
      </x:c>
      <x:c r="D268" s="21" t="str">
        <x:v>Core product knowledge is developing, with targeted coaching assigned for complex cases.</x:v>
      </x:c>
      <x:c r="E268" s="18" t="str">
        <x:v>MGR003</x:v>
      </x:c>
      <x:c r="F268" s="20" t="n">
        <x:v>46100.5</x:v>
      </x:c>
      <x:c r="G268" s="18" t="str">
        <x:v>Manager and employee</x:v>
      </x:c>
    </x:row>
    <x:row r="269" ht="24" hidden="0" customHeight="1">
      <x:c r="A269" s="18" t="str">
        <x:v>NOTE00268</x:v>
      </x:c>
      <x:c r="B269" s="18" t="str">
        <x:v>MTG0067</x:v>
      </x:c>
      <x:c r="C269" s="18" t="str">
        <x:v>Career aspirations</x:v>
      </x:c>
      <x:c r="D269" s="21" t="str">
        <x:v>The employee wants broader customer exposure while strengthening current-role consistency.</x:v>
      </x:c>
      <x:c r="E269" s="18" t="str">
        <x:v>MGR003</x:v>
      </x:c>
      <x:c r="F269" s="20" t="n">
        <x:v>46101.5</x:v>
      </x:c>
      <x:c r="G269" s="18" t="str">
        <x:v>Restricted</x:v>
      </x:c>
    </x:row>
    <x:row r="270" ht="24" hidden="0" customHeight="1">
      <x:c r="A270" s="18" t="str">
        <x:v>NOTE00269</x:v>
      </x:c>
      <x:c r="B270" s="18" t="str">
        <x:v>MTG0068</x:v>
      </x:c>
      <x:c r="C270" s="18" t="str">
        <x:v>Strategy</x:v>
      </x:c>
      <x:c r="D270" s="21" t="str">
        <x:v>The employee needs a documented weekly pipeline plan and closer follow-through on agreed actions.</x:v>
      </x:c>
      <x:c r="E270" s="18" t="str">
        <x:v>MGR003</x:v>
      </x:c>
      <x:c r="F270" s="20" t="n">
        <x:v>46101.5</x:v>
      </x:c>
      <x:c r="G270" s="18" t="str">
        <x:v>Manager and employee</x:v>
      </x:c>
    </x:row>
    <x:row r="271" ht="24" hidden="0" customHeight="1">
      <x:c r="A271" s="18" t="str">
        <x:v>NOTE00270</x:v>
      </x:c>
      <x:c r="B271" s="18" t="str">
        <x:v>MTG0068</x:v>
      </x:c>
      <x:c r="C271" s="18" t="str">
        <x:v>Communication</x:v>
      </x:c>
      <x:c r="D271" s="21" t="str">
        <x:v>Customer and manager updates were inconsistent; the next quarter includes scheduled coaching and checkpoints.</x:v>
      </x:c>
      <x:c r="E271" s="18" t="str">
        <x:v>MGR003</x:v>
      </x:c>
      <x:c r="F271" s="20" t="n">
        <x:v>46101.5</x:v>
      </x:c>
      <x:c r="G271" s="18" t="str">
        <x:v>Manager and employee</x:v>
      </x:c>
    </x:row>
    <x:row r="272" ht="24" hidden="0" customHeight="1">
      <x:c r="A272" s="18" t="str">
        <x:v>NOTE00271</x:v>
      </x:c>
      <x:c r="B272" s="18" t="str">
        <x:v>MTG0068</x:v>
      </x:c>
      <x:c r="C272" s="18" t="str">
        <x:v>Business knowledge</x:v>
      </x:c>
      <x:c r="D272" s="21" t="str">
        <x:v>Additional training is required on lending policy, product fit, and documentation quality.</x:v>
      </x:c>
      <x:c r="E272" s="18" t="str">
        <x:v>MGR003</x:v>
      </x:c>
      <x:c r="F272" s="20" t="n">
        <x:v>46101.5</x:v>
      </x:c>
      <x:c r="G272" s="18" t="str">
        <x:v>Manager and employee</x:v>
      </x:c>
    </x:row>
    <x:row r="273" ht="24" hidden="0" customHeight="1">
      <x:c r="A273" s="18" t="str">
        <x:v>NOTE00272</x:v>
      </x:c>
      <x:c r="B273" s="18" t="str">
        <x:v>MTG0068</x:v>
      </x:c>
      <x:c r="C273" s="18" t="str">
        <x:v>Career aspirations</x:v>
      </x:c>
      <x:c r="D273" s="21" t="str">
        <x:v>The immediate priority is consistent role performance before pursuing broader responsibilities.</x:v>
      </x:c>
      <x:c r="E273" s="18" t="str">
        <x:v>MGR003</x:v>
      </x:c>
      <x:c r="F273" s="20" t="n">
        <x:v>46102.5</x:v>
      </x:c>
      <x:c r="G273" s="18" t="str">
        <x:v>Restricted</x:v>
      </x:c>
    </x:row>
    <x:row r="274" ht="24" hidden="0" customHeight="1">
      <x:c r="A274" s="18" t="str">
        <x:v>NOTE00273</x:v>
      </x:c>
      <x:c r="B274" s="18" t="str">
        <x:v>MTG0069</x:v>
      </x:c>
      <x:c r="C274" s="18" t="str">
        <x:v>Strategy</x:v>
      </x:c>
      <x:c r="D274" s="21" t="str">
        <x:v>The employee consistently outperforms plan and shares repeatable pipeline practices across the branch.</x:v>
      </x:c>
      <x:c r="E274" s="18" t="str">
        <x:v>MGR004</x:v>
      </x:c>
      <x:c r="F274" s="20" t="n">
        <x:v>46102.5</x:v>
      </x:c>
      <x:c r="G274" s="18" t="str">
        <x:v>Manager and employee</x:v>
      </x:c>
    </x:row>
    <x:row r="275" ht="15" hidden="0" customHeight="1">
      <x:c r="A275" s="18" t="str">
        <x:v>NOTE00274</x:v>
      </x:c>
      <x:c r="B275" s="18" t="str">
        <x:v>MTG0069</x:v>
      </x:c>
      <x:c r="C275" s="18" t="str">
        <x:v>Communication</x:v>
      </x:c>
      <x:c r="D275" s="21" t="str">
        <x:v>Communication is highly effective with customers, peers, and senior leaders.</x:v>
      </x:c>
      <x:c r="E275" s="18" t="str">
        <x:v>MGR004</x:v>
      </x:c>
      <x:c r="F275" s="20" t="n">
        <x:v>46102.5</x:v>
      </x:c>
      <x:c r="G275" s="18" t="str">
        <x:v>Manager and employee</x:v>
      </x:c>
    </x:row>
    <x:row r="276" ht="24" hidden="0" customHeight="1">
      <x:c r="A276" s="18" t="str">
        <x:v>NOTE00275</x:v>
      </x:c>
      <x:c r="B276" s="18" t="str">
        <x:v>MTG0069</x:v>
      </x:c>
      <x:c r="C276" s="18" t="str">
        <x:v>Business knowledge</x:v>
      </x:c>
      <x:c r="D276" s="21" t="str">
        <x:v>The employee demonstrates advanced lending knowledge and serves as a trusted branch resource.</x:v>
      </x:c>
      <x:c r="E276" s="18" t="str">
        <x:v>MGR004</x:v>
      </x:c>
      <x:c r="F276" s="20" t="n">
        <x:v>46102.5</x:v>
      </x:c>
      <x:c r="G276" s="18" t="str">
        <x:v>Manager and employee</x:v>
      </x:c>
    </x:row>
    <x:row r="277" ht="24" hidden="0" customHeight="1">
      <x:c r="A277" s="18" t="str">
        <x:v>NOTE00276</x:v>
      </x:c>
      <x:c r="B277" s="18" t="str">
        <x:v>MTG0069</x:v>
      </x:c>
      <x:c r="C277" s="18" t="str">
        <x:v>Career aspirations</x:v>
      </x:c>
      <x:c r="D277" s="21" t="str">
        <x:v>The employee is ready for stretch leadership assignments and promotion consideration.</x:v>
      </x:c>
      <x:c r="E277" s="18" t="str">
        <x:v>MGR004</x:v>
      </x:c>
      <x:c r="F277" s="20" t="n">
        <x:v>46103.5</x:v>
      </x:c>
      <x:c r="G277" s="18" t="str">
        <x:v>Restricted</x:v>
      </x:c>
    </x:row>
    <x:row r="278" ht="24" hidden="0" customHeight="1">
      <x:c r="A278" s="18" t="str">
        <x:v>NOTE00277</x:v>
      </x:c>
      <x:c r="B278" s="18" t="str">
        <x:v>MTG0070</x:v>
      </x:c>
      <x:c r="C278" s="18" t="str">
        <x:v>Strategy</x:v>
      </x:c>
      <x:c r="D278" s="21" t="str">
        <x:v>The employee exceeds the expected pipeline plan and adapts outreach based on market conditions.</x:v>
      </x:c>
      <x:c r="E278" s="18" t="str">
        <x:v>MGR004</x:v>
      </x:c>
      <x:c r="F278" s="20" t="n">
        <x:v>46103.5</x:v>
      </x:c>
      <x:c r="G278" s="18" t="str">
        <x:v>Manager and employee</x:v>
      </x:c>
    </x:row>
    <x:row r="279" ht="24" hidden="0" customHeight="1">
      <x:c r="A279" s="18" t="str">
        <x:v>NOTE00278</x:v>
      </x:c>
      <x:c r="B279" s="18" t="str">
        <x:v>MTG0070</x:v>
      </x:c>
      <x:c r="C279" s="18" t="str">
        <x:v>Communication</x:v>
      </x:c>
      <x:c r="D279" s="21" t="str">
        <x:v>Communication is proactive and helps resolve customer and processing issues quickly.</x:v>
      </x:c>
      <x:c r="E279" s="18" t="str">
        <x:v>MGR004</x:v>
      </x:c>
      <x:c r="F279" s="20" t="n">
        <x:v>46103.5</x:v>
      </x:c>
      <x:c r="G279" s="18" t="str">
        <x:v>Manager and employee</x:v>
      </x:c>
    </x:row>
    <x:row r="280" ht="24" hidden="0" customHeight="1">
      <x:c r="A280" s="18" t="str">
        <x:v>NOTE00279</x:v>
      </x:c>
      <x:c r="B280" s="18" t="str">
        <x:v>MTG0070</x:v>
      </x:c>
      <x:c r="C280" s="18" t="str">
        <x:v>Business knowledge</x:v>
      </x:c>
      <x:c r="D280" s="21" t="str">
        <x:v>Strong product and policy knowledge supports sound recommendations and peer coaching.</x:v>
      </x:c>
      <x:c r="E280" s="18" t="str">
        <x:v>MGR004</x:v>
      </x:c>
      <x:c r="F280" s="20" t="n">
        <x:v>46103.5</x:v>
      </x:c>
      <x:c r="G280" s="18" t="str">
        <x:v>Manager and employee</x:v>
      </x:c>
    </x:row>
    <x:row r="281" ht="24" hidden="0" customHeight="1">
      <x:c r="A281" s="18" t="str">
        <x:v>NOTE00280</x:v>
      </x:c>
      <x:c r="B281" s="18" t="str">
        <x:v>MTG0070</x:v>
      </x:c>
      <x:c r="C281" s="18" t="str">
        <x:v>Career aspirations</x:v>
      </x:c>
      <x:c r="D281" s="21" t="str">
        <x:v>The employee is preparing for leadership exposure through mentoring and project ownership.</x:v>
      </x:c>
      <x:c r="E281" s="18" t="str">
        <x:v>MGR004</x:v>
      </x:c>
      <x:c r="F281" s="20" t="n">
        <x:v>46104.5</x:v>
      </x:c>
      <x:c r="G281" s="18" t="str">
        <x:v>Restricted</x:v>
      </x:c>
    </x:row>
    <x:row r="282" ht="24" hidden="0" customHeight="1">
      <x:c r="A282" s="18" t="str">
        <x:v>NOTE00281</x:v>
      </x:c>
      <x:c r="B282" s="18" t="str">
        <x:v>MTG0071</x:v>
      </x:c>
      <x:c r="C282" s="18" t="str">
        <x:v>Strategy</x:v>
      </x:c>
      <x:c r="D282" s="21" t="str">
        <x:v>The employee follows the branch plan and maintains a dependable quarterly pipeline.</x:v>
      </x:c>
      <x:c r="E282" s="18" t="str">
        <x:v>MGR004</x:v>
      </x:c>
      <x:c r="F282" s="20" t="n">
        <x:v>46104.5</x:v>
      </x:c>
      <x:c r="G282" s="18" t="str">
        <x:v>Manager and employee</x:v>
      </x:c>
    </x:row>
    <x:row r="283" ht="15" hidden="0" customHeight="1">
      <x:c r="A283" s="18" t="str">
        <x:v>NOTE00282</x:v>
      </x:c>
      <x:c r="B283" s="18" t="str">
        <x:v>MTG0071</x:v>
      </x:c>
      <x:c r="C283" s="18" t="str">
        <x:v>Communication</x:v>
      </x:c>
      <x:c r="D283" s="21" t="str">
        <x:v>Communication with customers and internal partners meets expectations.</x:v>
      </x:c>
      <x:c r="E283" s="18" t="str">
        <x:v>MGR004</x:v>
      </x:c>
      <x:c r="F283" s="20" t="n">
        <x:v>46104.5</x:v>
      </x:c>
      <x:c r="G283" s="18" t="str">
        <x:v>Manager and employee</x:v>
      </x:c>
    </x:row>
    <x:row r="284" ht="15" hidden="0" customHeight="1">
      <x:c r="A284" s="18" t="str">
        <x:v>NOTE00283</x:v>
      </x:c>
      <x:c r="B284" s="18" t="str">
        <x:v>MTG0071</x:v>
      </x:c>
      <x:c r="C284" s="18" t="str">
        <x:v>Business knowledge</x:v>
      </x:c>
      <x:c r="D284" s="21" t="str">
        <x:v>The employee applies standard loan policy and product knowledge effectively.</x:v>
      </x:c>
      <x:c r="E284" s="18" t="str">
        <x:v>MGR004</x:v>
      </x:c>
      <x:c r="F284" s="20" t="n">
        <x:v>46104.5</x:v>
      </x:c>
      <x:c r="G284" s="18" t="str">
        <x:v>Manager and employee</x:v>
      </x:c>
    </x:row>
    <x:row r="285" ht="24" hidden="0" customHeight="1">
      <x:c r="A285" s="18" t="str">
        <x:v>NOTE00284</x:v>
      </x:c>
      <x:c r="B285" s="18" t="str">
        <x:v>MTG0071</x:v>
      </x:c>
      <x:c r="C285" s="18" t="str">
        <x:v>Career aspirations</x:v>
      </x:c>
      <x:c r="D285" s="21" t="str">
        <x:v>The employee plans to deepen lending expertise and take on a peer-support assignment.</x:v>
      </x:c>
      <x:c r="E285" s="18" t="str">
        <x:v>MGR004</x:v>
      </x:c>
      <x:c r="F285" s="20" t="n">
        <x:v>46105.5</x:v>
      </x:c>
      <x:c r="G285" s="18" t="str">
        <x:v>Restricted</x:v>
      </x:c>
    </x:row>
    <x:row r="286" ht="24" hidden="0" customHeight="1">
      <x:c r="A286" s="18" t="str">
        <x:v>NOTE00285</x:v>
      </x:c>
      <x:c r="B286" s="18" t="str">
        <x:v>MTG0072</x:v>
      </x:c>
      <x:c r="C286" s="18" t="str">
        <x:v>Strategy</x:v>
      </x:c>
      <x:c r="D286" s="21" t="str">
        <x:v>The employee has a workable plan but needs more consistent prospecting and pipeline conversion.</x:v>
      </x:c>
      <x:c r="E286" s="18" t="str">
        <x:v>MGR005</x:v>
      </x:c>
      <x:c r="F286" s="20" t="n">
        <x:v>46105.5</x:v>
      </x:c>
      <x:c r="G286" s="18" t="str">
        <x:v>Manager and employee</x:v>
      </x:c>
    </x:row>
    <x:row r="287" ht="24" hidden="0" customHeight="1">
      <x:c r="A287" s="18" t="str">
        <x:v>NOTE00286</x:v>
      </x:c>
      <x:c r="B287" s="18" t="str">
        <x:v>MTG0072</x:v>
      </x:c>
      <x:c r="C287" s="18" t="str">
        <x:v>Communication</x:v>
      </x:c>
      <x:c r="D287" s="21" t="str">
        <x:v>Routine communication is adequate; earlier escalation of stalled applications is needed.</x:v>
      </x:c>
      <x:c r="E287" s="18" t="str">
        <x:v>MGR005</x:v>
      </x:c>
      <x:c r="F287" s="20" t="n">
        <x:v>46105.5</x:v>
      </x:c>
      <x:c r="G287" s="18" t="str">
        <x:v>Manager and employee</x:v>
      </x:c>
    </x:row>
    <x:row r="288" ht="24" hidden="0" customHeight="1">
      <x:c r="A288" s="18" t="str">
        <x:v>NOTE00287</x:v>
      </x:c>
      <x:c r="B288" s="18" t="str">
        <x:v>MTG0072</x:v>
      </x:c>
      <x:c r="C288" s="18" t="str">
        <x:v>Business knowledge</x:v>
      </x:c>
      <x:c r="D288" s="21" t="str">
        <x:v>Core product knowledge is developing, with targeted coaching assigned for complex cases.</x:v>
      </x:c>
      <x:c r="E288" s="18" t="str">
        <x:v>MGR005</x:v>
      </x:c>
      <x:c r="F288" s="20" t="n">
        <x:v>46105.5</x:v>
      </x:c>
      <x:c r="G288" s="18" t="str">
        <x:v>Manager and employee</x:v>
      </x:c>
    </x:row>
    <x:row r="289" ht="24" hidden="0" customHeight="1">
      <x:c r="A289" s="18" t="str">
        <x:v>NOTE00288</x:v>
      </x:c>
      <x:c r="B289" s="18" t="str">
        <x:v>MTG0072</x:v>
      </x:c>
      <x:c r="C289" s="18" t="str">
        <x:v>Career aspirations</x:v>
      </x:c>
      <x:c r="D289" s="21" t="str">
        <x:v>The employee wants broader customer exposure while strengthening current-role consistency.</x:v>
      </x:c>
      <x:c r="E289" s="18" t="str">
        <x:v>MGR005</x:v>
      </x:c>
      <x:c r="F289" s="20" t="n">
        <x:v>46106.5</x:v>
      </x:c>
      <x:c r="G289" s="18" t="str">
        <x:v>Restricted</x:v>
      </x:c>
    </x:row>
    <x:row r="290" ht="24" hidden="0" customHeight="1">
      <x:c r="A290" s="18" t="str">
        <x:v>NOTE00289</x:v>
      </x:c>
      <x:c r="B290" s="18" t="str">
        <x:v>MTG0073</x:v>
      </x:c>
      <x:c r="C290" s="18" t="str">
        <x:v>Strategy</x:v>
      </x:c>
      <x:c r="D290" s="21" t="str">
        <x:v>The employee exceeds the expected pipeline plan and adapts outreach based on market conditions.</x:v>
      </x:c>
      <x:c r="E290" s="18" t="str">
        <x:v>MGR005</x:v>
      </x:c>
      <x:c r="F290" s="20" t="n">
        <x:v>46094.5</x:v>
      </x:c>
      <x:c r="G290" s="18" t="str">
        <x:v>Manager and employee</x:v>
      </x:c>
    </x:row>
    <x:row r="291" ht="24" hidden="0" customHeight="1">
      <x:c r="A291" s="18" t="str">
        <x:v>NOTE00290</x:v>
      </x:c>
      <x:c r="B291" s="18" t="str">
        <x:v>MTG0073</x:v>
      </x:c>
      <x:c r="C291" s="18" t="str">
        <x:v>Communication</x:v>
      </x:c>
      <x:c r="D291" s="21" t="str">
        <x:v>Communication is proactive and helps resolve customer and processing issues quickly.</x:v>
      </x:c>
      <x:c r="E291" s="18" t="str">
        <x:v>MGR005</x:v>
      </x:c>
      <x:c r="F291" s="20" t="n">
        <x:v>46094.5</x:v>
      </x:c>
      <x:c r="G291" s="18" t="str">
        <x:v>Manager and employee</x:v>
      </x:c>
    </x:row>
    <x:row r="292" ht="24" hidden="0" customHeight="1">
      <x:c r="A292" s="18" t="str">
        <x:v>NOTE00291</x:v>
      </x:c>
      <x:c r="B292" s="18" t="str">
        <x:v>MTG0073</x:v>
      </x:c>
      <x:c r="C292" s="18" t="str">
        <x:v>Business knowledge</x:v>
      </x:c>
      <x:c r="D292" s="21" t="str">
        <x:v>Strong product and policy knowledge supports sound recommendations and peer coaching.</x:v>
      </x:c>
      <x:c r="E292" s="18" t="str">
        <x:v>MGR005</x:v>
      </x:c>
      <x:c r="F292" s="20" t="n">
        <x:v>46094.5</x:v>
      </x:c>
      <x:c r="G292" s="18" t="str">
        <x:v>Manager and employee</x:v>
      </x:c>
    </x:row>
    <x:row r="293" ht="24" hidden="0" customHeight="1">
      <x:c r="A293" s="18" t="str">
        <x:v>NOTE00292</x:v>
      </x:c>
      <x:c r="B293" s="18" t="str">
        <x:v>MTG0073</x:v>
      </x:c>
      <x:c r="C293" s="18" t="str">
        <x:v>Career aspirations</x:v>
      </x:c>
      <x:c r="D293" s="21" t="str">
        <x:v>The employee is preparing for leadership exposure through mentoring and project ownership.</x:v>
      </x:c>
      <x:c r="E293" s="18" t="str">
        <x:v>MGR005</x:v>
      </x:c>
      <x:c r="F293" s="20" t="n">
        <x:v>46095.5</x:v>
      </x:c>
      <x:c r="G293" s="18" t="str">
        <x:v>Restricted</x:v>
      </x:c>
    </x:row>
    <x:row r="294" ht="24" hidden="0" customHeight="1">
      <x:c r="A294" s="18" t="str">
        <x:v>NOTE00293</x:v>
      </x:c>
      <x:c r="B294" s="18" t="str">
        <x:v>MTG0074</x:v>
      </x:c>
      <x:c r="C294" s="18" t="str">
        <x:v>Strategy</x:v>
      </x:c>
      <x:c r="D294" s="21" t="str">
        <x:v>The employee exceeds the expected pipeline plan and adapts outreach based on market conditions.</x:v>
      </x:c>
      <x:c r="E294" s="18" t="str">
        <x:v>MGR006</x:v>
      </x:c>
      <x:c r="F294" s="20" t="n">
        <x:v>46095.5</x:v>
      </x:c>
      <x:c r="G294" s="18" t="str">
        <x:v>Manager and employee</x:v>
      </x:c>
    </x:row>
    <x:row r="295" ht="24" hidden="0" customHeight="1">
      <x:c r="A295" s="18" t="str">
        <x:v>NOTE00294</x:v>
      </x:c>
      <x:c r="B295" s="18" t="str">
        <x:v>MTG0074</x:v>
      </x:c>
      <x:c r="C295" s="18" t="str">
        <x:v>Communication</x:v>
      </x:c>
      <x:c r="D295" s="21" t="str">
        <x:v>Communication is proactive and helps resolve customer and processing issues quickly.</x:v>
      </x:c>
      <x:c r="E295" s="18" t="str">
        <x:v>MGR006</x:v>
      </x:c>
      <x:c r="F295" s="20" t="n">
        <x:v>46095.5</x:v>
      </x:c>
      <x:c r="G295" s="18" t="str">
        <x:v>Manager and employee</x:v>
      </x:c>
    </x:row>
    <x:row r="296" ht="24" hidden="0" customHeight="1">
      <x:c r="A296" s="18" t="str">
        <x:v>NOTE00295</x:v>
      </x:c>
      <x:c r="B296" s="18" t="str">
        <x:v>MTG0074</x:v>
      </x:c>
      <x:c r="C296" s="18" t="str">
        <x:v>Business knowledge</x:v>
      </x:c>
      <x:c r="D296" s="21" t="str">
        <x:v>Strong product and policy knowledge supports sound recommendations and peer coaching.</x:v>
      </x:c>
      <x:c r="E296" s="18" t="str">
        <x:v>MGR006</x:v>
      </x:c>
      <x:c r="F296" s="20" t="n">
        <x:v>46095.5</x:v>
      </x:c>
      <x:c r="G296" s="18" t="str">
        <x:v>Manager and employee</x:v>
      </x:c>
    </x:row>
    <x:row r="297" ht="24" hidden="0" customHeight="1">
      <x:c r="A297" s="18" t="str">
        <x:v>NOTE00296</x:v>
      </x:c>
      <x:c r="B297" s="18" t="str">
        <x:v>MTG0074</x:v>
      </x:c>
      <x:c r="C297" s="18" t="str">
        <x:v>Career aspirations</x:v>
      </x:c>
      <x:c r="D297" s="21" t="str">
        <x:v>The employee is preparing for leadership exposure through mentoring and project ownership.</x:v>
      </x:c>
      <x:c r="E297" s="18" t="str">
        <x:v>MGR006</x:v>
      </x:c>
      <x:c r="F297" s="20" t="n">
        <x:v>46096.5</x:v>
      </x:c>
      <x:c r="G297" s="18" t="str">
        <x:v>Restricted</x:v>
      </x:c>
    </x:row>
    <x:row r="298" ht="24" hidden="0" customHeight="1">
      <x:c r="A298" s="18" t="str">
        <x:v>NOTE00297</x:v>
      </x:c>
      <x:c r="B298" s="18" t="str">
        <x:v>MTG0075</x:v>
      </x:c>
      <x:c r="C298" s="18" t="str">
        <x:v>Strategy</x:v>
      </x:c>
      <x:c r="D298" s="21" t="str">
        <x:v>The employee needs a documented weekly pipeline plan and closer follow-through on agreed actions.</x:v>
      </x:c>
      <x:c r="E298" s="18" t="str">
        <x:v>MGR006</x:v>
      </x:c>
      <x:c r="F298" s="20" t="n">
        <x:v>46096.5</x:v>
      </x:c>
      <x:c r="G298" s="18" t="str">
        <x:v>Manager and employee</x:v>
      </x:c>
    </x:row>
    <x:row r="299" ht="24" hidden="0" customHeight="1">
      <x:c r="A299" s="18" t="str">
        <x:v>NOTE00298</x:v>
      </x:c>
      <x:c r="B299" s="18" t="str">
        <x:v>MTG0075</x:v>
      </x:c>
      <x:c r="C299" s="18" t="str">
        <x:v>Communication</x:v>
      </x:c>
      <x:c r="D299" s="21" t="str">
        <x:v>Customer and manager updates were inconsistent; the next quarter includes scheduled coaching and checkpoints.</x:v>
      </x:c>
      <x:c r="E299" s="18" t="str">
        <x:v>MGR006</x:v>
      </x:c>
      <x:c r="F299" s="20" t="n">
        <x:v>46096.5</x:v>
      </x:c>
      <x:c r="G299" s="18" t="str">
        <x:v>Manager and employee</x:v>
      </x:c>
    </x:row>
    <x:row r="300" ht="24" hidden="0" customHeight="1">
      <x:c r="A300" s="18" t="str">
        <x:v>NOTE00299</x:v>
      </x:c>
      <x:c r="B300" s="18" t="str">
        <x:v>MTG0075</x:v>
      </x:c>
      <x:c r="C300" s="18" t="str">
        <x:v>Business knowledge</x:v>
      </x:c>
      <x:c r="D300" s="21" t="str">
        <x:v>Additional training is required on lending policy, product fit, and documentation quality.</x:v>
      </x:c>
      <x:c r="E300" s="18" t="str">
        <x:v>MGR006</x:v>
      </x:c>
      <x:c r="F300" s="20" t="n">
        <x:v>46096.5</x:v>
      </x:c>
      <x:c r="G300" s="18" t="str">
        <x:v>Manager and employee</x:v>
      </x:c>
    </x:row>
    <x:row r="301" ht="24" hidden="0" customHeight="1">
      <x:c r="A301" s="18" t="str">
        <x:v>NOTE00300</x:v>
      </x:c>
      <x:c r="B301" s="18" t="str">
        <x:v>MTG0075</x:v>
      </x:c>
      <x:c r="C301" s="18" t="str">
        <x:v>Career aspirations</x:v>
      </x:c>
      <x:c r="D301" s="21" t="str">
        <x:v>The immediate priority is consistent role performance before pursuing broader responsibilities.</x:v>
      </x:c>
      <x:c r="E301" s="18" t="str">
        <x:v>MGR006</x:v>
      </x:c>
      <x:c r="F301" s="20" t="n">
        <x:v>46097.5</x:v>
      </x:c>
      <x:c r="G301" s="18" t="str">
        <x:v>Restricted</x:v>
      </x:c>
    </x:row>
    <x:row r="302" ht="24" hidden="0" customHeight="1">
      <x:c r="A302" s="18" t="str">
        <x:v>NOTE00301</x:v>
      </x:c>
      <x:c r="B302" s="18" t="str">
        <x:v>MTG0076</x:v>
      </x:c>
      <x:c r="C302" s="18" t="str">
        <x:v>Strategy</x:v>
      </x:c>
      <x:c r="D302" s="21" t="str">
        <x:v>The employee consistently outperforms plan and shares repeatable pipeline practices across the branch.</x:v>
      </x:c>
      <x:c r="E302" s="18" t="str">
        <x:v>MGR001</x:v>
      </x:c>
      <x:c r="F302" s="20" t="n">
        <x:v>46185.5</x:v>
      </x:c>
      <x:c r="G302" s="18" t="str">
        <x:v>Manager and employee</x:v>
      </x:c>
    </x:row>
    <x:row r="303" ht="15" hidden="0" customHeight="1">
      <x:c r="A303" s="18" t="str">
        <x:v>NOTE00302</x:v>
      </x:c>
      <x:c r="B303" s="18" t="str">
        <x:v>MTG0076</x:v>
      </x:c>
      <x:c r="C303" s="18" t="str">
        <x:v>Communication</x:v>
      </x:c>
      <x:c r="D303" s="21" t="str">
        <x:v>Communication is highly effective with customers, peers, and senior leaders.</x:v>
      </x:c>
      <x:c r="E303" s="18" t="str">
        <x:v>MGR001</x:v>
      </x:c>
      <x:c r="F303" s="20" t="n">
        <x:v>46185.5</x:v>
      </x:c>
      <x:c r="G303" s="18" t="str">
        <x:v>Manager and employee</x:v>
      </x:c>
    </x:row>
    <x:row r="304" ht="24" hidden="0" customHeight="1">
      <x:c r="A304" s="18" t="str">
        <x:v>NOTE00303</x:v>
      </x:c>
      <x:c r="B304" s="18" t="str">
        <x:v>MTG0076</x:v>
      </x:c>
      <x:c r="C304" s="18" t="str">
        <x:v>Business knowledge</x:v>
      </x:c>
      <x:c r="D304" s="21" t="str">
        <x:v>The employee demonstrates advanced lending knowledge and serves as a trusted branch resource.</x:v>
      </x:c>
      <x:c r="E304" s="18" t="str">
        <x:v>MGR001</x:v>
      </x:c>
      <x:c r="F304" s="20" t="n">
        <x:v>46185.5</x:v>
      </x:c>
      <x:c r="G304" s="18" t="str">
        <x:v>Manager and employee</x:v>
      </x:c>
    </x:row>
    <x:row r="305" ht="24" hidden="0" customHeight="1">
      <x:c r="A305" s="18" t="str">
        <x:v>NOTE00304</x:v>
      </x:c>
      <x:c r="B305" s="18" t="str">
        <x:v>MTG0076</x:v>
      </x:c>
      <x:c r="C305" s="18" t="str">
        <x:v>Career aspirations</x:v>
      </x:c>
      <x:c r="D305" s="21" t="str">
        <x:v>The employee is ready for stretch leadership assignments and promotion consideration.</x:v>
      </x:c>
      <x:c r="E305" s="18" t="str">
        <x:v>MGR001</x:v>
      </x:c>
      <x:c r="F305" s="20" t="n">
        <x:v>46186.5</x:v>
      </x:c>
      <x:c r="G305" s="18" t="str">
        <x:v>Restricted</x:v>
      </x:c>
    </x:row>
    <x:row r="306" ht="24" hidden="0" customHeight="1">
      <x:c r="A306" s="18" t="str">
        <x:v>NOTE00305</x:v>
      </x:c>
      <x:c r="B306" s="18" t="str">
        <x:v>MTG0077</x:v>
      </x:c>
      <x:c r="C306" s="18" t="str">
        <x:v>Strategy</x:v>
      </x:c>
      <x:c r="D306" s="21" t="str">
        <x:v>The employee exceeds the expected pipeline plan and adapts outreach based on market conditions.</x:v>
      </x:c>
      <x:c r="E306" s="18" t="str">
        <x:v>MGR001</x:v>
      </x:c>
      <x:c r="F306" s="20" t="n">
        <x:v>46186.5</x:v>
      </x:c>
      <x:c r="G306" s="18" t="str">
        <x:v>Manager and employee</x:v>
      </x:c>
    </x:row>
    <x:row r="307" ht="24" hidden="0" customHeight="1">
      <x:c r="A307" s="18" t="str">
        <x:v>NOTE00306</x:v>
      </x:c>
      <x:c r="B307" s="18" t="str">
        <x:v>MTG0077</x:v>
      </x:c>
      <x:c r="C307" s="18" t="str">
        <x:v>Communication</x:v>
      </x:c>
      <x:c r="D307" s="21" t="str">
        <x:v>Communication is proactive and helps resolve customer and processing issues quickly.</x:v>
      </x:c>
      <x:c r="E307" s="18" t="str">
        <x:v>MGR001</x:v>
      </x:c>
      <x:c r="F307" s="20" t="n">
        <x:v>46186.5</x:v>
      </x:c>
      <x:c r="G307" s="18" t="str">
        <x:v>Manager and employee</x:v>
      </x:c>
    </x:row>
    <x:row r="308" ht="24" hidden="0" customHeight="1">
      <x:c r="A308" s="18" t="str">
        <x:v>NOTE00307</x:v>
      </x:c>
      <x:c r="B308" s="18" t="str">
        <x:v>MTG0077</x:v>
      </x:c>
      <x:c r="C308" s="18" t="str">
        <x:v>Business knowledge</x:v>
      </x:c>
      <x:c r="D308" s="21" t="str">
        <x:v>Strong product and policy knowledge supports sound recommendations and peer coaching.</x:v>
      </x:c>
      <x:c r="E308" s="18" t="str">
        <x:v>MGR001</x:v>
      </x:c>
      <x:c r="F308" s="20" t="n">
        <x:v>46186.5</x:v>
      </x:c>
      <x:c r="G308" s="18" t="str">
        <x:v>Manager and employee</x:v>
      </x:c>
    </x:row>
    <x:row r="309" ht="24" hidden="0" customHeight="1">
      <x:c r="A309" s="18" t="str">
        <x:v>NOTE00308</x:v>
      </x:c>
      <x:c r="B309" s="18" t="str">
        <x:v>MTG0077</x:v>
      </x:c>
      <x:c r="C309" s="18" t="str">
        <x:v>Career aspirations</x:v>
      </x:c>
      <x:c r="D309" s="21" t="str">
        <x:v>The employee is preparing for leadership exposure through mentoring and project ownership.</x:v>
      </x:c>
      <x:c r="E309" s="18" t="str">
        <x:v>MGR001</x:v>
      </x:c>
      <x:c r="F309" s="20" t="n">
        <x:v>46187.5</x:v>
      </x:c>
      <x:c r="G309" s="18" t="str">
        <x:v>Restricted</x:v>
      </x:c>
    </x:row>
    <x:row r="310" ht="24" hidden="0" customHeight="1">
      <x:c r="A310" s="18" t="str">
        <x:v>NOTE00309</x:v>
      </x:c>
      <x:c r="B310" s="18" t="str">
        <x:v>MTG0078</x:v>
      </x:c>
      <x:c r="C310" s="18" t="str">
        <x:v>Strategy</x:v>
      </x:c>
      <x:c r="D310" s="21" t="str">
        <x:v>The employee follows the branch plan and maintains a dependable quarterly pipeline.</x:v>
      </x:c>
      <x:c r="E310" s="18" t="str">
        <x:v>MGR001</x:v>
      </x:c>
      <x:c r="F310" s="20" t="n">
        <x:v>46187.5</x:v>
      </x:c>
      <x:c r="G310" s="18" t="str">
        <x:v>Manager and employee</x:v>
      </x:c>
    </x:row>
    <x:row r="311" ht="15" hidden="0" customHeight="1">
      <x:c r="A311" s="18" t="str">
        <x:v>NOTE00310</x:v>
      </x:c>
      <x:c r="B311" s="18" t="str">
        <x:v>MTG0078</x:v>
      </x:c>
      <x:c r="C311" s="18" t="str">
        <x:v>Communication</x:v>
      </x:c>
      <x:c r="D311" s="21" t="str">
        <x:v>Communication with customers and internal partners meets expectations.</x:v>
      </x:c>
      <x:c r="E311" s="18" t="str">
        <x:v>MGR001</x:v>
      </x:c>
      <x:c r="F311" s="20" t="n">
        <x:v>46187.5</x:v>
      </x:c>
      <x:c r="G311" s="18" t="str">
        <x:v>Manager and employee</x:v>
      </x:c>
    </x:row>
    <x:row r="312" ht="15" hidden="0" customHeight="1">
      <x:c r="A312" s="18" t="str">
        <x:v>NOTE00311</x:v>
      </x:c>
      <x:c r="B312" s="18" t="str">
        <x:v>MTG0078</x:v>
      </x:c>
      <x:c r="C312" s="18" t="str">
        <x:v>Business knowledge</x:v>
      </x:c>
      <x:c r="D312" s="21" t="str">
        <x:v>The employee applies standard loan policy and product knowledge effectively.</x:v>
      </x:c>
      <x:c r="E312" s="18" t="str">
        <x:v>MGR001</x:v>
      </x:c>
      <x:c r="F312" s="20" t="n">
        <x:v>46187.5</x:v>
      </x:c>
      <x:c r="G312" s="18" t="str">
        <x:v>Manager and employee</x:v>
      </x:c>
    </x:row>
    <x:row r="313" ht="24" hidden="0" customHeight="1">
      <x:c r="A313" s="18" t="str">
        <x:v>NOTE00312</x:v>
      </x:c>
      <x:c r="B313" s="18" t="str">
        <x:v>MTG0078</x:v>
      </x:c>
      <x:c r="C313" s="18" t="str">
        <x:v>Career aspirations</x:v>
      </x:c>
      <x:c r="D313" s="21" t="str">
        <x:v>The employee plans to deepen lending expertise and take on a peer-support assignment.</x:v>
      </x:c>
      <x:c r="E313" s="18" t="str">
        <x:v>MGR001</x:v>
      </x:c>
      <x:c r="F313" s="20" t="n">
        <x:v>46188.5</x:v>
      </x:c>
      <x:c r="G313" s="18" t="str">
        <x:v>Restricted</x:v>
      </x:c>
    </x:row>
    <x:row r="314" ht="24" hidden="0" customHeight="1">
      <x:c r="A314" s="18" t="str">
        <x:v>NOTE00313</x:v>
      </x:c>
      <x:c r="B314" s="18" t="str">
        <x:v>MTG0079</x:v>
      </x:c>
      <x:c r="C314" s="18" t="str">
        <x:v>Strategy</x:v>
      </x:c>
      <x:c r="D314" s="21" t="str">
        <x:v>The employee has a workable plan but needs more consistent prospecting and pipeline conversion.</x:v>
      </x:c>
      <x:c r="E314" s="18" t="str">
        <x:v>MGR002</x:v>
      </x:c>
      <x:c r="F314" s="20" t="n">
        <x:v>46188.5</x:v>
      </x:c>
      <x:c r="G314" s="18" t="str">
        <x:v>Manager and employee</x:v>
      </x:c>
    </x:row>
    <x:row r="315" ht="24" hidden="0" customHeight="1">
      <x:c r="A315" s="18" t="str">
        <x:v>NOTE00314</x:v>
      </x:c>
      <x:c r="B315" s="18" t="str">
        <x:v>MTG0079</x:v>
      </x:c>
      <x:c r="C315" s="18" t="str">
        <x:v>Communication</x:v>
      </x:c>
      <x:c r="D315" s="21" t="str">
        <x:v>Routine communication is adequate; earlier escalation of stalled applications is needed.</x:v>
      </x:c>
      <x:c r="E315" s="18" t="str">
        <x:v>MGR002</x:v>
      </x:c>
      <x:c r="F315" s="20" t="n">
        <x:v>46188.5</x:v>
      </x:c>
      <x:c r="G315" s="18" t="str">
        <x:v>Manager and employee</x:v>
      </x:c>
    </x:row>
    <x:row r="316" ht="24" hidden="0" customHeight="1">
      <x:c r="A316" s="18" t="str">
        <x:v>NOTE00315</x:v>
      </x:c>
      <x:c r="B316" s="18" t="str">
        <x:v>MTG0079</x:v>
      </x:c>
      <x:c r="C316" s="18" t="str">
        <x:v>Business knowledge</x:v>
      </x:c>
      <x:c r="D316" s="21" t="str">
        <x:v>Core product knowledge is developing, with targeted coaching assigned for complex cases.</x:v>
      </x:c>
      <x:c r="E316" s="18" t="str">
        <x:v>MGR002</x:v>
      </x:c>
      <x:c r="F316" s="20" t="n">
        <x:v>46188.5</x:v>
      </x:c>
      <x:c r="G316" s="18" t="str">
        <x:v>Manager and employee</x:v>
      </x:c>
    </x:row>
    <x:row r="317" ht="24" hidden="0" customHeight="1">
      <x:c r="A317" s="18" t="str">
        <x:v>NOTE00316</x:v>
      </x:c>
      <x:c r="B317" s="18" t="str">
        <x:v>MTG0079</x:v>
      </x:c>
      <x:c r="C317" s="18" t="str">
        <x:v>Career aspirations</x:v>
      </x:c>
      <x:c r="D317" s="21" t="str">
        <x:v>The employee wants broader customer exposure while strengthening current-role consistency.</x:v>
      </x:c>
      <x:c r="E317" s="18" t="str">
        <x:v>MGR002</x:v>
      </x:c>
      <x:c r="F317" s="20" t="n">
        <x:v>46189.5</x:v>
      </x:c>
      <x:c r="G317" s="18" t="str">
        <x:v>Restricted</x:v>
      </x:c>
    </x:row>
    <x:row r="318" ht="24" hidden="0" customHeight="1">
      <x:c r="A318" s="18" t="str">
        <x:v>NOTE00317</x:v>
      </x:c>
      <x:c r="B318" s="18" t="str">
        <x:v>MTG0080</x:v>
      </x:c>
      <x:c r="C318" s="18" t="str">
        <x:v>Strategy</x:v>
      </x:c>
      <x:c r="D318" s="21" t="str">
        <x:v>The employee exceeds the expected pipeline plan and adapts outreach based on market conditions.</x:v>
      </x:c>
      <x:c r="E318" s="18" t="str">
        <x:v>MGR002</x:v>
      </x:c>
      <x:c r="F318" s="20" t="n">
        <x:v>46189.5</x:v>
      </x:c>
      <x:c r="G318" s="18" t="str">
        <x:v>Manager and employee</x:v>
      </x:c>
    </x:row>
    <x:row r="319" ht="24" hidden="0" customHeight="1">
      <x:c r="A319" s="18" t="str">
        <x:v>NOTE00318</x:v>
      </x:c>
      <x:c r="B319" s="18" t="str">
        <x:v>MTG0080</x:v>
      </x:c>
      <x:c r="C319" s="18" t="str">
        <x:v>Communication</x:v>
      </x:c>
      <x:c r="D319" s="21" t="str">
        <x:v>Communication is proactive and helps resolve customer and processing issues quickly.</x:v>
      </x:c>
      <x:c r="E319" s="18" t="str">
        <x:v>MGR002</x:v>
      </x:c>
      <x:c r="F319" s="20" t="n">
        <x:v>46189.5</x:v>
      </x:c>
      <x:c r="G319" s="18" t="str">
        <x:v>Manager and employee</x:v>
      </x:c>
    </x:row>
    <x:row r="320" ht="24" hidden="0" customHeight="1">
      <x:c r="A320" s="18" t="str">
        <x:v>NOTE00319</x:v>
      </x:c>
      <x:c r="B320" s="18" t="str">
        <x:v>MTG0080</x:v>
      </x:c>
      <x:c r="C320" s="18" t="str">
        <x:v>Business knowledge</x:v>
      </x:c>
      <x:c r="D320" s="21" t="str">
        <x:v>Strong product and policy knowledge supports sound recommendations and peer coaching.</x:v>
      </x:c>
      <x:c r="E320" s="18" t="str">
        <x:v>MGR002</x:v>
      </x:c>
      <x:c r="F320" s="20" t="n">
        <x:v>46189.5</x:v>
      </x:c>
      <x:c r="G320" s="18" t="str">
        <x:v>Manager and employee</x:v>
      </x:c>
    </x:row>
    <x:row r="321" ht="24" hidden="0" customHeight="1">
      <x:c r="A321" s="18" t="str">
        <x:v>NOTE00320</x:v>
      </x:c>
      <x:c r="B321" s="18" t="str">
        <x:v>MTG0080</x:v>
      </x:c>
      <x:c r="C321" s="18" t="str">
        <x:v>Career aspirations</x:v>
      </x:c>
      <x:c r="D321" s="21" t="str">
        <x:v>The employee is preparing for leadership exposure through mentoring and project ownership.</x:v>
      </x:c>
      <x:c r="E321" s="18" t="str">
        <x:v>MGR002</x:v>
      </x:c>
      <x:c r="F321" s="20" t="n">
        <x:v>46190.5</x:v>
      </x:c>
      <x:c r="G321" s="18" t="str">
        <x:v>Restricted</x:v>
      </x:c>
    </x:row>
    <x:row r="322" ht="24" hidden="0" customHeight="1">
      <x:c r="A322" s="18" t="str">
        <x:v>NOTE00321</x:v>
      </x:c>
      <x:c r="B322" s="18" t="str">
        <x:v>MTG0081</x:v>
      </x:c>
      <x:c r="C322" s="18" t="str">
        <x:v>Strategy</x:v>
      </x:c>
      <x:c r="D322" s="21" t="str">
        <x:v>The employee follows the branch plan and maintains a dependable quarterly pipeline.</x:v>
      </x:c>
      <x:c r="E322" s="18" t="str">
        <x:v>MGR002</x:v>
      </x:c>
      <x:c r="F322" s="20" t="n">
        <x:v>46190.5</x:v>
      </x:c>
      <x:c r="G322" s="18" t="str">
        <x:v>Manager and employee</x:v>
      </x:c>
    </x:row>
    <x:row r="323" ht="15" hidden="0" customHeight="1">
      <x:c r="A323" s="18" t="str">
        <x:v>NOTE00322</x:v>
      </x:c>
      <x:c r="B323" s="18" t="str">
        <x:v>MTG0081</x:v>
      </x:c>
      <x:c r="C323" s="18" t="str">
        <x:v>Communication</x:v>
      </x:c>
      <x:c r="D323" s="21" t="str">
        <x:v>Communication with customers and internal partners meets expectations.</x:v>
      </x:c>
      <x:c r="E323" s="18" t="str">
        <x:v>MGR002</x:v>
      </x:c>
      <x:c r="F323" s="20" t="n">
        <x:v>46190.5</x:v>
      </x:c>
      <x:c r="G323" s="18" t="str">
        <x:v>Manager and employee</x:v>
      </x:c>
    </x:row>
    <x:row r="324" ht="15" hidden="0" customHeight="1">
      <x:c r="A324" s="18" t="str">
        <x:v>NOTE00323</x:v>
      </x:c>
      <x:c r="B324" s="18" t="str">
        <x:v>MTG0081</x:v>
      </x:c>
      <x:c r="C324" s="18" t="str">
        <x:v>Business knowledge</x:v>
      </x:c>
      <x:c r="D324" s="21" t="str">
        <x:v>The employee applies standard loan policy and product knowledge effectively.</x:v>
      </x:c>
      <x:c r="E324" s="18" t="str">
        <x:v>MGR002</x:v>
      </x:c>
      <x:c r="F324" s="20" t="n">
        <x:v>46190.5</x:v>
      </x:c>
      <x:c r="G324" s="18" t="str">
        <x:v>Manager and employee</x:v>
      </x:c>
    </x:row>
    <x:row r="325" ht="24" hidden="0" customHeight="1">
      <x:c r="A325" s="18" t="str">
        <x:v>NOTE00324</x:v>
      </x:c>
      <x:c r="B325" s="18" t="str">
        <x:v>MTG0081</x:v>
      </x:c>
      <x:c r="C325" s="18" t="str">
        <x:v>Career aspirations</x:v>
      </x:c>
      <x:c r="D325" s="21" t="str">
        <x:v>The employee plans to deepen lending expertise and take on a peer-support assignment.</x:v>
      </x:c>
      <x:c r="E325" s="18" t="str">
        <x:v>MGR002</x:v>
      </x:c>
      <x:c r="F325" s="20" t="n">
        <x:v>46191.5</x:v>
      </x:c>
      <x:c r="G325" s="18" t="str">
        <x:v>Restricted</x:v>
      </x:c>
    </x:row>
    <x:row r="326" ht="24" hidden="0" customHeight="1">
      <x:c r="A326" s="18" t="str">
        <x:v>NOTE00325</x:v>
      </x:c>
      <x:c r="B326" s="18" t="str">
        <x:v>MTG0082</x:v>
      </x:c>
      <x:c r="C326" s="18" t="str">
        <x:v>Strategy</x:v>
      </x:c>
      <x:c r="D326" s="21" t="str">
        <x:v>The employee follows the branch plan and maintains a dependable quarterly pipeline.</x:v>
      </x:c>
      <x:c r="E326" s="18" t="str">
        <x:v>MGR003</x:v>
      </x:c>
      <x:c r="F326" s="20" t="n">
        <x:v>46191.5</x:v>
      </x:c>
      <x:c r="G326" s="18" t="str">
        <x:v>Manager and employee</x:v>
      </x:c>
    </x:row>
    <x:row r="327" ht="15" hidden="0" customHeight="1">
      <x:c r="A327" s="18" t="str">
        <x:v>NOTE00326</x:v>
      </x:c>
      <x:c r="B327" s="18" t="str">
        <x:v>MTG0082</x:v>
      </x:c>
      <x:c r="C327" s="18" t="str">
        <x:v>Communication</x:v>
      </x:c>
      <x:c r="D327" s="21" t="str">
        <x:v>Communication with customers and internal partners meets expectations.</x:v>
      </x:c>
      <x:c r="E327" s="18" t="str">
        <x:v>MGR003</x:v>
      </x:c>
      <x:c r="F327" s="20" t="n">
        <x:v>46191.5</x:v>
      </x:c>
      <x:c r="G327" s="18" t="str">
        <x:v>Manager and employee</x:v>
      </x:c>
    </x:row>
    <x:row r="328" ht="15" hidden="0" customHeight="1">
      <x:c r="A328" s="18" t="str">
        <x:v>NOTE00327</x:v>
      </x:c>
      <x:c r="B328" s="18" t="str">
        <x:v>MTG0082</x:v>
      </x:c>
      <x:c r="C328" s="18" t="str">
        <x:v>Business knowledge</x:v>
      </x:c>
      <x:c r="D328" s="21" t="str">
        <x:v>The employee applies standard loan policy and product knowledge effectively.</x:v>
      </x:c>
      <x:c r="E328" s="18" t="str">
        <x:v>MGR003</x:v>
      </x:c>
      <x:c r="F328" s="20" t="n">
        <x:v>46191.5</x:v>
      </x:c>
      <x:c r="G328" s="18" t="str">
        <x:v>Manager and employee</x:v>
      </x:c>
    </x:row>
    <x:row r="329" ht="24" hidden="0" customHeight="1">
      <x:c r="A329" s="18" t="str">
        <x:v>NOTE00328</x:v>
      </x:c>
      <x:c r="B329" s="18" t="str">
        <x:v>MTG0082</x:v>
      </x:c>
      <x:c r="C329" s="18" t="str">
        <x:v>Career aspirations</x:v>
      </x:c>
      <x:c r="D329" s="21" t="str">
        <x:v>The employee plans to deepen lending expertise and take on a peer-support assignment.</x:v>
      </x:c>
      <x:c r="E329" s="18" t="str">
        <x:v>MGR003</x:v>
      </x:c>
      <x:c r="F329" s="20" t="n">
        <x:v>46192.5</x:v>
      </x:c>
      <x:c r="G329" s="18" t="str">
        <x:v>Restricted</x:v>
      </x:c>
    </x:row>
    <x:row r="330" ht="24" hidden="0" customHeight="1">
      <x:c r="A330" s="18" t="str">
        <x:v>NOTE00329</x:v>
      </x:c>
      <x:c r="B330" s="18" t="str">
        <x:v>MTG0083</x:v>
      </x:c>
      <x:c r="C330" s="18" t="str">
        <x:v>Strategy</x:v>
      </x:c>
      <x:c r="D330" s="21" t="str">
        <x:v>The employee needs a documented weekly pipeline plan and closer follow-through on agreed actions.</x:v>
      </x:c>
      <x:c r="E330" s="18" t="str">
        <x:v>MGR003</x:v>
      </x:c>
      <x:c r="F330" s="20" t="n">
        <x:v>46192.5</x:v>
      </x:c>
      <x:c r="G330" s="18" t="str">
        <x:v>Manager and employee</x:v>
      </x:c>
    </x:row>
    <x:row r="331" ht="24" hidden="0" customHeight="1">
      <x:c r="A331" s="18" t="str">
        <x:v>NOTE00330</x:v>
      </x:c>
      <x:c r="B331" s="18" t="str">
        <x:v>MTG0083</x:v>
      </x:c>
      <x:c r="C331" s="18" t="str">
        <x:v>Communication</x:v>
      </x:c>
      <x:c r="D331" s="21" t="str">
        <x:v>Customer and manager updates were inconsistent; the next quarter includes scheduled coaching and checkpoints.</x:v>
      </x:c>
      <x:c r="E331" s="18" t="str">
        <x:v>MGR003</x:v>
      </x:c>
      <x:c r="F331" s="20" t="n">
        <x:v>46192.5</x:v>
      </x:c>
      <x:c r="G331" s="18" t="str">
        <x:v>Manager and employee</x:v>
      </x:c>
    </x:row>
    <x:row r="332" ht="24" hidden="0" customHeight="1">
      <x:c r="A332" s="18" t="str">
        <x:v>NOTE00331</x:v>
      </x:c>
      <x:c r="B332" s="18" t="str">
        <x:v>MTG0083</x:v>
      </x:c>
      <x:c r="C332" s="18" t="str">
        <x:v>Business knowledge</x:v>
      </x:c>
      <x:c r="D332" s="21" t="str">
        <x:v>Additional training is required on lending policy, product fit, and documentation quality.</x:v>
      </x:c>
      <x:c r="E332" s="18" t="str">
        <x:v>MGR003</x:v>
      </x:c>
      <x:c r="F332" s="20" t="n">
        <x:v>46192.5</x:v>
      </x:c>
      <x:c r="G332" s="18" t="str">
        <x:v>Manager and employee</x:v>
      </x:c>
    </x:row>
    <x:row r="333" ht="24" hidden="0" customHeight="1">
      <x:c r="A333" s="18" t="str">
        <x:v>NOTE00332</x:v>
      </x:c>
      <x:c r="B333" s="18" t="str">
        <x:v>MTG0083</x:v>
      </x:c>
      <x:c r="C333" s="18" t="str">
        <x:v>Career aspirations</x:v>
      </x:c>
      <x:c r="D333" s="21" t="str">
        <x:v>The immediate priority is consistent role performance before pursuing broader responsibilities.</x:v>
      </x:c>
      <x:c r="E333" s="18" t="str">
        <x:v>MGR003</x:v>
      </x:c>
      <x:c r="F333" s="20" t="n">
        <x:v>46193.5</x:v>
      </x:c>
      <x:c r="G333" s="18" t="str">
        <x:v>Restricted</x:v>
      </x:c>
    </x:row>
    <x:row r="334" ht="24" hidden="0" customHeight="1">
      <x:c r="A334" s="18" t="str">
        <x:v>NOTE00333</x:v>
      </x:c>
      <x:c r="B334" s="18" t="str">
        <x:v>MTG0084</x:v>
      </x:c>
      <x:c r="C334" s="18" t="str">
        <x:v>Strategy</x:v>
      </x:c>
      <x:c r="D334" s="21" t="str">
        <x:v>The employee consistently outperforms plan and shares repeatable pipeline practices across the branch.</x:v>
      </x:c>
      <x:c r="E334" s="18" t="str">
        <x:v>MGR004</x:v>
      </x:c>
      <x:c r="F334" s="20" t="n">
        <x:v>46193.5</x:v>
      </x:c>
      <x:c r="G334" s="18" t="str">
        <x:v>Manager and employee</x:v>
      </x:c>
    </x:row>
    <x:row r="335" ht="15" hidden="0" customHeight="1">
      <x:c r="A335" s="18" t="str">
        <x:v>NOTE00334</x:v>
      </x:c>
      <x:c r="B335" s="18" t="str">
        <x:v>MTG0084</x:v>
      </x:c>
      <x:c r="C335" s="18" t="str">
        <x:v>Communication</x:v>
      </x:c>
      <x:c r="D335" s="21" t="str">
        <x:v>Communication is highly effective with customers, peers, and senior leaders.</x:v>
      </x:c>
      <x:c r="E335" s="18" t="str">
        <x:v>MGR004</x:v>
      </x:c>
      <x:c r="F335" s="20" t="n">
        <x:v>46193.5</x:v>
      </x:c>
      <x:c r="G335" s="18" t="str">
        <x:v>Manager and employee</x:v>
      </x:c>
    </x:row>
    <x:row r="336" ht="24" hidden="0" customHeight="1">
      <x:c r="A336" s="18" t="str">
        <x:v>NOTE00335</x:v>
      </x:c>
      <x:c r="B336" s="18" t="str">
        <x:v>MTG0084</x:v>
      </x:c>
      <x:c r="C336" s="18" t="str">
        <x:v>Business knowledge</x:v>
      </x:c>
      <x:c r="D336" s="21" t="str">
        <x:v>The employee demonstrates advanced lending knowledge and serves as a trusted branch resource.</x:v>
      </x:c>
      <x:c r="E336" s="18" t="str">
        <x:v>MGR004</x:v>
      </x:c>
      <x:c r="F336" s="20" t="n">
        <x:v>46193.5</x:v>
      </x:c>
      <x:c r="G336" s="18" t="str">
        <x:v>Manager and employee</x:v>
      </x:c>
    </x:row>
    <x:row r="337" ht="24" hidden="0" customHeight="1">
      <x:c r="A337" s="18" t="str">
        <x:v>NOTE00336</x:v>
      </x:c>
      <x:c r="B337" s="18" t="str">
        <x:v>MTG0084</x:v>
      </x:c>
      <x:c r="C337" s="18" t="str">
        <x:v>Career aspirations</x:v>
      </x:c>
      <x:c r="D337" s="21" t="str">
        <x:v>The employee is ready for stretch leadership assignments and promotion consideration.</x:v>
      </x:c>
      <x:c r="E337" s="18" t="str">
        <x:v>MGR004</x:v>
      </x:c>
      <x:c r="F337" s="20" t="n">
        <x:v>46194.5</x:v>
      </x:c>
      <x:c r="G337" s="18" t="str">
        <x:v>Restricted</x:v>
      </x:c>
    </x:row>
    <x:row r="338" ht="24" hidden="0" customHeight="1">
      <x:c r="A338" s="18" t="str">
        <x:v>NOTE00337</x:v>
      </x:c>
      <x:c r="B338" s="18" t="str">
        <x:v>MTG0085</x:v>
      </x:c>
      <x:c r="C338" s="18" t="str">
        <x:v>Strategy</x:v>
      </x:c>
      <x:c r="D338" s="21" t="str">
        <x:v>The employee exceeds the expected pipeline plan and adapts outreach based on market conditions.</x:v>
      </x:c>
      <x:c r="E338" s="18" t="str">
        <x:v>MGR004</x:v>
      </x:c>
      <x:c r="F338" s="20" t="n">
        <x:v>46194.5</x:v>
      </x:c>
      <x:c r="G338" s="18" t="str">
        <x:v>Manager and employee</x:v>
      </x:c>
    </x:row>
    <x:row r="339" ht="24" hidden="0" customHeight="1">
      <x:c r="A339" s="18" t="str">
        <x:v>NOTE00338</x:v>
      </x:c>
      <x:c r="B339" s="18" t="str">
        <x:v>MTG0085</x:v>
      </x:c>
      <x:c r="C339" s="18" t="str">
        <x:v>Communication</x:v>
      </x:c>
      <x:c r="D339" s="21" t="str">
        <x:v>Communication is proactive and helps resolve customer and processing issues quickly.</x:v>
      </x:c>
      <x:c r="E339" s="18" t="str">
        <x:v>MGR004</x:v>
      </x:c>
      <x:c r="F339" s="20" t="n">
        <x:v>46194.5</x:v>
      </x:c>
      <x:c r="G339" s="18" t="str">
        <x:v>Manager and employee</x:v>
      </x:c>
    </x:row>
    <x:row r="340" ht="24" hidden="0" customHeight="1">
      <x:c r="A340" s="18" t="str">
        <x:v>NOTE00339</x:v>
      </x:c>
      <x:c r="B340" s="18" t="str">
        <x:v>MTG0085</x:v>
      </x:c>
      <x:c r="C340" s="18" t="str">
        <x:v>Business knowledge</x:v>
      </x:c>
      <x:c r="D340" s="21" t="str">
        <x:v>Strong product and policy knowledge supports sound recommendations and peer coaching.</x:v>
      </x:c>
      <x:c r="E340" s="18" t="str">
        <x:v>MGR004</x:v>
      </x:c>
      <x:c r="F340" s="20" t="n">
        <x:v>46194.5</x:v>
      </x:c>
      <x:c r="G340" s="18" t="str">
        <x:v>Manager and employee</x:v>
      </x:c>
    </x:row>
    <x:row r="341" ht="24" hidden="0" customHeight="1">
      <x:c r="A341" s="18" t="str">
        <x:v>NOTE00340</x:v>
      </x:c>
      <x:c r="B341" s="18" t="str">
        <x:v>MTG0085</x:v>
      </x:c>
      <x:c r="C341" s="18" t="str">
        <x:v>Career aspirations</x:v>
      </x:c>
      <x:c r="D341" s="21" t="str">
        <x:v>The employee is preparing for leadership exposure through mentoring and project ownership.</x:v>
      </x:c>
      <x:c r="E341" s="18" t="str">
        <x:v>MGR004</x:v>
      </x:c>
      <x:c r="F341" s="20" t="n">
        <x:v>46195.5</x:v>
      </x:c>
      <x:c r="G341" s="18" t="str">
        <x:v>Restricted</x:v>
      </x:c>
    </x:row>
    <x:row r="342" ht="24" hidden="0" customHeight="1">
      <x:c r="A342" s="18" t="str">
        <x:v>NOTE00341</x:v>
      </x:c>
      <x:c r="B342" s="18" t="str">
        <x:v>MTG0086</x:v>
      </x:c>
      <x:c r="C342" s="18" t="str">
        <x:v>Strategy</x:v>
      </x:c>
      <x:c r="D342" s="21" t="str">
        <x:v>The employee follows the branch plan and maintains a dependable quarterly pipeline.</x:v>
      </x:c>
      <x:c r="E342" s="18" t="str">
        <x:v>MGR004</x:v>
      </x:c>
      <x:c r="F342" s="20" t="n">
        <x:v>46195.5</x:v>
      </x:c>
      <x:c r="G342" s="18" t="str">
        <x:v>Manager and employee</x:v>
      </x:c>
    </x:row>
    <x:row r="343" ht="15" hidden="0" customHeight="1">
      <x:c r="A343" s="18" t="str">
        <x:v>NOTE00342</x:v>
      </x:c>
      <x:c r="B343" s="18" t="str">
        <x:v>MTG0086</x:v>
      </x:c>
      <x:c r="C343" s="18" t="str">
        <x:v>Communication</x:v>
      </x:c>
      <x:c r="D343" s="21" t="str">
        <x:v>Communication with customers and internal partners meets expectations.</x:v>
      </x:c>
      <x:c r="E343" s="18" t="str">
        <x:v>MGR004</x:v>
      </x:c>
      <x:c r="F343" s="20" t="n">
        <x:v>46195.5</x:v>
      </x:c>
      <x:c r="G343" s="18" t="str">
        <x:v>Manager and employee</x:v>
      </x:c>
    </x:row>
    <x:row r="344" ht="15" hidden="0" customHeight="1">
      <x:c r="A344" s="18" t="str">
        <x:v>NOTE00343</x:v>
      </x:c>
      <x:c r="B344" s="18" t="str">
        <x:v>MTG0086</x:v>
      </x:c>
      <x:c r="C344" s="18" t="str">
        <x:v>Business knowledge</x:v>
      </x:c>
      <x:c r="D344" s="21" t="str">
        <x:v>The employee applies standard loan policy and product knowledge effectively.</x:v>
      </x:c>
      <x:c r="E344" s="18" t="str">
        <x:v>MGR004</x:v>
      </x:c>
      <x:c r="F344" s="20" t="n">
        <x:v>46195.5</x:v>
      </x:c>
      <x:c r="G344" s="18" t="str">
        <x:v>Manager and employee</x:v>
      </x:c>
    </x:row>
    <x:row r="345" ht="24" hidden="0" customHeight="1">
      <x:c r="A345" s="18" t="str">
        <x:v>NOTE00344</x:v>
      </x:c>
      <x:c r="B345" s="18" t="str">
        <x:v>MTG0086</x:v>
      </x:c>
      <x:c r="C345" s="18" t="str">
        <x:v>Career aspirations</x:v>
      </x:c>
      <x:c r="D345" s="21" t="str">
        <x:v>The employee plans to deepen lending expertise and take on a peer-support assignment.</x:v>
      </x:c>
      <x:c r="E345" s="18" t="str">
        <x:v>MGR004</x:v>
      </x:c>
      <x:c r="F345" s="20" t="n">
        <x:v>46196.5</x:v>
      </x:c>
      <x:c r="G345" s="18" t="str">
        <x:v>Restricted</x:v>
      </x:c>
    </x:row>
    <x:row r="346" ht="24" hidden="0" customHeight="1">
      <x:c r="A346" s="18" t="str">
        <x:v>NOTE00345</x:v>
      </x:c>
      <x:c r="B346" s="18" t="str">
        <x:v>MTG0087</x:v>
      </x:c>
      <x:c r="C346" s="18" t="str">
        <x:v>Strategy</x:v>
      </x:c>
      <x:c r="D346" s="21" t="str">
        <x:v>The employee has a workable plan but needs more consistent prospecting and pipeline conversion.</x:v>
      </x:c>
      <x:c r="E346" s="18" t="str">
        <x:v>MGR005</x:v>
      </x:c>
      <x:c r="F346" s="20" t="n">
        <x:v>46196.5</x:v>
      </x:c>
      <x:c r="G346" s="18" t="str">
        <x:v>Manager and employee</x:v>
      </x:c>
    </x:row>
    <x:row r="347" ht="24" hidden="0" customHeight="1">
      <x:c r="A347" s="18" t="str">
        <x:v>NOTE00346</x:v>
      </x:c>
      <x:c r="B347" s="18" t="str">
        <x:v>MTG0087</x:v>
      </x:c>
      <x:c r="C347" s="18" t="str">
        <x:v>Communication</x:v>
      </x:c>
      <x:c r="D347" s="21" t="str">
        <x:v>Routine communication is adequate; earlier escalation of stalled applications is needed.</x:v>
      </x:c>
      <x:c r="E347" s="18" t="str">
        <x:v>MGR005</x:v>
      </x:c>
      <x:c r="F347" s="20" t="n">
        <x:v>46196.5</x:v>
      </x:c>
      <x:c r="G347" s="18" t="str">
        <x:v>Manager and employee</x:v>
      </x:c>
    </x:row>
    <x:row r="348" ht="24" hidden="0" customHeight="1">
      <x:c r="A348" s="18" t="str">
        <x:v>NOTE00347</x:v>
      </x:c>
      <x:c r="B348" s="18" t="str">
        <x:v>MTG0087</x:v>
      </x:c>
      <x:c r="C348" s="18" t="str">
        <x:v>Business knowledge</x:v>
      </x:c>
      <x:c r="D348" s="21" t="str">
        <x:v>Core product knowledge is developing, with targeted coaching assigned for complex cases.</x:v>
      </x:c>
      <x:c r="E348" s="18" t="str">
        <x:v>MGR005</x:v>
      </x:c>
      <x:c r="F348" s="20" t="n">
        <x:v>46196.5</x:v>
      </x:c>
      <x:c r="G348" s="18" t="str">
        <x:v>Manager and employee</x:v>
      </x:c>
    </x:row>
    <x:row r="349" ht="24" hidden="0" customHeight="1">
      <x:c r="A349" s="18" t="str">
        <x:v>NOTE00348</x:v>
      </x:c>
      <x:c r="B349" s="18" t="str">
        <x:v>MTG0087</x:v>
      </x:c>
      <x:c r="C349" s="18" t="str">
        <x:v>Career aspirations</x:v>
      </x:c>
      <x:c r="D349" s="21" t="str">
        <x:v>The employee wants broader customer exposure while strengthening current-role consistency.</x:v>
      </x:c>
      <x:c r="E349" s="18" t="str">
        <x:v>MGR005</x:v>
      </x:c>
      <x:c r="F349" s="20" t="n">
        <x:v>46197.5</x:v>
      </x:c>
      <x:c r="G349" s="18" t="str">
        <x:v>Restricted</x:v>
      </x:c>
    </x:row>
    <x:row r="350" ht="24" hidden="0" customHeight="1">
      <x:c r="A350" s="18" t="str">
        <x:v>NOTE00349</x:v>
      </x:c>
      <x:c r="B350" s="18" t="str">
        <x:v>MTG0088</x:v>
      </x:c>
      <x:c r="C350" s="18" t="str">
        <x:v>Strategy</x:v>
      </x:c>
      <x:c r="D350" s="21" t="str">
        <x:v>The employee exceeds the expected pipeline plan and adapts outreach based on market conditions.</x:v>
      </x:c>
      <x:c r="E350" s="18" t="str">
        <x:v>MGR005</x:v>
      </x:c>
      <x:c r="F350" s="20" t="n">
        <x:v>46185.5</x:v>
      </x:c>
      <x:c r="G350" s="18" t="str">
        <x:v>Manager and employee</x:v>
      </x:c>
    </x:row>
    <x:row r="351" ht="24" hidden="0" customHeight="1">
      <x:c r="A351" s="18" t="str">
        <x:v>NOTE00350</x:v>
      </x:c>
      <x:c r="B351" s="18" t="str">
        <x:v>MTG0088</x:v>
      </x:c>
      <x:c r="C351" s="18" t="str">
        <x:v>Communication</x:v>
      </x:c>
      <x:c r="D351" s="21" t="str">
        <x:v>Communication is proactive and helps resolve customer and processing issues quickly.</x:v>
      </x:c>
      <x:c r="E351" s="18" t="str">
        <x:v>MGR005</x:v>
      </x:c>
      <x:c r="F351" s="20" t="n">
        <x:v>46185.5</x:v>
      </x:c>
      <x:c r="G351" s="18" t="str">
        <x:v>Manager and employee</x:v>
      </x:c>
    </x:row>
    <x:row r="352" ht="24" hidden="0" customHeight="1">
      <x:c r="A352" s="18" t="str">
        <x:v>NOTE00351</x:v>
      </x:c>
      <x:c r="B352" s="18" t="str">
        <x:v>MTG0088</x:v>
      </x:c>
      <x:c r="C352" s="18" t="str">
        <x:v>Business knowledge</x:v>
      </x:c>
      <x:c r="D352" s="21" t="str">
        <x:v>Strong product and policy knowledge supports sound recommendations and peer coaching.</x:v>
      </x:c>
      <x:c r="E352" s="18" t="str">
        <x:v>MGR005</x:v>
      </x:c>
      <x:c r="F352" s="20" t="n">
        <x:v>46185.5</x:v>
      </x:c>
      <x:c r="G352" s="18" t="str">
        <x:v>Manager and employee</x:v>
      </x:c>
    </x:row>
    <x:row r="353" ht="24" hidden="0" customHeight="1">
      <x:c r="A353" s="18" t="str">
        <x:v>NOTE00352</x:v>
      </x:c>
      <x:c r="B353" s="18" t="str">
        <x:v>MTG0088</x:v>
      </x:c>
      <x:c r="C353" s="18" t="str">
        <x:v>Career aspirations</x:v>
      </x:c>
      <x:c r="D353" s="21" t="str">
        <x:v>The employee is preparing for leadership exposure through mentoring and project ownership.</x:v>
      </x:c>
      <x:c r="E353" s="18" t="str">
        <x:v>MGR005</x:v>
      </x:c>
      <x:c r="F353" s="20" t="n">
        <x:v>46186.5</x:v>
      </x:c>
      <x:c r="G353" s="18" t="str">
        <x:v>Restricted</x:v>
      </x:c>
    </x:row>
    <x:row r="354" ht="24" hidden="0" customHeight="1">
      <x:c r="A354" s="18" t="str">
        <x:v>NOTE00353</x:v>
      </x:c>
      <x:c r="B354" s="18" t="str">
        <x:v>MTG0089</x:v>
      </x:c>
      <x:c r="C354" s="18" t="str">
        <x:v>Strategy</x:v>
      </x:c>
      <x:c r="D354" s="21" t="str">
        <x:v>The employee follows the branch plan and maintains a dependable quarterly pipeline.</x:v>
      </x:c>
      <x:c r="E354" s="18" t="str">
        <x:v>MGR006</x:v>
      </x:c>
      <x:c r="F354" s="20" t="n">
        <x:v>46186.5</x:v>
      </x:c>
      <x:c r="G354" s="18" t="str">
        <x:v>Manager and employee</x:v>
      </x:c>
    </x:row>
    <x:row r="355" ht="15" hidden="0" customHeight="1">
      <x:c r="A355" s="18" t="str">
        <x:v>NOTE00354</x:v>
      </x:c>
      <x:c r="B355" s="18" t="str">
        <x:v>MTG0089</x:v>
      </x:c>
      <x:c r="C355" s="18" t="str">
        <x:v>Communication</x:v>
      </x:c>
      <x:c r="D355" s="21" t="str">
        <x:v>Communication with customers and internal partners meets expectations.</x:v>
      </x:c>
      <x:c r="E355" s="18" t="str">
        <x:v>MGR006</x:v>
      </x:c>
      <x:c r="F355" s="20" t="n">
        <x:v>46186.5</x:v>
      </x:c>
      <x:c r="G355" s="18" t="str">
        <x:v>Manager and employee</x:v>
      </x:c>
    </x:row>
    <x:row r="356" ht="15" hidden="0" customHeight="1">
      <x:c r="A356" s="18" t="str">
        <x:v>NOTE00355</x:v>
      </x:c>
      <x:c r="B356" s="18" t="str">
        <x:v>MTG0089</x:v>
      </x:c>
      <x:c r="C356" s="18" t="str">
        <x:v>Business knowledge</x:v>
      </x:c>
      <x:c r="D356" s="21" t="str">
        <x:v>The employee applies standard loan policy and product knowledge effectively.</x:v>
      </x:c>
      <x:c r="E356" s="18" t="str">
        <x:v>MGR006</x:v>
      </x:c>
      <x:c r="F356" s="20" t="n">
        <x:v>46186.5</x:v>
      </x:c>
      <x:c r="G356" s="18" t="str">
        <x:v>Manager and employee</x:v>
      </x:c>
    </x:row>
    <x:row r="357" ht="24" hidden="0" customHeight="1">
      <x:c r="A357" s="18" t="str">
        <x:v>NOTE00356</x:v>
      </x:c>
      <x:c r="B357" s="18" t="str">
        <x:v>MTG0089</x:v>
      </x:c>
      <x:c r="C357" s="18" t="str">
        <x:v>Career aspirations</x:v>
      </x:c>
      <x:c r="D357" s="21" t="str">
        <x:v>The employee plans to deepen lending expertise and take on a peer-support assignment.</x:v>
      </x:c>
      <x:c r="E357" s="18" t="str">
        <x:v>MGR006</x:v>
      </x:c>
      <x:c r="F357" s="20" t="n">
        <x:v>46187.5</x:v>
      </x:c>
      <x:c r="G357" s="18" t="str">
        <x:v>Restricted</x:v>
      </x:c>
    </x:row>
    <x:row r="358" ht="24" hidden="0" customHeight="1">
      <x:c r="A358" s="18" t="str">
        <x:v>NOTE00357</x:v>
      </x:c>
      <x:c r="B358" s="18" t="str">
        <x:v>MTG0090</x:v>
      </x:c>
      <x:c r="C358" s="18" t="str">
        <x:v>Strategy</x:v>
      </x:c>
      <x:c r="D358" s="21" t="str">
        <x:v>The employee needs a documented weekly pipeline plan and closer follow-through on agreed actions.</x:v>
      </x:c>
      <x:c r="E358" s="18" t="str">
        <x:v>MGR006</x:v>
      </x:c>
      <x:c r="F358" s="20" t="n">
        <x:v>46187.5</x:v>
      </x:c>
      <x:c r="G358" s="18" t="str">
        <x:v>Manager and employee</x:v>
      </x:c>
    </x:row>
    <x:row r="359" ht="24" hidden="0" customHeight="1">
      <x:c r="A359" s="18" t="str">
        <x:v>NOTE00358</x:v>
      </x:c>
      <x:c r="B359" s="18" t="str">
        <x:v>MTG0090</x:v>
      </x:c>
      <x:c r="C359" s="18" t="str">
        <x:v>Communication</x:v>
      </x:c>
      <x:c r="D359" s="21" t="str">
        <x:v>Customer and manager updates were inconsistent; the next quarter includes scheduled coaching and checkpoints.</x:v>
      </x:c>
      <x:c r="E359" s="18" t="str">
        <x:v>MGR006</x:v>
      </x:c>
      <x:c r="F359" s="20" t="n">
        <x:v>46187.5</x:v>
      </x:c>
      <x:c r="G359" s="18" t="str">
        <x:v>Manager and employee</x:v>
      </x:c>
    </x:row>
    <x:row r="360" ht="24" hidden="0" customHeight="1">
      <x:c r="A360" s="18" t="str">
        <x:v>NOTE00359</x:v>
      </x:c>
      <x:c r="B360" s="18" t="str">
        <x:v>MTG0090</x:v>
      </x:c>
      <x:c r="C360" s="18" t="str">
        <x:v>Business knowledge</x:v>
      </x:c>
      <x:c r="D360" s="21" t="str">
        <x:v>Additional training is required on lending policy, product fit, and documentation quality.</x:v>
      </x:c>
      <x:c r="E360" s="18" t="str">
        <x:v>MGR006</x:v>
      </x:c>
      <x:c r="F360" s="20" t="n">
        <x:v>46187.5</x:v>
      </x:c>
      <x:c r="G360" s="18" t="str">
        <x:v>Manager and employee</x:v>
      </x:c>
    </x:row>
    <x:row r="361" ht="24" hidden="0" customHeight="1">
      <x:c r="A361" s="18" t="str">
        <x:v>NOTE00360</x:v>
      </x:c>
      <x:c r="B361" s="18" t="str">
        <x:v>MTG0090</x:v>
      </x:c>
      <x:c r="C361" s="18" t="str">
        <x:v>Career aspirations</x:v>
      </x:c>
      <x:c r="D361" s="21" t="str">
        <x:v>The immediate priority is consistent role performance before pursuing broader responsibilities.</x:v>
      </x:c>
      <x:c r="E361" s="18" t="str">
        <x:v>MGR006</x:v>
      </x:c>
      <x:c r="F361" s="20" t="n">
        <x:v>46188.5</x:v>
      </x:c>
      <x:c r="G361" s="18" t="str">
        <x:v>Restricted</x:v>
      </x:c>
    </x:row>
    <x:row r="362" ht="24" hidden="0" customHeight="1">
      <x:c r="A362" s="18" t="str">
        <x:v>NOTE00361</x:v>
      </x:c>
      <x:c r="B362" s="18" t="str">
        <x:v>MTG0091</x:v>
      </x:c>
      <x:c r="C362" s="18" t="str">
        <x:v>Strategy</x:v>
      </x:c>
      <x:c r="D362" s="21" t="str">
        <x:v>The employee consistently outperforms plan and shares repeatable pipeline practices across the branch.</x:v>
      </x:c>
      <x:c r="E362" s="18" t="str">
        <x:v>MGR001</x:v>
      </x:c>
      <x:c r="F362" s="20" t="n">
        <x:v>46277.5</x:v>
      </x:c>
      <x:c r="G362" s="18" t="str">
        <x:v>Manager and employee</x:v>
      </x:c>
    </x:row>
    <x:row r="363" ht="15" hidden="0" customHeight="1">
      <x:c r="A363" s="18" t="str">
        <x:v>NOTE00362</x:v>
      </x:c>
      <x:c r="B363" s="18" t="str">
        <x:v>MTG0091</x:v>
      </x:c>
      <x:c r="C363" s="18" t="str">
        <x:v>Communication</x:v>
      </x:c>
      <x:c r="D363" s="21" t="str">
        <x:v>Communication is highly effective with customers, peers, and senior leaders.</x:v>
      </x:c>
      <x:c r="E363" s="18" t="str">
        <x:v>MGR001</x:v>
      </x:c>
      <x:c r="F363" s="20" t="n">
        <x:v>46277.5</x:v>
      </x:c>
      <x:c r="G363" s="18" t="str">
        <x:v>Manager and employee</x:v>
      </x:c>
    </x:row>
    <x:row r="364" ht="24" hidden="0" customHeight="1">
      <x:c r="A364" s="18" t="str">
        <x:v>NOTE00363</x:v>
      </x:c>
      <x:c r="B364" s="18" t="str">
        <x:v>MTG0091</x:v>
      </x:c>
      <x:c r="C364" s="18" t="str">
        <x:v>Business knowledge</x:v>
      </x:c>
      <x:c r="D364" s="21" t="str">
        <x:v>The employee demonstrates advanced lending knowledge and serves as a trusted branch resource.</x:v>
      </x:c>
      <x:c r="E364" s="18" t="str">
        <x:v>MGR001</x:v>
      </x:c>
      <x:c r="F364" s="20" t="n">
        <x:v>46277.5</x:v>
      </x:c>
      <x:c r="G364" s="18" t="str">
        <x:v>Manager and employee</x:v>
      </x:c>
    </x:row>
    <x:row r="365" ht="24" hidden="0" customHeight="1">
      <x:c r="A365" s="18" t="str">
        <x:v>NOTE00364</x:v>
      </x:c>
      <x:c r="B365" s="18" t="str">
        <x:v>MTG0091</x:v>
      </x:c>
      <x:c r="C365" s="18" t="str">
        <x:v>Career aspirations</x:v>
      </x:c>
      <x:c r="D365" s="21" t="str">
        <x:v>The employee is ready for stretch leadership assignments and promotion consideration.</x:v>
      </x:c>
      <x:c r="E365" s="18" t="str">
        <x:v>MGR001</x:v>
      </x:c>
      <x:c r="F365" s="20" t="n">
        <x:v>46278.5</x:v>
      </x:c>
      <x:c r="G365" s="18" t="str">
        <x:v>Restricted</x:v>
      </x:c>
    </x:row>
    <x:row r="366" ht="24" hidden="0" customHeight="1">
      <x:c r="A366" s="18" t="str">
        <x:v>NOTE00365</x:v>
      </x:c>
      <x:c r="B366" s="18" t="str">
        <x:v>MTG0092</x:v>
      </x:c>
      <x:c r="C366" s="18" t="str">
        <x:v>Strategy</x:v>
      </x:c>
      <x:c r="D366" s="21" t="str">
        <x:v>The employee exceeds the expected pipeline plan and adapts outreach based on market conditions.</x:v>
      </x:c>
      <x:c r="E366" s="18" t="str">
        <x:v>MGR001</x:v>
      </x:c>
      <x:c r="F366" s="20" t="n">
        <x:v>46278.5</x:v>
      </x:c>
      <x:c r="G366" s="18" t="str">
        <x:v>Manager and employee</x:v>
      </x:c>
    </x:row>
    <x:row r="367" ht="24" hidden="0" customHeight="1">
      <x:c r="A367" s="18" t="str">
        <x:v>NOTE00366</x:v>
      </x:c>
      <x:c r="B367" s="18" t="str">
        <x:v>MTG0092</x:v>
      </x:c>
      <x:c r="C367" s="18" t="str">
        <x:v>Communication</x:v>
      </x:c>
      <x:c r="D367" s="21" t="str">
        <x:v>Communication is proactive and helps resolve customer and processing issues quickly.</x:v>
      </x:c>
      <x:c r="E367" s="18" t="str">
        <x:v>MGR001</x:v>
      </x:c>
      <x:c r="F367" s="20" t="n">
        <x:v>46278.5</x:v>
      </x:c>
      <x:c r="G367" s="18" t="str">
        <x:v>Manager and employee</x:v>
      </x:c>
    </x:row>
    <x:row r="368" ht="24" hidden="0" customHeight="1">
      <x:c r="A368" s="18" t="str">
        <x:v>NOTE00367</x:v>
      </x:c>
      <x:c r="B368" s="18" t="str">
        <x:v>MTG0092</x:v>
      </x:c>
      <x:c r="C368" s="18" t="str">
        <x:v>Business knowledge</x:v>
      </x:c>
      <x:c r="D368" s="21" t="str">
        <x:v>Strong product and policy knowledge supports sound recommendations and peer coaching.</x:v>
      </x:c>
      <x:c r="E368" s="18" t="str">
        <x:v>MGR001</x:v>
      </x:c>
      <x:c r="F368" s="20" t="n">
        <x:v>46278.5</x:v>
      </x:c>
      <x:c r="G368" s="18" t="str">
        <x:v>Manager and employee</x:v>
      </x:c>
    </x:row>
    <x:row r="369" ht="24" hidden="0" customHeight="1">
      <x:c r="A369" s="18" t="str">
        <x:v>NOTE00368</x:v>
      </x:c>
      <x:c r="B369" s="18" t="str">
        <x:v>MTG0092</x:v>
      </x:c>
      <x:c r="C369" s="18" t="str">
        <x:v>Career aspirations</x:v>
      </x:c>
      <x:c r="D369" s="21" t="str">
        <x:v>The employee is preparing for leadership exposure through mentoring and project ownership.</x:v>
      </x:c>
      <x:c r="E369" s="18" t="str">
        <x:v>MGR001</x:v>
      </x:c>
      <x:c r="F369" s="20" t="n">
        <x:v>46279.5</x:v>
      </x:c>
      <x:c r="G369" s="18" t="str">
        <x:v>Restricted</x:v>
      </x:c>
    </x:row>
    <x:row r="370" ht="24" hidden="0" customHeight="1">
      <x:c r="A370" s="18" t="str">
        <x:v>NOTE00369</x:v>
      </x:c>
      <x:c r="B370" s="18" t="str">
        <x:v>MTG0093</x:v>
      </x:c>
      <x:c r="C370" s="18" t="str">
        <x:v>Strategy</x:v>
      </x:c>
      <x:c r="D370" s="21" t="str">
        <x:v>The employee follows the branch plan and maintains a dependable quarterly pipeline.</x:v>
      </x:c>
      <x:c r="E370" s="18" t="str">
        <x:v>MGR001</x:v>
      </x:c>
      <x:c r="F370" s="20" t="n">
        <x:v>46279.5</x:v>
      </x:c>
      <x:c r="G370" s="18" t="str">
        <x:v>Manager and employee</x:v>
      </x:c>
    </x:row>
    <x:row r="371" ht="15" hidden="0" customHeight="1">
      <x:c r="A371" s="18" t="str">
        <x:v>NOTE00370</x:v>
      </x:c>
      <x:c r="B371" s="18" t="str">
        <x:v>MTG0093</x:v>
      </x:c>
      <x:c r="C371" s="18" t="str">
        <x:v>Communication</x:v>
      </x:c>
      <x:c r="D371" s="21" t="str">
        <x:v>Communication with customers and internal partners meets expectations.</x:v>
      </x:c>
      <x:c r="E371" s="18" t="str">
        <x:v>MGR001</x:v>
      </x:c>
      <x:c r="F371" s="20" t="n">
        <x:v>46279.5</x:v>
      </x:c>
      <x:c r="G371" s="18" t="str">
        <x:v>Manager and employee</x:v>
      </x:c>
    </x:row>
    <x:row r="372" ht="15" hidden="0" customHeight="1">
      <x:c r="A372" s="18" t="str">
        <x:v>NOTE00371</x:v>
      </x:c>
      <x:c r="B372" s="18" t="str">
        <x:v>MTG0093</x:v>
      </x:c>
      <x:c r="C372" s="18" t="str">
        <x:v>Business knowledge</x:v>
      </x:c>
      <x:c r="D372" s="21" t="str">
        <x:v>The employee applies standard loan policy and product knowledge effectively.</x:v>
      </x:c>
      <x:c r="E372" s="18" t="str">
        <x:v>MGR001</x:v>
      </x:c>
      <x:c r="F372" s="20" t="n">
        <x:v>46279.5</x:v>
      </x:c>
      <x:c r="G372" s="18" t="str">
        <x:v>Manager and employee</x:v>
      </x:c>
    </x:row>
    <x:row r="373" ht="24" hidden="0" customHeight="1">
      <x:c r="A373" s="18" t="str">
        <x:v>NOTE00372</x:v>
      </x:c>
      <x:c r="B373" s="18" t="str">
        <x:v>MTG0093</x:v>
      </x:c>
      <x:c r="C373" s="18" t="str">
        <x:v>Career aspirations</x:v>
      </x:c>
      <x:c r="D373" s="21" t="str">
        <x:v>The employee plans to deepen lending expertise and take on a peer-support assignment.</x:v>
      </x:c>
      <x:c r="E373" s="18" t="str">
        <x:v>MGR001</x:v>
      </x:c>
      <x:c r="F373" s="20" t="n">
        <x:v>46280.5</x:v>
      </x:c>
      <x:c r="G373" s="18" t="str">
        <x:v>Restricted</x:v>
      </x:c>
    </x:row>
    <x:row r="374" ht="24" hidden="0" customHeight="1">
      <x:c r="A374" s="18" t="str">
        <x:v>NOTE00373</x:v>
      </x:c>
      <x:c r="B374" s="18" t="str">
        <x:v>MTG0094</x:v>
      </x:c>
      <x:c r="C374" s="18" t="str">
        <x:v>Strategy</x:v>
      </x:c>
      <x:c r="D374" s="21" t="str">
        <x:v>The employee has a workable plan but needs more consistent prospecting and pipeline conversion.</x:v>
      </x:c>
      <x:c r="E374" s="18" t="str">
        <x:v>MGR002</x:v>
      </x:c>
      <x:c r="F374" s="20" t="n">
        <x:v>46280.5</x:v>
      </x:c>
      <x:c r="G374" s="18" t="str">
        <x:v>Manager and employee</x:v>
      </x:c>
    </x:row>
    <x:row r="375" ht="24" hidden="0" customHeight="1">
      <x:c r="A375" s="18" t="str">
        <x:v>NOTE00374</x:v>
      </x:c>
      <x:c r="B375" s="18" t="str">
        <x:v>MTG0094</x:v>
      </x:c>
      <x:c r="C375" s="18" t="str">
        <x:v>Communication</x:v>
      </x:c>
      <x:c r="D375" s="21" t="str">
        <x:v>Routine communication is adequate; earlier escalation of stalled applications is needed.</x:v>
      </x:c>
      <x:c r="E375" s="18" t="str">
        <x:v>MGR002</x:v>
      </x:c>
      <x:c r="F375" s="20" t="n">
        <x:v>46280.5</x:v>
      </x:c>
      <x:c r="G375" s="18" t="str">
        <x:v>Manager and employee</x:v>
      </x:c>
    </x:row>
    <x:row r="376" ht="24" hidden="0" customHeight="1">
      <x:c r="A376" s="18" t="str">
        <x:v>NOTE00375</x:v>
      </x:c>
      <x:c r="B376" s="18" t="str">
        <x:v>MTG0094</x:v>
      </x:c>
      <x:c r="C376" s="18" t="str">
        <x:v>Business knowledge</x:v>
      </x:c>
      <x:c r="D376" s="21" t="str">
        <x:v>Core product knowledge is developing, with targeted coaching assigned for complex cases.</x:v>
      </x:c>
      <x:c r="E376" s="18" t="str">
        <x:v>MGR002</x:v>
      </x:c>
      <x:c r="F376" s="20" t="n">
        <x:v>46280.5</x:v>
      </x:c>
      <x:c r="G376" s="18" t="str">
        <x:v>Manager and employee</x:v>
      </x:c>
    </x:row>
    <x:row r="377" ht="24" hidden="0" customHeight="1">
      <x:c r="A377" s="18" t="str">
        <x:v>NOTE00376</x:v>
      </x:c>
      <x:c r="B377" s="18" t="str">
        <x:v>MTG0094</x:v>
      </x:c>
      <x:c r="C377" s="18" t="str">
        <x:v>Career aspirations</x:v>
      </x:c>
      <x:c r="D377" s="21" t="str">
        <x:v>The employee wants broader customer exposure while strengthening current-role consistency.</x:v>
      </x:c>
      <x:c r="E377" s="18" t="str">
        <x:v>MGR002</x:v>
      </x:c>
      <x:c r="F377" s="20" t="n">
        <x:v>46281.5</x:v>
      </x:c>
      <x:c r="G377" s="18" t="str">
        <x:v>Restricted</x:v>
      </x:c>
    </x:row>
    <x:row r="378" ht="24" hidden="0" customHeight="1">
      <x:c r="A378" s="18" t="str">
        <x:v>NOTE00377</x:v>
      </x:c>
      <x:c r="B378" s="18" t="str">
        <x:v>MTG0095</x:v>
      </x:c>
      <x:c r="C378" s="18" t="str">
        <x:v>Strategy</x:v>
      </x:c>
      <x:c r="D378" s="21" t="str">
        <x:v>The employee exceeds the expected pipeline plan and adapts outreach based on market conditions.</x:v>
      </x:c>
      <x:c r="E378" s="18" t="str">
        <x:v>MGR002</x:v>
      </x:c>
      <x:c r="F378" s="20" t="n">
        <x:v>46281.5</x:v>
      </x:c>
      <x:c r="G378" s="18" t="str">
        <x:v>Manager and employee</x:v>
      </x:c>
    </x:row>
    <x:row r="379" ht="24" hidden="0" customHeight="1">
      <x:c r="A379" s="18" t="str">
        <x:v>NOTE00378</x:v>
      </x:c>
      <x:c r="B379" s="18" t="str">
        <x:v>MTG0095</x:v>
      </x:c>
      <x:c r="C379" s="18" t="str">
        <x:v>Communication</x:v>
      </x:c>
      <x:c r="D379" s="21" t="str">
        <x:v>Communication is proactive and helps resolve customer and processing issues quickly.</x:v>
      </x:c>
      <x:c r="E379" s="18" t="str">
        <x:v>MGR002</x:v>
      </x:c>
      <x:c r="F379" s="20" t="n">
        <x:v>46281.5</x:v>
      </x:c>
      <x:c r="G379" s="18" t="str">
        <x:v>Manager and employee</x:v>
      </x:c>
    </x:row>
    <x:row r="380" ht="24" hidden="0" customHeight="1">
      <x:c r="A380" s="18" t="str">
        <x:v>NOTE00379</x:v>
      </x:c>
      <x:c r="B380" s="18" t="str">
        <x:v>MTG0095</x:v>
      </x:c>
      <x:c r="C380" s="18" t="str">
        <x:v>Business knowledge</x:v>
      </x:c>
      <x:c r="D380" s="21" t="str">
        <x:v>Strong product and policy knowledge supports sound recommendations and peer coaching.</x:v>
      </x:c>
      <x:c r="E380" s="18" t="str">
        <x:v>MGR002</x:v>
      </x:c>
      <x:c r="F380" s="20" t="n">
        <x:v>46281.5</x:v>
      </x:c>
      <x:c r="G380" s="18" t="str">
        <x:v>Manager and employee</x:v>
      </x:c>
    </x:row>
    <x:row r="381" ht="24" hidden="0" customHeight="1">
      <x:c r="A381" s="18" t="str">
        <x:v>NOTE00380</x:v>
      </x:c>
      <x:c r="B381" s="18" t="str">
        <x:v>MTG0095</x:v>
      </x:c>
      <x:c r="C381" s="18" t="str">
        <x:v>Career aspirations</x:v>
      </x:c>
      <x:c r="D381" s="21" t="str">
        <x:v>The employee is preparing for leadership exposure through mentoring and project ownership.</x:v>
      </x:c>
      <x:c r="E381" s="18" t="str">
        <x:v>MGR002</x:v>
      </x:c>
      <x:c r="F381" s="20" t="n">
        <x:v>46282.5</x:v>
      </x:c>
      <x:c r="G381" s="18" t="str">
        <x:v>Restricted</x:v>
      </x:c>
    </x:row>
    <x:row r="382" ht="24" hidden="0" customHeight="1">
      <x:c r="A382" s="18" t="str">
        <x:v>NOTE00381</x:v>
      </x:c>
      <x:c r="B382" s="18" t="str">
        <x:v>MTG0096</x:v>
      </x:c>
      <x:c r="C382" s="18" t="str">
        <x:v>Strategy</x:v>
      </x:c>
      <x:c r="D382" s="21" t="str">
        <x:v>The employee exceeds the expected pipeline plan and adapts outreach based on market conditions.</x:v>
      </x:c>
      <x:c r="E382" s="18" t="str">
        <x:v>MGR002</x:v>
      </x:c>
      <x:c r="F382" s="20" t="n">
        <x:v>46282.5</x:v>
      </x:c>
      <x:c r="G382" s="18" t="str">
        <x:v>Manager and employee</x:v>
      </x:c>
    </x:row>
    <x:row r="383" ht="24" hidden="0" customHeight="1">
      <x:c r="A383" s="18" t="str">
        <x:v>NOTE00382</x:v>
      </x:c>
      <x:c r="B383" s="18" t="str">
        <x:v>MTG0096</x:v>
      </x:c>
      <x:c r="C383" s="18" t="str">
        <x:v>Communication</x:v>
      </x:c>
      <x:c r="D383" s="21" t="str">
        <x:v>Communication is proactive and helps resolve customer and processing issues quickly.</x:v>
      </x:c>
      <x:c r="E383" s="18" t="str">
        <x:v>MGR002</x:v>
      </x:c>
      <x:c r="F383" s="20" t="n">
        <x:v>46282.5</x:v>
      </x:c>
      <x:c r="G383" s="18" t="str">
        <x:v>Manager and employee</x:v>
      </x:c>
    </x:row>
    <x:row r="384" ht="24" hidden="0" customHeight="1">
      <x:c r="A384" s="18" t="str">
        <x:v>NOTE00383</x:v>
      </x:c>
      <x:c r="B384" s="18" t="str">
        <x:v>MTG0096</x:v>
      </x:c>
      <x:c r="C384" s="18" t="str">
        <x:v>Business knowledge</x:v>
      </x:c>
      <x:c r="D384" s="21" t="str">
        <x:v>Strong product and policy knowledge supports sound recommendations and peer coaching.</x:v>
      </x:c>
      <x:c r="E384" s="18" t="str">
        <x:v>MGR002</x:v>
      </x:c>
      <x:c r="F384" s="20" t="n">
        <x:v>46282.5</x:v>
      </x:c>
      <x:c r="G384" s="18" t="str">
        <x:v>Manager and employee</x:v>
      </x:c>
    </x:row>
    <x:row r="385" ht="24" hidden="0" customHeight="1">
      <x:c r="A385" s="18" t="str">
        <x:v>NOTE00384</x:v>
      </x:c>
      <x:c r="B385" s="18" t="str">
        <x:v>MTG0096</x:v>
      </x:c>
      <x:c r="C385" s="18" t="str">
        <x:v>Career aspirations</x:v>
      </x:c>
      <x:c r="D385" s="21" t="str">
        <x:v>The employee is preparing for leadership exposure through mentoring and project ownership.</x:v>
      </x:c>
      <x:c r="E385" s="18" t="str">
        <x:v>MGR002</x:v>
      </x:c>
      <x:c r="F385" s="20" t="n">
        <x:v>46283.5</x:v>
      </x:c>
      <x:c r="G385" s="18" t="str">
        <x:v>Restricted</x:v>
      </x:c>
    </x:row>
    <x:row r="386" ht="24" hidden="0" customHeight="1">
      <x:c r="A386" s="18" t="str">
        <x:v>NOTE00385</x:v>
      </x:c>
      <x:c r="B386" s="18" t="str">
        <x:v>MTG0097</x:v>
      </x:c>
      <x:c r="C386" s="18" t="str">
        <x:v>Strategy</x:v>
      </x:c>
      <x:c r="D386" s="21" t="str">
        <x:v>The employee has a workable plan but needs more consistent prospecting and pipeline conversion.</x:v>
      </x:c>
      <x:c r="E386" s="18" t="str">
        <x:v>MGR003</x:v>
      </x:c>
      <x:c r="F386" s="20" t="n">
        <x:v>46283.5</x:v>
      </x:c>
      <x:c r="G386" s="18" t="str">
        <x:v>Manager and employee</x:v>
      </x:c>
    </x:row>
    <x:row r="387" ht="24" hidden="0" customHeight="1">
      <x:c r="A387" s="18" t="str">
        <x:v>NOTE00386</x:v>
      </x:c>
      <x:c r="B387" s="18" t="str">
        <x:v>MTG0097</x:v>
      </x:c>
      <x:c r="C387" s="18" t="str">
        <x:v>Communication</x:v>
      </x:c>
      <x:c r="D387" s="21" t="str">
        <x:v>Routine communication is adequate; earlier escalation of stalled applications is needed.</x:v>
      </x:c>
      <x:c r="E387" s="18" t="str">
        <x:v>MGR003</x:v>
      </x:c>
      <x:c r="F387" s="20" t="n">
        <x:v>46283.5</x:v>
      </x:c>
      <x:c r="G387" s="18" t="str">
        <x:v>Manager and employee</x:v>
      </x:c>
    </x:row>
    <x:row r="388" ht="24" hidden="0" customHeight="1">
      <x:c r="A388" s="18" t="str">
        <x:v>NOTE00387</x:v>
      </x:c>
      <x:c r="B388" s="18" t="str">
        <x:v>MTG0097</x:v>
      </x:c>
      <x:c r="C388" s="18" t="str">
        <x:v>Business knowledge</x:v>
      </x:c>
      <x:c r="D388" s="21" t="str">
        <x:v>Core product knowledge is developing, with targeted coaching assigned for complex cases.</x:v>
      </x:c>
      <x:c r="E388" s="18" t="str">
        <x:v>MGR003</x:v>
      </x:c>
      <x:c r="F388" s="20" t="n">
        <x:v>46283.5</x:v>
      </x:c>
      <x:c r="G388" s="18" t="str">
        <x:v>Manager and employee</x:v>
      </x:c>
    </x:row>
    <x:row r="389" ht="24" hidden="0" customHeight="1">
      <x:c r="A389" s="18" t="str">
        <x:v>NOTE00388</x:v>
      </x:c>
      <x:c r="B389" s="18" t="str">
        <x:v>MTG0097</x:v>
      </x:c>
      <x:c r="C389" s="18" t="str">
        <x:v>Career aspirations</x:v>
      </x:c>
      <x:c r="D389" s="21" t="str">
        <x:v>The employee wants broader customer exposure while strengthening current-role consistency.</x:v>
      </x:c>
      <x:c r="E389" s="18" t="str">
        <x:v>MGR003</x:v>
      </x:c>
      <x:c r="F389" s="20" t="n">
        <x:v>46284.5</x:v>
      </x:c>
      <x:c r="G389" s="18" t="str">
        <x:v>Restricted</x:v>
      </x:c>
    </x:row>
    <x:row r="390" ht="24" hidden="0" customHeight="1">
      <x:c r="A390" s="18" t="str">
        <x:v>NOTE00389</x:v>
      </x:c>
      <x:c r="B390" s="18" t="str">
        <x:v>MTG0098</x:v>
      </x:c>
      <x:c r="C390" s="18" t="str">
        <x:v>Strategy</x:v>
      </x:c>
      <x:c r="D390" s="21" t="str">
        <x:v>The employee needs a documented weekly pipeline plan and closer follow-through on agreed actions.</x:v>
      </x:c>
      <x:c r="E390" s="18" t="str">
        <x:v>MGR003</x:v>
      </x:c>
      <x:c r="F390" s="20" t="n">
        <x:v>46284.5</x:v>
      </x:c>
      <x:c r="G390" s="18" t="str">
        <x:v>Manager and employee</x:v>
      </x:c>
    </x:row>
    <x:row r="391" ht="24" hidden="0" customHeight="1">
      <x:c r="A391" s="18" t="str">
        <x:v>NOTE00390</x:v>
      </x:c>
      <x:c r="B391" s="18" t="str">
        <x:v>MTG0098</x:v>
      </x:c>
      <x:c r="C391" s="18" t="str">
        <x:v>Communication</x:v>
      </x:c>
      <x:c r="D391" s="21" t="str">
        <x:v>Customer and manager updates were inconsistent; the next quarter includes scheduled coaching and checkpoints.</x:v>
      </x:c>
      <x:c r="E391" s="18" t="str">
        <x:v>MGR003</x:v>
      </x:c>
      <x:c r="F391" s="20" t="n">
        <x:v>46284.5</x:v>
      </x:c>
      <x:c r="G391" s="18" t="str">
        <x:v>Manager and employee</x:v>
      </x:c>
    </x:row>
    <x:row r="392" ht="24" hidden="0" customHeight="1">
      <x:c r="A392" s="18" t="str">
        <x:v>NOTE00391</x:v>
      </x:c>
      <x:c r="B392" s="18" t="str">
        <x:v>MTG0098</x:v>
      </x:c>
      <x:c r="C392" s="18" t="str">
        <x:v>Business knowledge</x:v>
      </x:c>
      <x:c r="D392" s="21" t="str">
        <x:v>Additional training is required on lending policy, product fit, and documentation quality.</x:v>
      </x:c>
      <x:c r="E392" s="18" t="str">
        <x:v>MGR003</x:v>
      </x:c>
      <x:c r="F392" s="20" t="n">
        <x:v>46284.5</x:v>
      </x:c>
      <x:c r="G392" s="18" t="str">
        <x:v>Manager and employee</x:v>
      </x:c>
    </x:row>
    <x:row r="393" ht="24" hidden="0" customHeight="1">
      <x:c r="A393" s="18" t="str">
        <x:v>NOTE00392</x:v>
      </x:c>
      <x:c r="B393" s="18" t="str">
        <x:v>MTG0098</x:v>
      </x:c>
      <x:c r="C393" s="18" t="str">
        <x:v>Career aspirations</x:v>
      </x:c>
      <x:c r="D393" s="21" t="str">
        <x:v>The immediate priority is consistent role performance before pursuing broader responsibilities.</x:v>
      </x:c>
      <x:c r="E393" s="18" t="str">
        <x:v>MGR003</x:v>
      </x:c>
      <x:c r="F393" s="20" t="n">
        <x:v>46285.5</x:v>
      </x:c>
      <x:c r="G393" s="18" t="str">
        <x:v>Restricted</x:v>
      </x:c>
    </x:row>
    <x:row r="394" ht="24" hidden="0" customHeight="1">
      <x:c r="A394" s="18" t="str">
        <x:v>NOTE00393</x:v>
      </x:c>
      <x:c r="B394" s="18" t="str">
        <x:v>MTG0099</x:v>
      </x:c>
      <x:c r="C394" s="18" t="str">
        <x:v>Strategy</x:v>
      </x:c>
      <x:c r="D394" s="21" t="str">
        <x:v>The employee consistently outperforms plan and shares repeatable pipeline practices across the branch.</x:v>
      </x:c>
      <x:c r="E394" s="18" t="str">
        <x:v>MGR004</x:v>
      </x:c>
      <x:c r="F394" s="20" t="n">
        <x:v>46285.5</x:v>
      </x:c>
      <x:c r="G394" s="18" t="str">
        <x:v>Manager and employee</x:v>
      </x:c>
    </x:row>
    <x:row r="395" ht="15" hidden="0" customHeight="1">
      <x:c r="A395" s="18" t="str">
        <x:v>NOTE00394</x:v>
      </x:c>
      <x:c r="B395" s="18" t="str">
        <x:v>MTG0099</x:v>
      </x:c>
      <x:c r="C395" s="18" t="str">
        <x:v>Communication</x:v>
      </x:c>
      <x:c r="D395" s="21" t="str">
        <x:v>Communication is highly effective with customers, peers, and senior leaders.</x:v>
      </x:c>
      <x:c r="E395" s="18" t="str">
        <x:v>MGR004</x:v>
      </x:c>
      <x:c r="F395" s="20" t="n">
        <x:v>46285.5</x:v>
      </x:c>
      <x:c r="G395" s="18" t="str">
        <x:v>Manager and employee</x:v>
      </x:c>
    </x:row>
    <x:row r="396" ht="24" hidden="0" customHeight="1">
      <x:c r="A396" s="18" t="str">
        <x:v>NOTE00395</x:v>
      </x:c>
      <x:c r="B396" s="18" t="str">
        <x:v>MTG0099</x:v>
      </x:c>
      <x:c r="C396" s="18" t="str">
        <x:v>Business knowledge</x:v>
      </x:c>
      <x:c r="D396" s="21" t="str">
        <x:v>The employee demonstrates advanced lending knowledge and serves as a trusted branch resource.</x:v>
      </x:c>
      <x:c r="E396" s="18" t="str">
        <x:v>MGR004</x:v>
      </x:c>
      <x:c r="F396" s="20" t="n">
        <x:v>46285.5</x:v>
      </x:c>
      <x:c r="G396" s="18" t="str">
        <x:v>Manager and employee</x:v>
      </x:c>
    </x:row>
    <x:row r="397" ht="24" hidden="0" customHeight="1">
      <x:c r="A397" s="18" t="str">
        <x:v>NOTE00396</x:v>
      </x:c>
      <x:c r="B397" s="18" t="str">
        <x:v>MTG0099</x:v>
      </x:c>
      <x:c r="C397" s="18" t="str">
        <x:v>Career aspirations</x:v>
      </x:c>
      <x:c r="D397" s="21" t="str">
        <x:v>The employee is ready for stretch leadership assignments and promotion consideration.</x:v>
      </x:c>
      <x:c r="E397" s="18" t="str">
        <x:v>MGR004</x:v>
      </x:c>
      <x:c r="F397" s="20" t="n">
        <x:v>46286.5</x:v>
      </x:c>
      <x:c r="G397" s="18" t="str">
        <x:v>Restricted</x:v>
      </x:c>
    </x:row>
    <x:row r="398" ht="24" hidden="0" customHeight="1">
      <x:c r="A398" s="18" t="str">
        <x:v>NOTE00397</x:v>
      </x:c>
      <x:c r="B398" s="18" t="str">
        <x:v>MTG0100</x:v>
      </x:c>
      <x:c r="C398" s="18" t="str">
        <x:v>Strategy</x:v>
      </x:c>
      <x:c r="D398" s="21" t="str">
        <x:v>The employee exceeds the expected pipeline plan and adapts outreach based on market conditions.</x:v>
      </x:c>
      <x:c r="E398" s="18" t="str">
        <x:v>MGR004</x:v>
      </x:c>
      <x:c r="F398" s="20" t="n">
        <x:v>46286.5</x:v>
      </x:c>
      <x:c r="G398" s="18" t="str">
        <x:v>Manager and employee</x:v>
      </x:c>
    </x:row>
    <x:row r="399" ht="24" hidden="0" customHeight="1">
      <x:c r="A399" s="18" t="str">
        <x:v>NOTE00398</x:v>
      </x:c>
      <x:c r="B399" s="18" t="str">
        <x:v>MTG0100</x:v>
      </x:c>
      <x:c r="C399" s="18" t="str">
        <x:v>Communication</x:v>
      </x:c>
      <x:c r="D399" s="21" t="str">
        <x:v>Communication is proactive and helps resolve customer and processing issues quickly.</x:v>
      </x:c>
      <x:c r="E399" s="18" t="str">
        <x:v>MGR004</x:v>
      </x:c>
      <x:c r="F399" s="20" t="n">
        <x:v>46286.5</x:v>
      </x:c>
      <x:c r="G399" s="18" t="str">
        <x:v>Manager and employee</x:v>
      </x:c>
    </x:row>
    <x:row r="400" ht="24" hidden="0" customHeight="1">
      <x:c r="A400" s="18" t="str">
        <x:v>NOTE00399</x:v>
      </x:c>
      <x:c r="B400" s="18" t="str">
        <x:v>MTG0100</x:v>
      </x:c>
      <x:c r="C400" s="18" t="str">
        <x:v>Business knowledge</x:v>
      </x:c>
      <x:c r="D400" s="21" t="str">
        <x:v>Strong product and policy knowledge supports sound recommendations and peer coaching.</x:v>
      </x:c>
      <x:c r="E400" s="18" t="str">
        <x:v>MGR004</x:v>
      </x:c>
      <x:c r="F400" s="20" t="n">
        <x:v>46286.5</x:v>
      </x:c>
      <x:c r="G400" s="18" t="str">
        <x:v>Manager and employee</x:v>
      </x:c>
    </x:row>
    <x:row r="401" ht="24" hidden="0" customHeight="1">
      <x:c r="A401" s="18" t="str">
        <x:v>NOTE00400</x:v>
      </x:c>
      <x:c r="B401" s="18" t="str">
        <x:v>MTG0100</x:v>
      </x:c>
      <x:c r="C401" s="18" t="str">
        <x:v>Career aspirations</x:v>
      </x:c>
      <x:c r="D401" s="21" t="str">
        <x:v>The employee is preparing for leadership exposure through mentoring and project ownership.</x:v>
      </x:c>
      <x:c r="E401" s="18" t="str">
        <x:v>MGR004</x:v>
      </x:c>
      <x:c r="F401" s="20" t="n">
        <x:v>46287.5</x:v>
      </x:c>
      <x:c r="G401" s="18" t="str">
        <x:v>Restricted</x:v>
      </x:c>
    </x:row>
    <x:row r="402" ht="24" hidden="0" customHeight="1">
      <x:c r="A402" s="18" t="str">
        <x:v>NOTE00401</x:v>
      </x:c>
      <x:c r="B402" s="18" t="str">
        <x:v>MTG0101</x:v>
      </x:c>
      <x:c r="C402" s="18" t="str">
        <x:v>Strategy</x:v>
      </x:c>
      <x:c r="D402" s="21" t="str">
        <x:v>The employee has a workable plan but needs more consistent prospecting and pipeline conversion.</x:v>
      </x:c>
      <x:c r="E402" s="18" t="str">
        <x:v>MGR004</x:v>
      </x:c>
      <x:c r="F402" s="20" t="n">
        <x:v>46287.5</x:v>
      </x:c>
      <x:c r="G402" s="18" t="str">
        <x:v>Manager and employee</x:v>
      </x:c>
    </x:row>
    <x:row r="403" ht="24" hidden="0" customHeight="1">
      <x:c r="A403" s="18" t="str">
        <x:v>NOTE00402</x:v>
      </x:c>
      <x:c r="B403" s="18" t="str">
        <x:v>MTG0101</x:v>
      </x:c>
      <x:c r="C403" s="18" t="str">
        <x:v>Communication</x:v>
      </x:c>
      <x:c r="D403" s="21" t="str">
        <x:v>Routine communication is adequate; earlier escalation of stalled applications is needed.</x:v>
      </x:c>
      <x:c r="E403" s="18" t="str">
        <x:v>MGR004</x:v>
      </x:c>
      <x:c r="F403" s="20" t="n">
        <x:v>46287.5</x:v>
      </x:c>
      <x:c r="G403" s="18" t="str">
        <x:v>Manager and employee</x:v>
      </x:c>
    </x:row>
    <x:row r="404" ht="24" hidden="0" customHeight="1">
      <x:c r="A404" s="18" t="str">
        <x:v>NOTE00403</x:v>
      </x:c>
      <x:c r="B404" s="18" t="str">
        <x:v>MTG0101</x:v>
      </x:c>
      <x:c r="C404" s="18" t="str">
        <x:v>Business knowledge</x:v>
      </x:c>
      <x:c r="D404" s="21" t="str">
        <x:v>Core product knowledge is developing, with targeted coaching assigned for complex cases.</x:v>
      </x:c>
      <x:c r="E404" s="18" t="str">
        <x:v>MGR004</x:v>
      </x:c>
      <x:c r="F404" s="20" t="n">
        <x:v>46287.5</x:v>
      </x:c>
      <x:c r="G404" s="18" t="str">
        <x:v>Manager and employee</x:v>
      </x:c>
    </x:row>
    <x:row r="405" ht="24" hidden="0" customHeight="1">
      <x:c r="A405" s="18" t="str">
        <x:v>NOTE00404</x:v>
      </x:c>
      <x:c r="B405" s="18" t="str">
        <x:v>MTG0101</x:v>
      </x:c>
      <x:c r="C405" s="18" t="str">
        <x:v>Career aspirations</x:v>
      </x:c>
      <x:c r="D405" s="21" t="str">
        <x:v>The employee wants broader customer exposure while strengthening current-role consistency.</x:v>
      </x:c>
      <x:c r="E405" s="18" t="str">
        <x:v>MGR004</x:v>
      </x:c>
      <x:c r="F405" s="20" t="n">
        <x:v>46288.5</x:v>
      </x:c>
      <x:c r="G405" s="18" t="str">
        <x:v>Restricted</x:v>
      </x:c>
    </x:row>
    <x:row r="406" ht="24" hidden="0" customHeight="1">
      <x:c r="A406" s="18" t="str">
        <x:v>NOTE00405</x:v>
      </x:c>
      <x:c r="B406" s="18" t="str">
        <x:v>MTG0102</x:v>
      </x:c>
      <x:c r="C406" s="18" t="str">
        <x:v>Strategy</x:v>
      </x:c>
      <x:c r="D406" s="21" t="str">
        <x:v>The employee follows the branch plan and maintains a dependable quarterly pipeline.</x:v>
      </x:c>
      <x:c r="E406" s="18" t="str">
        <x:v>MGR005</x:v>
      </x:c>
      <x:c r="F406" s="20" t="n">
        <x:v>46288.5</x:v>
      </x:c>
      <x:c r="G406" s="18" t="str">
        <x:v>Manager and employee</x:v>
      </x:c>
    </x:row>
    <x:row r="407" ht="15" hidden="0" customHeight="1">
      <x:c r="A407" s="18" t="str">
        <x:v>NOTE00406</x:v>
      </x:c>
      <x:c r="B407" s="18" t="str">
        <x:v>MTG0102</x:v>
      </x:c>
      <x:c r="C407" s="18" t="str">
        <x:v>Communication</x:v>
      </x:c>
      <x:c r="D407" s="21" t="str">
        <x:v>Communication with customers and internal partners meets expectations.</x:v>
      </x:c>
      <x:c r="E407" s="18" t="str">
        <x:v>MGR005</x:v>
      </x:c>
      <x:c r="F407" s="20" t="n">
        <x:v>46288.5</x:v>
      </x:c>
      <x:c r="G407" s="18" t="str">
        <x:v>Manager and employee</x:v>
      </x:c>
    </x:row>
    <x:row r="408" ht="15" hidden="0" customHeight="1">
      <x:c r="A408" s="18" t="str">
        <x:v>NOTE00407</x:v>
      </x:c>
      <x:c r="B408" s="18" t="str">
        <x:v>MTG0102</x:v>
      </x:c>
      <x:c r="C408" s="18" t="str">
        <x:v>Business knowledge</x:v>
      </x:c>
      <x:c r="D408" s="21" t="str">
        <x:v>The employee applies standard loan policy and product knowledge effectively.</x:v>
      </x:c>
      <x:c r="E408" s="18" t="str">
        <x:v>MGR005</x:v>
      </x:c>
      <x:c r="F408" s="20" t="n">
        <x:v>46288.5</x:v>
      </x:c>
      <x:c r="G408" s="18" t="str">
        <x:v>Manager and employee</x:v>
      </x:c>
    </x:row>
    <x:row r="409" ht="24" hidden="0" customHeight="1">
      <x:c r="A409" s="18" t="str">
        <x:v>NOTE00408</x:v>
      </x:c>
      <x:c r="B409" s="18" t="str">
        <x:v>MTG0102</x:v>
      </x:c>
      <x:c r="C409" s="18" t="str">
        <x:v>Career aspirations</x:v>
      </x:c>
      <x:c r="D409" s="21" t="str">
        <x:v>The employee plans to deepen lending expertise and take on a peer-support assignment.</x:v>
      </x:c>
      <x:c r="E409" s="18" t="str">
        <x:v>MGR005</x:v>
      </x:c>
      <x:c r="F409" s="20" t="n">
        <x:v>46289.5</x:v>
      </x:c>
      <x:c r="G409" s="18" t="str">
        <x:v>Restricted</x:v>
      </x:c>
    </x:row>
    <x:row r="410" ht="24" hidden="0" customHeight="1">
      <x:c r="A410" s="18" t="str">
        <x:v>NOTE00409</x:v>
      </x:c>
      <x:c r="B410" s="18" t="str">
        <x:v>MTG0103</x:v>
      </x:c>
      <x:c r="C410" s="18" t="str">
        <x:v>Strategy</x:v>
      </x:c>
      <x:c r="D410" s="21" t="str">
        <x:v>The employee exceeds the expected pipeline plan and adapts outreach based on market conditions.</x:v>
      </x:c>
      <x:c r="E410" s="18" t="str">
        <x:v>MGR005</x:v>
      </x:c>
      <x:c r="F410" s="20" t="n">
        <x:v>46277.5</x:v>
      </x:c>
      <x:c r="G410" s="18" t="str">
        <x:v>Manager and employee</x:v>
      </x:c>
    </x:row>
    <x:row r="411" ht="24" hidden="0" customHeight="1">
      <x:c r="A411" s="18" t="str">
        <x:v>NOTE00410</x:v>
      </x:c>
      <x:c r="B411" s="18" t="str">
        <x:v>MTG0103</x:v>
      </x:c>
      <x:c r="C411" s="18" t="str">
        <x:v>Communication</x:v>
      </x:c>
      <x:c r="D411" s="21" t="str">
        <x:v>Communication is proactive and helps resolve customer and processing issues quickly.</x:v>
      </x:c>
      <x:c r="E411" s="18" t="str">
        <x:v>MGR005</x:v>
      </x:c>
      <x:c r="F411" s="20" t="n">
        <x:v>46277.5</x:v>
      </x:c>
      <x:c r="G411" s="18" t="str">
        <x:v>Manager and employee</x:v>
      </x:c>
    </x:row>
    <x:row r="412" ht="24" hidden="0" customHeight="1">
      <x:c r="A412" s="18" t="str">
        <x:v>NOTE00411</x:v>
      </x:c>
      <x:c r="B412" s="18" t="str">
        <x:v>MTG0103</x:v>
      </x:c>
      <x:c r="C412" s="18" t="str">
        <x:v>Business knowledge</x:v>
      </x:c>
      <x:c r="D412" s="21" t="str">
        <x:v>Strong product and policy knowledge supports sound recommendations and peer coaching.</x:v>
      </x:c>
      <x:c r="E412" s="18" t="str">
        <x:v>MGR005</x:v>
      </x:c>
      <x:c r="F412" s="20" t="n">
        <x:v>46277.5</x:v>
      </x:c>
      <x:c r="G412" s="18" t="str">
        <x:v>Manager and employee</x:v>
      </x:c>
    </x:row>
    <x:row r="413" ht="24" hidden="0" customHeight="1">
      <x:c r="A413" s="18" t="str">
        <x:v>NOTE00412</x:v>
      </x:c>
      <x:c r="B413" s="18" t="str">
        <x:v>MTG0103</x:v>
      </x:c>
      <x:c r="C413" s="18" t="str">
        <x:v>Career aspirations</x:v>
      </x:c>
      <x:c r="D413" s="21" t="str">
        <x:v>The employee is preparing for leadership exposure through mentoring and project ownership.</x:v>
      </x:c>
      <x:c r="E413" s="18" t="str">
        <x:v>MGR005</x:v>
      </x:c>
      <x:c r="F413" s="20" t="n">
        <x:v>46278.5</x:v>
      </x:c>
      <x:c r="G413" s="18" t="str">
        <x:v>Restricted</x:v>
      </x:c>
    </x:row>
    <x:row r="414" ht="24" hidden="0" customHeight="1">
      <x:c r="A414" s="18" t="str">
        <x:v>NOTE00413</x:v>
      </x:c>
      <x:c r="B414" s="18" t="str">
        <x:v>MTG0104</x:v>
      </x:c>
      <x:c r="C414" s="18" t="str">
        <x:v>Strategy</x:v>
      </x:c>
      <x:c r="D414" s="21" t="str">
        <x:v>The employee follows the branch plan and maintains a dependable quarterly pipeline.</x:v>
      </x:c>
      <x:c r="E414" s="18" t="str">
        <x:v>MGR006</x:v>
      </x:c>
      <x:c r="F414" s="20" t="n">
        <x:v>46278.5</x:v>
      </x:c>
      <x:c r="G414" s="18" t="str">
        <x:v>Manager and employee</x:v>
      </x:c>
    </x:row>
    <x:row r="415" ht="15" hidden="0" customHeight="1">
      <x:c r="A415" s="18" t="str">
        <x:v>NOTE00414</x:v>
      </x:c>
      <x:c r="B415" s="18" t="str">
        <x:v>MTG0104</x:v>
      </x:c>
      <x:c r="C415" s="18" t="str">
        <x:v>Communication</x:v>
      </x:c>
      <x:c r="D415" s="21" t="str">
        <x:v>Communication with customers and internal partners meets expectations.</x:v>
      </x:c>
      <x:c r="E415" s="18" t="str">
        <x:v>MGR006</x:v>
      </x:c>
      <x:c r="F415" s="20" t="n">
        <x:v>46278.5</x:v>
      </x:c>
      <x:c r="G415" s="18" t="str">
        <x:v>Manager and employee</x:v>
      </x:c>
    </x:row>
    <x:row r="416" ht="15" hidden="0" customHeight="1">
      <x:c r="A416" s="18" t="str">
        <x:v>NOTE00415</x:v>
      </x:c>
      <x:c r="B416" s="18" t="str">
        <x:v>MTG0104</x:v>
      </x:c>
      <x:c r="C416" s="18" t="str">
        <x:v>Business knowledge</x:v>
      </x:c>
      <x:c r="D416" s="21" t="str">
        <x:v>The employee applies standard loan policy and product knowledge effectively.</x:v>
      </x:c>
      <x:c r="E416" s="18" t="str">
        <x:v>MGR006</x:v>
      </x:c>
      <x:c r="F416" s="20" t="n">
        <x:v>46278.5</x:v>
      </x:c>
      <x:c r="G416" s="18" t="str">
        <x:v>Manager and employee</x:v>
      </x:c>
    </x:row>
    <x:row r="417" ht="24" hidden="0" customHeight="1">
      <x:c r="A417" s="18" t="str">
        <x:v>NOTE00416</x:v>
      </x:c>
      <x:c r="B417" s="18" t="str">
        <x:v>MTG0104</x:v>
      </x:c>
      <x:c r="C417" s="18" t="str">
        <x:v>Career aspirations</x:v>
      </x:c>
      <x:c r="D417" s="21" t="str">
        <x:v>The employee plans to deepen lending expertise and take on a peer-support assignment.</x:v>
      </x:c>
      <x:c r="E417" s="18" t="str">
        <x:v>MGR006</x:v>
      </x:c>
      <x:c r="F417" s="20" t="n">
        <x:v>46279.5</x:v>
      </x:c>
      <x:c r="G417" s="18" t="str">
        <x:v>Restricted</x:v>
      </x:c>
    </x:row>
    <x:row r="418" ht="24" hidden="0" customHeight="1">
      <x:c r="A418" s="18" t="str">
        <x:v>NOTE00417</x:v>
      </x:c>
      <x:c r="B418" s="18" t="str">
        <x:v>MTG0105</x:v>
      </x:c>
      <x:c r="C418" s="18" t="str">
        <x:v>Strategy</x:v>
      </x:c>
      <x:c r="D418" s="21" t="str">
        <x:v>The employee needs a documented weekly pipeline plan and closer follow-through on agreed actions.</x:v>
      </x:c>
      <x:c r="E418" s="18" t="str">
        <x:v>MGR006</x:v>
      </x:c>
      <x:c r="F418" s="20" t="n">
        <x:v>46279.5</x:v>
      </x:c>
      <x:c r="G418" s="18" t="str">
        <x:v>Manager and employee</x:v>
      </x:c>
    </x:row>
    <x:row r="419" ht="24" hidden="0" customHeight="1">
      <x:c r="A419" s="18" t="str">
        <x:v>NOTE00418</x:v>
      </x:c>
      <x:c r="B419" s="18" t="str">
        <x:v>MTG0105</x:v>
      </x:c>
      <x:c r="C419" s="18" t="str">
        <x:v>Communication</x:v>
      </x:c>
      <x:c r="D419" s="21" t="str">
        <x:v>Customer and manager updates were inconsistent; the next quarter includes scheduled coaching and checkpoints.</x:v>
      </x:c>
      <x:c r="E419" s="18" t="str">
        <x:v>MGR006</x:v>
      </x:c>
      <x:c r="F419" s="20" t="n">
        <x:v>46279.5</x:v>
      </x:c>
      <x:c r="G419" s="18" t="str">
        <x:v>Manager and employee</x:v>
      </x:c>
    </x:row>
    <x:row r="420" ht="24" hidden="0" customHeight="1">
      <x:c r="A420" s="18" t="str">
        <x:v>NOTE00419</x:v>
      </x:c>
      <x:c r="B420" s="18" t="str">
        <x:v>MTG0105</x:v>
      </x:c>
      <x:c r="C420" s="18" t="str">
        <x:v>Business knowledge</x:v>
      </x:c>
      <x:c r="D420" s="21" t="str">
        <x:v>Additional training is required on lending policy, product fit, and documentation quality.</x:v>
      </x:c>
      <x:c r="E420" s="18" t="str">
        <x:v>MGR006</x:v>
      </x:c>
      <x:c r="F420" s="20" t="n">
        <x:v>46279.5</x:v>
      </x:c>
      <x:c r="G420" s="18" t="str">
        <x:v>Manager and employee</x:v>
      </x:c>
    </x:row>
    <x:row r="421" ht="24" hidden="0" customHeight="1">
      <x:c r="A421" s="18" t="str">
        <x:v>NOTE00420</x:v>
      </x:c>
      <x:c r="B421" s="18" t="str">
        <x:v>MTG0105</x:v>
      </x:c>
      <x:c r="C421" s="18" t="str">
        <x:v>Career aspirations</x:v>
      </x:c>
      <x:c r="D421" s="21" t="str">
        <x:v>The immediate priority is consistent role performance before pursuing broader responsibilities.</x:v>
      </x:c>
      <x:c r="E421" s="18" t="str">
        <x:v>MGR006</x:v>
      </x:c>
      <x:c r="F421" s="20" t="n">
        <x:v>46280.5</x:v>
      </x:c>
      <x:c r="G421" s="18" t="str">
        <x:v>Restricted</x:v>
      </x:c>
    </x:row>
  </x:sheetData>
  <x:pageMargins left="0.7" right="0.7" top="0.75" bottom="0.75" header="0.3" footer="0.3"/>
  <x:tableParts count="1">
    <x:tablePart xmlns:r="http://schemas.openxmlformats.org/officeDocument/2006/relationships" r:id="R6f84e302372142da"/>
  </x:tableParts>
</x:worksheet>
</file>

<file path=xl/worksheets/sheet10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2" hidden="0" customWidth="1"/>
    <x:col min="3" max="3" width="13" hidden="0" customWidth="1"/>
    <x:col min="4" max="4" width="23" hidden="0" customWidth="1"/>
    <x:col min="5" max="5" width="14" hidden="0" customWidth="1"/>
    <x:col min="6" max="6" width="52" hidden="0" customWidth="1"/>
  </x:cols>
  <x:sheetData>
    <x:row r="1" ht="30" hidden="0" customHeight="1">
      <x:c r="A1" s="15" t="str">
        <x:v>acknowledgment_id</x:v>
      </x:c>
      <x:c r="B1" s="16" t="str">
        <x:v>review_id</x:v>
      </x:c>
      <x:c r="C1" s="16" t="str">
        <x:v>employee_id</x:v>
      </x:c>
      <x:c r="D1" s="16" t="str">
        <x:v>acknowledgment_status</x:v>
      </x:c>
      <x:c r="E1" s="16" t="str">
        <x:v>acknowledgment_date</x:v>
      </x:c>
      <x:c r="F1" s="17" t="str">
        <x:v>employee_comment</x:v>
      </x:c>
    </x:row>
    <x:row r="2" ht="15" hidden="0" customHeight="1">
      <x:c r="A2" s="18" t="str">
        <x:v>ACK0001</x:v>
      </x:c>
      <x:c r="B2" s="18" t="str">
        <x:v>REV0001</x:v>
      </x:c>
      <x:c r="C2" s="18" t="str">
        <x:v>EMP001</x:v>
      </x:c>
      <x:c r="D2" s="18" t="str">
        <x:v>Acknowledged</x:v>
      </x:c>
      <x:c r="E2" s="20" t="n">
        <x:v>45731.5</x:v>
      </x:c>
      <x:c r="F2" s="21" t="str">
        <x:v>I reviewed the discussion and agreed next steps.</x:v>
      </x:c>
    </x:row>
    <x:row r="3" ht="15" hidden="0" customHeight="1">
      <x:c r="A3" s="18" t="str">
        <x:v>ACK0002</x:v>
      </x:c>
      <x:c r="B3" s="18" t="str">
        <x:v>REV0002</x:v>
      </x:c>
      <x:c r="C3" s="18" t="str">
        <x:v>EMP002</x:v>
      </x:c>
      <x:c r="D3" s="18" t="str">
        <x:v>Acknowledged</x:v>
      </x:c>
      <x:c r="E3" s="20" t="n">
        <x:v>45732.5</x:v>
      </x:c>
      <x:c r="F3" s="21" t="str">
        <x:v>I reviewed the discussion and agreed next steps.</x:v>
      </x:c>
    </x:row>
    <x:row r="4" ht="15" hidden="0" customHeight="1">
      <x:c r="A4" s="18" t="str">
        <x:v>ACK0003</x:v>
      </x:c>
      <x:c r="B4" s="18" t="str">
        <x:v>REV0003</x:v>
      </x:c>
      <x:c r="C4" s="18" t="str">
        <x:v>EMP003</x:v>
      </x:c>
      <x:c r="D4" s="18" t="str">
        <x:v>Acknowledged</x:v>
      </x:c>
      <x:c r="E4" s="20" t="n">
        <x:v>45733.5</x:v>
      </x:c>
      <x:c r="F4" s="21" t="str">
        <x:v>I reviewed the discussion and agreed next steps.</x:v>
      </x:c>
    </x:row>
    <x:row r="5" ht="15" hidden="0" customHeight="1">
      <x:c r="A5" s="18" t="str">
        <x:v>ACK0004</x:v>
      </x:c>
      <x:c r="B5" s="18" t="str">
        <x:v>REV0004</x:v>
      </x:c>
      <x:c r="C5" s="18" t="str">
        <x:v>EMP004</x:v>
      </x:c>
      <x:c r="D5" s="18" t="str">
        <x:v>Acknowledged</x:v>
      </x:c>
      <x:c r="E5" s="20" t="n">
        <x:v>45734.5</x:v>
      </x:c>
      <x:c r="F5" s="21" t="str">
        <x:v>I understand the actions and checkpoints for the next quarter.</x:v>
      </x:c>
    </x:row>
    <x:row r="6" ht="15" hidden="0" customHeight="1">
      <x:c r="A6" s="18" t="str">
        <x:v>ACK0005</x:v>
      </x:c>
      <x:c r="B6" s="18" t="str">
        <x:v>REV0005</x:v>
      </x:c>
      <x:c r="C6" s="18" t="str">
        <x:v>EMP005</x:v>
      </x:c>
      <x:c r="D6" s="18" t="str">
        <x:v>Acknowledged</x:v>
      </x:c>
      <x:c r="E6" s="20" t="n">
        <x:v>45735.5</x:v>
      </x:c>
      <x:c r="F6" s="21" t="str">
        <x:v>I reviewed the discussion and agreed next steps.</x:v>
      </x:c>
    </x:row>
    <x:row r="7" ht="15" hidden="0" customHeight="1">
      <x:c r="A7" s="18" t="str">
        <x:v>ACK0006</x:v>
      </x:c>
      <x:c r="B7" s="18" t="str">
        <x:v>REV0006</x:v>
      </x:c>
      <x:c r="C7" s="18" t="str">
        <x:v>EMP006</x:v>
      </x:c>
      <x:c r="D7" s="18" t="str">
        <x:v>Acknowledged</x:v>
      </x:c>
      <x:c r="E7" s="20" t="n">
        <x:v>45736.5</x:v>
      </x:c>
      <x:c r="F7" s="21" t="str">
        <x:v>I reviewed the discussion and agreed next steps.</x:v>
      </x:c>
    </x:row>
    <x:row r="8" ht="15" hidden="0" customHeight="1">
      <x:c r="A8" s="18" t="str">
        <x:v>ACK0007</x:v>
      </x:c>
      <x:c r="B8" s="18" t="str">
        <x:v>REV0007</x:v>
      </x:c>
      <x:c r="C8" s="18" t="str">
        <x:v>EMP007</x:v>
      </x:c>
      <x:c r="D8" s="18" t="str">
        <x:v>Acknowledged</x:v>
      </x:c>
      <x:c r="E8" s="20" t="n">
        <x:v>45737.5</x:v>
      </x:c>
      <x:c r="F8" s="21" t="str">
        <x:v>I understand the actions and checkpoints for the next quarter.</x:v>
      </x:c>
    </x:row>
    <x:row r="9" ht="15" hidden="0" customHeight="1">
      <x:c r="A9" s="18" t="str">
        <x:v>ACK0008</x:v>
      </x:c>
      <x:c r="B9" s="18" t="str">
        <x:v>REV0008</x:v>
      </x:c>
      <x:c r="C9" s="18" t="str">
        <x:v>EMP008</x:v>
      </x:c>
      <x:c r="D9" s="18" t="str">
        <x:v>Acknowledged</x:v>
      </x:c>
      <x:c r="E9" s="20" t="n">
        <x:v>45738.5</x:v>
      </x:c>
      <x:c r="F9" s="21" t="str">
        <x:v>I understand the actions and checkpoints for the next quarter.</x:v>
      </x:c>
    </x:row>
    <x:row r="10" ht="15" hidden="0" customHeight="1">
      <x:c r="A10" s="18" t="str">
        <x:v>ACK0009</x:v>
      </x:c>
      <x:c r="B10" s="18" t="str">
        <x:v>REV0009</x:v>
      </x:c>
      <x:c r="C10" s="18" t="str">
        <x:v>EMP009</x:v>
      </x:c>
      <x:c r="D10" s="18" t="str">
        <x:v>Acknowledged</x:v>
      </x:c>
      <x:c r="E10" s="20" t="n">
        <x:v>45739.5</x:v>
      </x:c>
      <x:c r="F10" s="21" t="str">
        <x:v>I reviewed the discussion and agreed next steps.</x:v>
      </x:c>
    </x:row>
    <x:row r="11" ht="15" hidden="0" customHeight="1">
      <x:c r="A11" s="18" t="str">
        <x:v>ACK0010</x:v>
      </x:c>
      <x:c r="B11" s="18" t="str">
        <x:v>REV0010</x:v>
      </x:c>
      <x:c r="C11" s="18" t="str">
        <x:v>EMP010</x:v>
      </x:c>
      <x:c r="D11" s="18" t="str">
        <x:v>Acknowledged</x:v>
      </x:c>
      <x:c r="E11" s="20" t="n">
        <x:v>45740.5</x:v>
      </x:c>
      <x:c r="F11" s="21" t="str">
        <x:v>I reviewed the discussion and agreed next steps.</x:v>
      </x:c>
    </x:row>
    <x:row r="12" ht="15" hidden="0" customHeight="1">
      <x:c r="A12" s="18" t="str">
        <x:v>ACK0011</x:v>
      </x:c>
      <x:c r="B12" s="18" t="str">
        <x:v>REV0011</x:v>
      </x:c>
      <x:c r="C12" s="18" t="str">
        <x:v>EMP011</x:v>
      </x:c>
      <x:c r="D12" s="18" t="str">
        <x:v>Acknowledged</x:v>
      </x:c>
      <x:c r="E12" s="20" t="n">
        <x:v>45741.5</x:v>
      </x:c>
      <x:c r="F12" s="21" t="str">
        <x:v>I reviewed the discussion and agreed next steps.</x:v>
      </x:c>
    </x:row>
    <x:row r="13" ht="15" hidden="0" customHeight="1">
      <x:c r="A13" s="18" t="str">
        <x:v>ACK0012</x:v>
      </x:c>
      <x:c r="B13" s="18" t="str">
        <x:v>REV0012</x:v>
      </x:c>
      <x:c r="C13" s="18" t="str">
        <x:v>EMP012</x:v>
      </x:c>
      <x:c r="D13" s="18" t="str">
        <x:v>Acknowledged</x:v>
      </x:c>
      <x:c r="E13" s="20" t="n">
        <x:v>45742.5</x:v>
      </x:c>
      <x:c r="F13" s="21" t="str">
        <x:v>I reviewed the discussion and agreed next steps.</x:v>
      </x:c>
    </x:row>
    <x:row r="14" ht="15" hidden="0" customHeight="1">
      <x:c r="A14" s="18" t="str">
        <x:v>ACK0013</x:v>
      </x:c>
      <x:c r="B14" s="18" t="str">
        <x:v>REV0013</x:v>
      </x:c>
      <x:c r="C14" s="18" t="str">
        <x:v>EMP013</x:v>
      </x:c>
      <x:c r="D14" s="18" t="str">
        <x:v>Acknowledged</x:v>
      </x:c>
      <x:c r="E14" s="20" t="n">
        <x:v>45731.5</x:v>
      </x:c>
      <x:c r="F14" s="21" t="str">
        <x:v>I reviewed the discussion and agreed next steps.</x:v>
      </x:c>
    </x:row>
    <x:row r="15" ht="15" hidden="0" customHeight="1">
      <x:c r="A15" s="18" t="str">
        <x:v>ACK0014</x:v>
      </x:c>
      <x:c r="B15" s="18" t="str">
        <x:v>REV0014</x:v>
      </x:c>
      <x:c r="C15" s="18" t="str">
        <x:v>EMP014</x:v>
      </x:c>
      <x:c r="D15" s="18" t="str">
        <x:v>Acknowledged</x:v>
      </x:c>
      <x:c r="E15" s="20" t="n">
        <x:v>45732.5</x:v>
      </x:c>
      <x:c r="F15" s="21" t="str">
        <x:v>I understand the actions and checkpoints for the next quarter.</x:v>
      </x:c>
    </x:row>
    <x:row r="16" ht="15" hidden="0" customHeight="1">
      <x:c r="A16" s="18" t="str">
        <x:v>ACK0015</x:v>
      </x:c>
      <x:c r="B16" s="18" t="str">
        <x:v>REV0015</x:v>
      </x:c>
      <x:c r="C16" s="18" t="str">
        <x:v>EMP015</x:v>
      </x:c>
      <x:c r="D16" s="18" t="str">
        <x:v>Acknowledged</x:v>
      </x:c>
      <x:c r="E16" s="20" t="n">
        <x:v>45733.5</x:v>
      </x:c>
      <x:c r="F16" s="21" t="str">
        <x:v>I understand the actions and checkpoints for the next quarter.</x:v>
      </x:c>
    </x:row>
    <x:row r="17" ht="15" hidden="0" customHeight="1">
      <x:c r="A17" s="18" t="str">
        <x:v>ACK0016</x:v>
      </x:c>
      <x:c r="B17" s="18" t="str">
        <x:v>REV0016</x:v>
      </x:c>
      <x:c r="C17" s="18" t="str">
        <x:v>EMP001</x:v>
      </x:c>
      <x:c r="D17" s="18" t="str">
        <x:v>Acknowledged</x:v>
      </x:c>
      <x:c r="E17" s="20" t="n">
        <x:v>45822.5</x:v>
      </x:c>
      <x:c r="F17" s="21" t="str">
        <x:v>I reviewed the discussion and agreed next steps.</x:v>
      </x:c>
    </x:row>
    <x:row r="18" ht="15" hidden="0" customHeight="1">
      <x:c r="A18" s="18" t="str">
        <x:v>ACK0017</x:v>
      </x:c>
      <x:c r="B18" s="18" t="str">
        <x:v>REV0017</x:v>
      </x:c>
      <x:c r="C18" s="18" t="str">
        <x:v>EMP002</x:v>
      </x:c>
      <x:c r="D18" s="18" t="str">
        <x:v>Acknowledged</x:v>
      </x:c>
      <x:c r="E18" s="20" t="n">
        <x:v>45823.5</x:v>
      </x:c>
      <x:c r="F18" s="21" t="str">
        <x:v>I reviewed the discussion and agreed next steps.</x:v>
      </x:c>
    </x:row>
    <x:row r="19" ht="15" hidden="0" customHeight="1">
      <x:c r="A19" s="18" t="str">
        <x:v>ACK0018</x:v>
      </x:c>
      <x:c r="B19" s="18" t="str">
        <x:v>REV0018</x:v>
      </x:c>
      <x:c r="C19" s="18" t="str">
        <x:v>EMP003</x:v>
      </x:c>
      <x:c r="D19" s="18" t="str">
        <x:v>Acknowledged</x:v>
      </x:c>
      <x:c r="E19" s="20" t="n">
        <x:v>45824.5</x:v>
      </x:c>
      <x:c r="F19" s="21" t="str">
        <x:v>I understand the actions and checkpoints for the next quarter.</x:v>
      </x:c>
    </x:row>
    <x:row r="20" ht="15" hidden="0" customHeight="1">
      <x:c r="A20" s="18" t="str">
        <x:v>ACK0019</x:v>
      </x:c>
      <x:c r="B20" s="18" t="str">
        <x:v>REV0019</x:v>
      </x:c>
      <x:c r="C20" s="18" t="str">
        <x:v>EMP004</x:v>
      </x:c>
      <x:c r="D20" s="18" t="str">
        <x:v>Acknowledged</x:v>
      </x:c>
      <x:c r="E20" s="20" t="n">
        <x:v>45825.5</x:v>
      </x:c>
      <x:c r="F20" s="21" t="str">
        <x:v>I understand the actions and checkpoints for the next quarter.</x:v>
      </x:c>
    </x:row>
    <x:row r="21" ht="15" hidden="0" customHeight="1">
      <x:c r="A21" s="18" t="str">
        <x:v>ACK0020</x:v>
      </x:c>
      <x:c r="B21" s="18" t="str">
        <x:v>REV0020</x:v>
      </x:c>
      <x:c r="C21" s="18" t="str">
        <x:v>EMP005</x:v>
      </x:c>
      <x:c r="D21" s="18" t="str">
        <x:v>Acknowledged</x:v>
      </x:c>
      <x:c r="E21" s="20" t="n">
        <x:v>45826.5</x:v>
      </x:c>
      <x:c r="F21" s="21" t="str">
        <x:v>I reviewed the discussion and agreed next steps.</x:v>
      </x:c>
    </x:row>
    <x:row r="22" ht="15" hidden="0" customHeight="1">
      <x:c r="A22" s="18" t="str">
        <x:v>ACK0021</x:v>
      </x:c>
      <x:c r="B22" s="18" t="str">
        <x:v>REV0021</x:v>
      </x:c>
      <x:c r="C22" s="18" t="str">
        <x:v>EMP006</x:v>
      </x:c>
      <x:c r="D22" s="18" t="str">
        <x:v>Acknowledged</x:v>
      </x:c>
      <x:c r="E22" s="20" t="n">
        <x:v>45827.5</x:v>
      </x:c>
      <x:c r="F22" s="21" t="str">
        <x:v>I reviewed the discussion and agreed next steps.</x:v>
      </x:c>
    </x:row>
    <x:row r="23" ht="15" hidden="0" customHeight="1">
      <x:c r="A23" s="18" t="str">
        <x:v>ACK0022</x:v>
      </x:c>
      <x:c r="B23" s="18" t="str">
        <x:v>REV0022</x:v>
      </x:c>
      <x:c r="C23" s="18" t="str">
        <x:v>EMP007</x:v>
      </x:c>
      <x:c r="D23" s="18" t="str">
        <x:v>Acknowledged</x:v>
      </x:c>
      <x:c r="E23" s="20" t="n">
        <x:v>45828.5</x:v>
      </x:c>
      <x:c r="F23" s="21" t="str">
        <x:v>I understand the actions and checkpoints for the next quarter.</x:v>
      </x:c>
    </x:row>
    <x:row r="24" ht="15" hidden="0" customHeight="1">
      <x:c r="A24" s="18" t="str">
        <x:v>ACK0023</x:v>
      </x:c>
      <x:c r="B24" s="18" t="str">
        <x:v>REV0023</x:v>
      </x:c>
      <x:c r="C24" s="18" t="str">
        <x:v>EMP008</x:v>
      </x:c>
      <x:c r="D24" s="18" t="str">
        <x:v>Acknowledged</x:v>
      </x:c>
      <x:c r="E24" s="20" t="n">
        <x:v>45829.5</x:v>
      </x:c>
      <x:c r="F24" s="21" t="str">
        <x:v>I understand the actions and checkpoints for the next quarter.</x:v>
      </x:c>
    </x:row>
    <x:row r="25" ht="15" hidden="0" customHeight="1">
      <x:c r="A25" s="18" t="str">
        <x:v>ACK0024</x:v>
      </x:c>
      <x:c r="B25" s="18" t="str">
        <x:v>REV0024</x:v>
      </x:c>
      <x:c r="C25" s="18" t="str">
        <x:v>EMP009</x:v>
      </x:c>
      <x:c r="D25" s="18" t="str">
        <x:v>Acknowledged</x:v>
      </x:c>
      <x:c r="E25" s="20" t="n">
        <x:v>45830.5</x:v>
      </x:c>
      <x:c r="F25" s="21" t="str">
        <x:v>I reviewed the discussion and agreed next steps.</x:v>
      </x:c>
    </x:row>
    <x:row r="26" ht="15" hidden="0" customHeight="1">
      <x:c r="A26" s="18" t="str">
        <x:v>ACK0025</x:v>
      </x:c>
      <x:c r="B26" s="18" t="str">
        <x:v>REV0025</x:v>
      </x:c>
      <x:c r="C26" s="18" t="str">
        <x:v>EMP010</x:v>
      </x:c>
      <x:c r="D26" s="18" t="str">
        <x:v>Acknowledged</x:v>
      </x:c>
      <x:c r="E26" s="20" t="n">
        <x:v>45831.5</x:v>
      </x:c>
      <x:c r="F26" s="21" t="str">
        <x:v>I reviewed the discussion and agreed next steps.</x:v>
      </x:c>
    </x:row>
    <x:row r="27" ht="15" hidden="0" customHeight="1">
      <x:c r="A27" s="18" t="str">
        <x:v>ACK0026</x:v>
      </x:c>
      <x:c r="B27" s="18" t="str">
        <x:v>REV0026</x:v>
      </x:c>
      <x:c r="C27" s="18" t="str">
        <x:v>EMP011</x:v>
      </x:c>
      <x:c r="D27" s="18" t="str">
        <x:v>Acknowledged</x:v>
      </x:c>
      <x:c r="E27" s="20" t="n">
        <x:v>45832.5</x:v>
      </x:c>
      <x:c r="F27" s="21" t="str">
        <x:v>I reviewed the discussion and agreed next steps.</x:v>
      </x:c>
    </x:row>
    <x:row r="28" ht="15" hidden="0" customHeight="1">
      <x:c r="A28" s="18" t="str">
        <x:v>ACK0027</x:v>
      </x:c>
      <x:c r="B28" s="18" t="str">
        <x:v>REV0027</x:v>
      </x:c>
      <x:c r="C28" s="18" t="str">
        <x:v>EMP012</x:v>
      </x:c>
      <x:c r="D28" s="18" t="str">
        <x:v>Acknowledged</x:v>
      </x:c>
      <x:c r="E28" s="20" t="n">
        <x:v>45833.5</x:v>
      </x:c>
      <x:c r="F28" s="21" t="str">
        <x:v>I understand the actions and checkpoints for the next quarter.</x:v>
      </x:c>
    </x:row>
    <x:row r="29" ht="15" hidden="0" customHeight="1">
      <x:c r="A29" s="18" t="str">
        <x:v>ACK0028</x:v>
      </x:c>
      <x:c r="B29" s="18" t="str">
        <x:v>REV0028</x:v>
      </x:c>
      <x:c r="C29" s="18" t="str">
        <x:v>EMP013</x:v>
      </x:c>
      <x:c r="D29" s="18" t="str">
        <x:v>Acknowledged</x:v>
      </x:c>
      <x:c r="E29" s="20" t="n">
        <x:v>45822.5</x:v>
      </x:c>
      <x:c r="F29" s="21" t="str">
        <x:v>I reviewed the discussion and agreed next steps.</x:v>
      </x:c>
    </x:row>
    <x:row r="30" ht="15" hidden="0" customHeight="1">
      <x:c r="A30" s="18" t="str">
        <x:v>ACK0029</x:v>
      </x:c>
      <x:c r="B30" s="18" t="str">
        <x:v>REV0029</x:v>
      </x:c>
      <x:c r="C30" s="18" t="str">
        <x:v>EMP014</x:v>
      </x:c>
      <x:c r="D30" s="18" t="str">
        <x:v>Acknowledged</x:v>
      </x:c>
      <x:c r="E30" s="20" t="n">
        <x:v>45823.5</x:v>
      </x:c>
      <x:c r="F30" s="21" t="str">
        <x:v>I reviewed the discussion and agreed next steps.</x:v>
      </x:c>
    </x:row>
    <x:row r="31" ht="15" hidden="0" customHeight="1">
      <x:c r="A31" s="18" t="str">
        <x:v>ACK0030</x:v>
      </x:c>
      <x:c r="B31" s="18" t="str">
        <x:v>REV0030</x:v>
      </x:c>
      <x:c r="C31" s="18" t="str">
        <x:v>EMP015</x:v>
      </x:c>
      <x:c r="D31" s="18" t="str">
        <x:v>Acknowledged</x:v>
      </x:c>
      <x:c r="E31" s="20" t="n">
        <x:v>45824.5</x:v>
      </x:c>
      <x:c r="F31" s="21" t="str">
        <x:v>I understand the actions and checkpoints for the next quarter.</x:v>
      </x:c>
    </x:row>
    <x:row r="32" ht="15" hidden="0" customHeight="1">
      <x:c r="A32" s="18" t="str">
        <x:v>ACK0031</x:v>
      </x:c>
      <x:c r="B32" s="18" t="str">
        <x:v>REV0031</x:v>
      </x:c>
      <x:c r="C32" s="18" t="str">
        <x:v>EMP001</x:v>
      </x:c>
      <x:c r="D32" s="18" t="str">
        <x:v>Acknowledged</x:v>
      </x:c>
      <x:c r="E32" s="20" t="n">
        <x:v>45914.5</x:v>
      </x:c>
      <x:c r="F32" s="21" t="str">
        <x:v>I reviewed the discussion and agreed next steps.</x:v>
      </x:c>
    </x:row>
    <x:row r="33" ht="15" hidden="0" customHeight="1">
      <x:c r="A33" s="18" t="str">
        <x:v>ACK0032</x:v>
      </x:c>
      <x:c r="B33" s="18" t="str">
        <x:v>REV0032</x:v>
      </x:c>
      <x:c r="C33" s="18" t="str">
        <x:v>EMP002</x:v>
      </x:c>
      <x:c r="D33" s="18" t="str">
        <x:v>Acknowledged</x:v>
      </x:c>
      <x:c r="E33" s="20" t="n">
        <x:v>45915.5</x:v>
      </x:c>
      <x:c r="F33" s="21" t="str">
        <x:v>I reviewed the discussion and agreed next steps.</x:v>
      </x:c>
    </x:row>
    <x:row r="34" ht="15" hidden="0" customHeight="1">
      <x:c r="A34" s="18" t="str">
        <x:v>ACK0033</x:v>
      </x:c>
      <x:c r="B34" s="18" t="str">
        <x:v>REV0033</x:v>
      </x:c>
      <x:c r="C34" s="18" t="str">
        <x:v>EMP003</x:v>
      </x:c>
      <x:c r="D34" s="18" t="str">
        <x:v>Acknowledged</x:v>
      </x:c>
      <x:c r="E34" s="20" t="n">
        <x:v>45916.5</x:v>
      </x:c>
      <x:c r="F34" s="21" t="str">
        <x:v>I reviewed the discussion and agreed next steps.</x:v>
      </x:c>
    </x:row>
    <x:row r="35" ht="15" hidden="0" customHeight="1">
      <x:c r="A35" s="18" t="str">
        <x:v>ACK0034</x:v>
      </x:c>
      <x:c r="B35" s="18" t="str">
        <x:v>REV0034</x:v>
      </x:c>
      <x:c r="C35" s="18" t="str">
        <x:v>EMP004</x:v>
      </x:c>
      <x:c r="D35" s="18" t="str">
        <x:v>Acknowledged</x:v>
      </x:c>
      <x:c r="E35" s="20" t="n">
        <x:v>45917.5</x:v>
      </x:c>
      <x:c r="F35" s="21" t="str">
        <x:v>I reviewed the discussion and agreed next steps.</x:v>
      </x:c>
    </x:row>
    <x:row r="36" ht="15" hidden="0" customHeight="1">
      <x:c r="A36" s="18" t="str">
        <x:v>ACK0035</x:v>
      </x:c>
      <x:c r="B36" s="18" t="str">
        <x:v>REV0035</x:v>
      </x:c>
      <x:c r="C36" s="18" t="str">
        <x:v>EMP005</x:v>
      </x:c>
      <x:c r="D36" s="18" t="str">
        <x:v>Acknowledged</x:v>
      </x:c>
      <x:c r="E36" s="20" t="n">
        <x:v>45918.5</x:v>
      </x:c>
      <x:c r="F36" s="21" t="str">
        <x:v>I reviewed the discussion and agreed next steps.</x:v>
      </x:c>
    </x:row>
    <x:row r="37" ht="15" hidden="0" customHeight="1">
      <x:c r="A37" s="18" t="str">
        <x:v>ACK0036</x:v>
      </x:c>
      <x:c r="B37" s="18" t="str">
        <x:v>REV0036</x:v>
      </x:c>
      <x:c r="C37" s="18" t="str">
        <x:v>EMP006</x:v>
      </x:c>
      <x:c r="D37" s="18" t="str">
        <x:v>Acknowledged</x:v>
      </x:c>
      <x:c r="E37" s="20" t="n">
        <x:v>45919.5</x:v>
      </x:c>
      <x:c r="F37" s="21" t="str">
        <x:v>I understand the actions and checkpoints for the next quarter.</x:v>
      </x:c>
    </x:row>
    <x:row r="38" ht="15" hidden="0" customHeight="1">
      <x:c r="A38" s="18" t="str">
        <x:v>ACK0037</x:v>
      </x:c>
      <x:c r="B38" s="18" t="str">
        <x:v>REV0037</x:v>
      </x:c>
      <x:c r="C38" s="18" t="str">
        <x:v>EMP007</x:v>
      </x:c>
      <x:c r="D38" s="18" t="str">
        <x:v>Acknowledged</x:v>
      </x:c>
      <x:c r="E38" s="20" t="n">
        <x:v>45920.5</x:v>
      </x:c>
      <x:c r="F38" s="21" t="str">
        <x:v>I understand the actions and checkpoints for the next quarter.</x:v>
      </x:c>
    </x:row>
    <x:row r="39" ht="15" hidden="0" customHeight="1">
      <x:c r="A39" s="18" t="str">
        <x:v>ACK0038</x:v>
      </x:c>
      <x:c r="B39" s="18" t="str">
        <x:v>REV0038</x:v>
      </x:c>
      <x:c r="C39" s="18" t="str">
        <x:v>EMP008</x:v>
      </x:c>
      <x:c r="D39" s="18" t="str">
        <x:v>Acknowledged</x:v>
      </x:c>
      <x:c r="E39" s="20" t="n">
        <x:v>45921.5</x:v>
      </x:c>
      <x:c r="F39" s="21" t="str">
        <x:v>I understand the actions and checkpoints for the next quarter.</x:v>
      </x:c>
    </x:row>
    <x:row r="40" ht="15" hidden="0" customHeight="1">
      <x:c r="A40" s="18" t="str">
        <x:v>ACK0039</x:v>
      </x:c>
      <x:c r="B40" s="18" t="str">
        <x:v>REV0039</x:v>
      </x:c>
      <x:c r="C40" s="18" t="str">
        <x:v>EMP009</x:v>
      </x:c>
      <x:c r="D40" s="18" t="str">
        <x:v>Acknowledged</x:v>
      </x:c>
      <x:c r="E40" s="20" t="n">
        <x:v>45922.5</x:v>
      </x:c>
      <x:c r="F40" s="21" t="str">
        <x:v>I reviewed the discussion and agreed next steps.</x:v>
      </x:c>
    </x:row>
    <x:row r="41" ht="15" hidden="0" customHeight="1">
      <x:c r="A41" s="18" t="str">
        <x:v>ACK0040</x:v>
      </x:c>
      <x:c r="B41" s="18" t="str">
        <x:v>REV0040</x:v>
      </x:c>
      <x:c r="C41" s="18" t="str">
        <x:v>EMP010</x:v>
      </x:c>
      <x:c r="D41" s="18" t="str">
        <x:v>Acknowledged</x:v>
      </x:c>
      <x:c r="E41" s="20" t="n">
        <x:v>45923.5</x:v>
      </x:c>
      <x:c r="F41" s="21" t="str">
        <x:v>I reviewed the discussion and agreed next steps.</x:v>
      </x:c>
    </x:row>
    <x:row r="42" ht="15" hidden="0" customHeight="1">
      <x:c r="A42" s="18" t="str">
        <x:v>ACK0041</x:v>
      </x:c>
      <x:c r="B42" s="18" t="str">
        <x:v>REV0041</x:v>
      </x:c>
      <x:c r="C42" s="18" t="str">
        <x:v>EMP011</x:v>
      </x:c>
      <x:c r="D42" s="18" t="str">
        <x:v>Acknowledged</x:v>
      </x:c>
      <x:c r="E42" s="20" t="n">
        <x:v>45924.5</x:v>
      </x:c>
      <x:c r="F42" s="21" t="str">
        <x:v>I reviewed the discussion and agreed next steps.</x:v>
      </x:c>
    </x:row>
    <x:row r="43" ht="15" hidden="0" customHeight="1">
      <x:c r="A43" s="18" t="str">
        <x:v>ACK0042</x:v>
      </x:c>
      <x:c r="B43" s="18" t="str">
        <x:v>REV0042</x:v>
      </x:c>
      <x:c r="C43" s="18" t="str">
        <x:v>EMP012</x:v>
      </x:c>
      <x:c r="D43" s="18" t="str">
        <x:v>Acknowledged</x:v>
      </x:c>
      <x:c r="E43" s="20" t="n">
        <x:v>45925.5</x:v>
      </x:c>
      <x:c r="F43" s="21" t="str">
        <x:v>I understand the actions and checkpoints for the next quarter.</x:v>
      </x:c>
    </x:row>
    <x:row r="44" ht="15" hidden="0" customHeight="1">
      <x:c r="A44" s="18" t="str">
        <x:v>ACK0043</x:v>
      </x:c>
      <x:c r="B44" s="18" t="str">
        <x:v>REV0043</x:v>
      </x:c>
      <x:c r="C44" s="18" t="str">
        <x:v>EMP013</x:v>
      </x:c>
      <x:c r="D44" s="18" t="str">
        <x:v>Acknowledged</x:v>
      </x:c>
      <x:c r="E44" s="20" t="n">
        <x:v>45914.5</x:v>
      </x:c>
      <x:c r="F44" s="21" t="str">
        <x:v>I reviewed the discussion and agreed next steps.</x:v>
      </x:c>
    </x:row>
    <x:row r="45" ht="15" hidden="0" customHeight="1">
      <x:c r="A45" s="18" t="str">
        <x:v>ACK0044</x:v>
      </x:c>
      <x:c r="B45" s="18" t="str">
        <x:v>REV0044</x:v>
      </x:c>
      <x:c r="C45" s="18" t="str">
        <x:v>EMP014</x:v>
      </x:c>
      <x:c r="D45" s="18" t="str">
        <x:v>Acknowledged</x:v>
      </x:c>
      <x:c r="E45" s="20" t="n">
        <x:v>45915.5</x:v>
      </x:c>
      <x:c r="F45" s="21" t="str">
        <x:v>I reviewed the discussion and agreed next steps.</x:v>
      </x:c>
    </x:row>
    <x:row r="46" ht="15" hidden="0" customHeight="1">
      <x:c r="A46" s="18" t="str">
        <x:v>ACK0045</x:v>
      </x:c>
      <x:c r="B46" s="18" t="str">
        <x:v>REV0045</x:v>
      </x:c>
      <x:c r="C46" s="18" t="str">
        <x:v>EMP015</x:v>
      </x:c>
      <x:c r="D46" s="18" t="str">
        <x:v>Acknowledged</x:v>
      </x:c>
      <x:c r="E46" s="20" t="n">
        <x:v>45916.5</x:v>
      </x:c>
      <x:c r="F46" s="21" t="str">
        <x:v>I understand the actions and checkpoints for the next quarter.</x:v>
      </x:c>
    </x:row>
    <x:row r="47" ht="15" hidden="0" customHeight="1">
      <x:c r="A47" s="18" t="str">
        <x:v>ACK0046</x:v>
      </x:c>
      <x:c r="B47" s="18" t="str">
        <x:v>REV0046</x:v>
      </x:c>
      <x:c r="C47" s="18" t="str">
        <x:v>EMP001</x:v>
      </x:c>
      <x:c r="D47" s="18" t="str">
        <x:v>Acknowledged</x:v>
      </x:c>
      <x:c r="E47" s="20" t="n">
        <x:v>46006.5</x:v>
      </x:c>
      <x:c r="F47" s="21" t="str">
        <x:v>I reviewed the discussion and agreed next steps.</x:v>
      </x:c>
    </x:row>
    <x:row r="48" ht="15" hidden="0" customHeight="1">
      <x:c r="A48" s="18" t="str">
        <x:v>ACK0047</x:v>
      </x:c>
      <x:c r="B48" s="18" t="str">
        <x:v>REV0047</x:v>
      </x:c>
      <x:c r="C48" s="18" t="str">
        <x:v>EMP002</x:v>
      </x:c>
      <x:c r="D48" s="18" t="str">
        <x:v>Acknowledged</x:v>
      </x:c>
      <x:c r="E48" s="20" t="n">
        <x:v>46007.5</x:v>
      </x:c>
      <x:c r="F48" s="21" t="str">
        <x:v>I reviewed the discussion and agreed next steps.</x:v>
      </x:c>
    </x:row>
    <x:row r="49" ht="15" hidden="0" customHeight="1">
      <x:c r="A49" s="18" t="str">
        <x:v>ACK0048</x:v>
      </x:c>
      <x:c r="B49" s="18" t="str">
        <x:v>REV0048</x:v>
      </x:c>
      <x:c r="C49" s="18" t="str">
        <x:v>EMP003</x:v>
      </x:c>
      <x:c r="D49" s="18" t="str">
        <x:v>Acknowledged</x:v>
      </x:c>
      <x:c r="E49" s="20" t="n">
        <x:v>46008.5</x:v>
      </x:c>
      <x:c r="F49" s="21" t="str">
        <x:v>I reviewed the discussion and agreed next steps.</x:v>
      </x:c>
    </x:row>
    <x:row r="50" ht="15" hidden="0" customHeight="1">
      <x:c r="A50" s="18" t="str">
        <x:v>ACK0049</x:v>
      </x:c>
      <x:c r="B50" s="18" t="str">
        <x:v>REV0049</x:v>
      </x:c>
      <x:c r="C50" s="18" t="str">
        <x:v>EMP004</x:v>
      </x:c>
      <x:c r="D50" s="18" t="str">
        <x:v>Acknowledged</x:v>
      </x:c>
      <x:c r="E50" s="20" t="n">
        <x:v>46009.5</x:v>
      </x:c>
      <x:c r="F50" s="21" t="str">
        <x:v>I understand the actions and checkpoints for the next quarter.</x:v>
      </x:c>
    </x:row>
    <x:row r="51" ht="15" hidden="0" customHeight="1">
      <x:c r="A51" s="18" t="str">
        <x:v>ACK0050</x:v>
      </x:c>
      <x:c r="B51" s="18" t="str">
        <x:v>REV0050</x:v>
      </x:c>
      <x:c r="C51" s="18" t="str">
        <x:v>EMP005</x:v>
      </x:c>
      <x:c r="D51" s="18" t="str">
        <x:v>Acknowledged</x:v>
      </x:c>
      <x:c r="E51" s="20" t="n">
        <x:v>46010.5</x:v>
      </x:c>
      <x:c r="F51" s="21" t="str">
        <x:v>I reviewed the discussion and agreed next steps.</x:v>
      </x:c>
    </x:row>
    <x:row r="52" ht="15" hidden="0" customHeight="1">
      <x:c r="A52" s="18" t="str">
        <x:v>ACK0051</x:v>
      </x:c>
      <x:c r="B52" s="18" t="str">
        <x:v>REV0051</x:v>
      </x:c>
      <x:c r="C52" s="18" t="str">
        <x:v>EMP006</x:v>
      </x:c>
      <x:c r="D52" s="18" t="str">
        <x:v>Acknowledged</x:v>
      </x:c>
      <x:c r="E52" s="20" t="n">
        <x:v>46011.5</x:v>
      </x:c>
      <x:c r="F52" s="21" t="str">
        <x:v>I reviewed the discussion and agreed next steps.</x:v>
      </x:c>
    </x:row>
    <x:row r="53" ht="15" hidden="0" customHeight="1">
      <x:c r="A53" s="18" t="str">
        <x:v>ACK0052</x:v>
      </x:c>
      <x:c r="B53" s="18" t="str">
        <x:v>REV0052</x:v>
      </x:c>
      <x:c r="C53" s="18" t="str">
        <x:v>EMP007</x:v>
      </x:c>
      <x:c r="D53" s="18" t="str">
        <x:v>Acknowledged</x:v>
      </x:c>
      <x:c r="E53" s="20" t="n">
        <x:v>46012.5</x:v>
      </x:c>
      <x:c r="F53" s="21" t="str">
        <x:v>I understand the actions and checkpoints for the next quarter.</x:v>
      </x:c>
    </x:row>
    <x:row r="54" ht="15" hidden="0" customHeight="1">
      <x:c r="A54" s="18" t="str">
        <x:v>ACK0053</x:v>
      </x:c>
      <x:c r="B54" s="18" t="str">
        <x:v>REV0053</x:v>
      </x:c>
      <x:c r="C54" s="18" t="str">
        <x:v>EMP008</x:v>
      </x:c>
      <x:c r="D54" s="18" t="str">
        <x:v>Acknowledged</x:v>
      </x:c>
      <x:c r="E54" s="20" t="n">
        <x:v>46013.5</x:v>
      </x:c>
      <x:c r="F54" s="21" t="str">
        <x:v>I understand the actions and checkpoints for the next quarter.</x:v>
      </x:c>
    </x:row>
    <x:row r="55" ht="15" hidden="0" customHeight="1">
      <x:c r="A55" s="18" t="str">
        <x:v>ACK0054</x:v>
      </x:c>
      <x:c r="B55" s="18" t="str">
        <x:v>REV0054</x:v>
      </x:c>
      <x:c r="C55" s="18" t="str">
        <x:v>EMP009</x:v>
      </x:c>
      <x:c r="D55" s="18" t="str">
        <x:v>Acknowledged</x:v>
      </x:c>
      <x:c r="E55" s="20" t="n">
        <x:v>46014.5</x:v>
      </x:c>
      <x:c r="F55" s="21" t="str">
        <x:v>I reviewed the discussion and agreed next steps.</x:v>
      </x:c>
    </x:row>
    <x:row r="56" ht="15" hidden="0" customHeight="1">
      <x:c r="A56" s="18" t="str">
        <x:v>ACK0055</x:v>
      </x:c>
      <x:c r="B56" s="18" t="str">
        <x:v>REV0055</x:v>
      </x:c>
      <x:c r="C56" s="18" t="str">
        <x:v>EMP010</x:v>
      </x:c>
      <x:c r="D56" s="18" t="str">
        <x:v>Acknowledged</x:v>
      </x:c>
      <x:c r="E56" s="20" t="n">
        <x:v>46015.5</x:v>
      </x:c>
      <x:c r="F56" s="21" t="str">
        <x:v>I reviewed the discussion and agreed next steps.</x:v>
      </x:c>
    </x:row>
    <x:row r="57" ht="15" hidden="0" customHeight="1">
      <x:c r="A57" s="18" t="str">
        <x:v>ACK0056</x:v>
      </x:c>
      <x:c r="B57" s="18" t="str">
        <x:v>REV0056</x:v>
      </x:c>
      <x:c r="C57" s="18" t="str">
        <x:v>EMP011</x:v>
      </x:c>
      <x:c r="D57" s="18" t="str">
        <x:v>Acknowledged</x:v>
      </x:c>
      <x:c r="E57" s="20" t="n">
        <x:v>46016.5</x:v>
      </x:c>
      <x:c r="F57" s="21" t="str">
        <x:v>I reviewed the discussion and agreed next steps.</x:v>
      </x:c>
    </x:row>
    <x:row r="58" ht="15" hidden="0" customHeight="1">
      <x:c r="A58" s="18" t="str">
        <x:v>ACK0057</x:v>
      </x:c>
      <x:c r="B58" s="18" t="str">
        <x:v>REV0057</x:v>
      </x:c>
      <x:c r="C58" s="18" t="str">
        <x:v>EMP012</x:v>
      </x:c>
      <x:c r="D58" s="18" t="str">
        <x:v>Acknowledged</x:v>
      </x:c>
      <x:c r="E58" s="20" t="n">
        <x:v>46017.5</x:v>
      </x:c>
      <x:c r="F58" s="21" t="str">
        <x:v>I understand the actions and checkpoints for the next quarter.</x:v>
      </x:c>
    </x:row>
    <x:row r="59" ht="15" hidden="0" customHeight="1">
      <x:c r="A59" s="18" t="str">
        <x:v>ACK0058</x:v>
      </x:c>
      <x:c r="B59" s="18" t="str">
        <x:v>REV0058</x:v>
      </x:c>
      <x:c r="C59" s="18" t="str">
        <x:v>EMP013</x:v>
      </x:c>
      <x:c r="D59" s="18" t="str">
        <x:v>Acknowledged</x:v>
      </x:c>
      <x:c r="E59" s="20" t="n">
        <x:v>46006.5</x:v>
      </x:c>
      <x:c r="F59" s="21" t="str">
        <x:v>I reviewed the discussion and agreed next steps.</x:v>
      </x:c>
    </x:row>
    <x:row r="60" ht="15" hidden="0" customHeight="1">
      <x:c r="A60" s="18" t="str">
        <x:v>ACK0059</x:v>
      </x:c>
      <x:c r="B60" s="18" t="str">
        <x:v>REV0059</x:v>
      </x:c>
      <x:c r="C60" s="18" t="str">
        <x:v>EMP014</x:v>
      </x:c>
      <x:c r="D60" s="18" t="str">
        <x:v>Acknowledged</x:v>
      </x:c>
      <x:c r="E60" s="20" t="n">
        <x:v>46007.5</x:v>
      </x:c>
      <x:c r="F60" s="21" t="str">
        <x:v>I reviewed the discussion and agreed next steps.</x:v>
      </x:c>
    </x:row>
    <x:row r="61" ht="15" hidden="0" customHeight="1">
      <x:c r="A61" s="18" t="str">
        <x:v>ACK0060</x:v>
      </x:c>
      <x:c r="B61" s="18" t="str">
        <x:v>REV0060</x:v>
      </x:c>
      <x:c r="C61" s="18" t="str">
        <x:v>EMP015</x:v>
      </x:c>
      <x:c r="D61" s="18" t="str">
        <x:v>Acknowledged</x:v>
      </x:c>
      <x:c r="E61" s="20" t="n">
        <x:v>46008.5</x:v>
      </x:c>
      <x:c r="F61" s="21" t="str">
        <x:v>I understand the actions and checkpoints for the next quarter.</x:v>
      </x:c>
    </x:row>
    <x:row r="62" ht="15" hidden="0" customHeight="1">
      <x:c r="A62" s="18" t="str">
        <x:v>ACK0061</x:v>
      </x:c>
      <x:c r="B62" s="18" t="str">
        <x:v>REV0061</x:v>
      </x:c>
      <x:c r="C62" s="18" t="str">
        <x:v>EMP001</x:v>
      </x:c>
      <x:c r="D62" s="18" t="str">
        <x:v>Acknowledged</x:v>
      </x:c>
      <x:c r="E62" s="20" t="n">
        <x:v>46096.5</x:v>
      </x:c>
      <x:c r="F62" s="21" t="str">
        <x:v>I reviewed the discussion and agreed next steps.</x:v>
      </x:c>
    </x:row>
    <x:row r="63" ht="15" hidden="0" customHeight="1">
      <x:c r="A63" s="18" t="str">
        <x:v>ACK0062</x:v>
      </x:c>
      <x:c r="B63" s="18" t="str">
        <x:v>REV0062</x:v>
      </x:c>
      <x:c r="C63" s="18" t="str">
        <x:v>EMP002</x:v>
      </x:c>
      <x:c r="D63" s="18" t="str">
        <x:v>Acknowledged</x:v>
      </x:c>
      <x:c r="E63" s="20" t="n">
        <x:v>46097.5</x:v>
      </x:c>
      <x:c r="F63" s="21" t="str">
        <x:v>I reviewed the discussion and agreed next steps.</x:v>
      </x:c>
    </x:row>
    <x:row r="64" ht="15" hidden="0" customHeight="1">
      <x:c r="A64" s="18" t="str">
        <x:v>ACK0063</x:v>
      </x:c>
      <x:c r="B64" s="18" t="str">
        <x:v>REV0063</x:v>
      </x:c>
      <x:c r="C64" s="18" t="str">
        <x:v>EMP003</x:v>
      </x:c>
      <x:c r="D64" s="18" t="str">
        <x:v>Acknowledged</x:v>
      </x:c>
      <x:c r="E64" s="20" t="n">
        <x:v>46098.5</x:v>
      </x:c>
      <x:c r="F64" s="21" t="str">
        <x:v>I reviewed the discussion and agreed next steps.</x:v>
      </x:c>
    </x:row>
    <x:row r="65" ht="15" hidden="0" customHeight="1">
      <x:c r="A65" s="18" t="str">
        <x:v>ACK0064</x:v>
      </x:c>
      <x:c r="B65" s="18" t="str">
        <x:v>REV0064</x:v>
      </x:c>
      <x:c r="C65" s="18" t="str">
        <x:v>EMP004</x:v>
      </x:c>
      <x:c r="D65" s="18" t="str">
        <x:v>Acknowledged</x:v>
      </x:c>
      <x:c r="E65" s="20" t="n">
        <x:v>46099.5</x:v>
      </x:c>
      <x:c r="F65" s="21" t="str">
        <x:v>I understand the actions and checkpoints for the next quarter.</x:v>
      </x:c>
    </x:row>
    <x:row r="66" ht="15" hidden="0" customHeight="1">
      <x:c r="A66" s="18" t="str">
        <x:v>ACK0065</x:v>
      </x:c>
      <x:c r="B66" s="18" t="str">
        <x:v>REV0065</x:v>
      </x:c>
      <x:c r="C66" s="18" t="str">
        <x:v>EMP005</x:v>
      </x:c>
      <x:c r="D66" s="18" t="str">
        <x:v>Acknowledged</x:v>
      </x:c>
      <x:c r="E66" s="20" t="n">
        <x:v>46100.5</x:v>
      </x:c>
      <x:c r="F66" s="21" t="str">
        <x:v>I reviewed the discussion and agreed next steps.</x:v>
      </x:c>
    </x:row>
    <x:row r="67" ht="15" hidden="0" customHeight="1">
      <x:c r="A67" s="18" t="str">
        <x:v>ACK0066</x:v>
      </x:c>
      <x:c r="B67" s="18" t="str">
        <x:v>REV0066</x:v>
      </x:c>
      <x:c r="C67" s="18" t="str">
        <x:v>EMP006</x:v>
      </x:c>
      <x:c r="D67" s="18" t="str">
        <x:v>Acknowledged</x:v>
      </x:c>
      <x:c r="E67" s="20" t="n">
        <x:v>46101.5</x:v>
      </x:c>
      <x:c r="F67" s="21" t="str">
        <x:v>I reviewed the discussion and agreed next steps.</x:v>
      </x:c>
    </x:row>
    <x:row r="68" ht="15" hidden="0" customHeight="1">
      <x:c r="A68" s="18" t="str">
        <x:v>ACK0067</x:v>
      </x:c>
      <x:c r="B68" s="18" t="str">
        <x:v>REV0067</x:v>
      </x:c>
      <x:c r="C68" s="18" t="str">
        <x:v>EMP007</x:v>
      </x:c>
      <x:c r="D68" s="18" t="str">
        <x:v>Acknowledged</x:v>
      </x:c>
      <x:c r="E68" s="20" t="n">
        <x:v>46102.5</x:v>
      </x:c>
      <x:c r="F68" s="21" t="str">
        <x:v>I understand the actions and checkpoints for the next quarter.</x:v>
      </x:c>
    </x:row>
    <x:row r="69" ht="15" hidden="0" customHeight="1">
      <x:c r="A69" s="18" t="str">
        <x:v>ACK0068</x:v>
      </x:c>
      <x:c r="B69" s="18" t="str">
        <x:v>REV0068</x:v>
      </x:c>
      <x:c r="C69" s="18" t="str">
        <x:v>EMP008</x:v>
      </x:c>
      <x:c r="D69" s="18" t="str">
        <x:v>Acknowledged</x:v>
      </x:c>
      <x:c r="E69" s="20" t="n">
        <x:v>46103.5</x:v>
      </x:c>
      <x:c r="F69" s="21" t="str">
        <x:v>I understand the actions and checkpoints for the next quarter.</x:v>
      </x:c>
    </x:row>
    <x:row r="70" ht="15" hidden="0" customHeight="1">
      <x:c r="A70" s="18" t="str">
        <x:v>ACK0069</x:v>
      </x:c>
      <x:c r="B70" s="18" t="str">
        <x:v>REV0069</x:v>
      </x:c>
      <x:c r="C70" s="18" t="str">
        <x:v>EMP009</x:v>
      </x:c>
      <x:c r="D70" s="18" t="str">
        <x:v>Acknowledged</x:v>
      </x:c>
      <x:c r="E70" s="20" t="n">
        <x:v>46104.5</x:v>
      </x:c>
      <x:c r="F70" s="21" t="str">
        <x:v>I reviewed the discussion and agreed next steps.</x:v>
      </x:c>
    </x:row>
    <x:row r="71" ht="15" hidden="0" customHeight="1">
      <x:c r="A71" s="18" t="str">
        <x:v>ACK0070</x:v>
      </x:c>
      <x:c r="B71" s="18" t="str">
        <x:v>REV0070</x:v>
      </x:c>
      <x:c r="C71" s="18" t="str">
        <x:v>EMP010</x:v>
      </x:c>
      <x:c r="D71" s="18" t="str">
        <x:v>Acknowledged</x:v>
      </x:c>
      <x:c r="E71" s="20" t="n">
        <x:v>46105.5</x:v>
      </x:c>
      <x:c r="F71" s="21" t="str">
        <x:v>I reviewed the discussion and agreed next steps.</x:v>
      </x:c>
    </x:row>
    <x:row r="72" ht="15" hidden="0" customHeight="1">
      <x:c r="A72" s="18" t="str">
        <x:v>ACK0071</x:v>
      </x:c>
      <x:c r="B72" s="18" t="str">
        <x:v>REV0071</x:v>
      </x:c>
      <x:c r="C72" s="18" t="str">
        <x:v>EMP011</x:v>
      </x:c>
      <x:c r="D72" s="18" t="str">
        <x:v>Acknowledged</x:v>
      </x:c>
      <x:c r="E72" s="20" t="n">
        <x:v>46106.5</x:v>
      </x:c>
      <x:c r="F72" s="21" t="str">
        <x:v>I reviewed the discussion and agreed next steps.</x:v>
      </x:c>
    </x:row>
    <x:row r="73" ht="15" hidden="0" customHeight="1">
      <x:c r="A73" s="18" t="str">
        <x:v>ACK0072</x:v>
      </x:c>
      <x:c r="B73" s="18" t="str">
        <x:v>REV0072</x:v>
      </x:c>
      <x:c r="C73" s="18" t="str">
        <x:v>EMP012</x:v>
      </x:c>
      <x:c r="D73" s="18" t="str">
        <x:v>Acknowledged</x:v>
      </x:c>
      <x:c r="E73" s="20" t="n">
        <x:v>46107.5</x:v>
      </x:c>
      <x:c r="F73" s="21" t="str">
        <x:v>I understand the actions and checkpoints for the next quarter.</x:v>
      </x:c>
    </x:row>
    <x:row r="74" ht="15" hidden="0" customHeight="1">
      <x:c r="A74" s="18" t="str">
        <x:v>ACK0073</x:v>
      </x:c>
      <x:c r="B74" s="18" t="str">
        <x:v>REV0073</x:v>
      </x:c>
      <x:c r="C74" s="18" t="str">
        <x:v>EMP013</x:v>
      </x:c>
      <x:c r="D74" s="18" t="str">
        <x:v>Acknowledged</x:v>
      </x:c>
      <x:c r="E74" s="20" t="n">
        <x:v>46096.5</x:v>
      </x:c>
      <x:c r="F74" s="21" t="str">
        <x:v>I reviewed the discussion and agreed next steps.</x:v>
      </x:c>
    </x:row>
    <x:row r="75" ht="15" hidden="0" customHeight="1">
      <x:c r="A75" s="18" t="str">
        <x:v>ACK0074</x:v>
      </x:c>
      <x:c r="B75" s="18" t="str">
        <x:v>REV0074</x:v>
      </x:c>
      <x:c r="C75" s="18" t="str">
        <x:v>EMP014</x:v>
      </x:c>
      <x:c r="D75" s="18" t="str">
        <x:v>Acknowledged</x:v>
      </x:c>
      <x:c r="E75" s="20" t="n">
        <x:v>46097.5</x:v>
      </x:c>
      <x:c r="F75" s="21" t="str">
        <x:v>I reviewed the discussion and agreed next steps.</x:v>
      </x:c>
    </x:row>
    <x:row r="76" ht="15" hidden="0" customHeight="1">
      <x:c r="A76" s="18" t="str">
        <x:v>ACK0075</x:v>
      </x:c>
      <x:c r="B76" s="18" t="str">
        <x:v>REV0075</x:v>
      </x:c>
      <x:c r="C76" s="18" t="str">
        <x:v>EMP015</x:v>
      </x:c>
      <x:c r="D76" s="18" t="str">
        <x:v>Acknowledged</x:v>
      </x:c>
      <x:c r="E76" s="20" t="n">
        <x:v>46098.5</x:v>
      </x:c>
      <x:c r="F76" s="21" t="str">
        <x:v>I understand the actions and checkpoints for the next quarter.</x:v>
      </x:c>
    </x:row>
    <x:row r="77" ht="15" hidden="0" customHeight="1">
      <x:c r="A77" s="18" t="str">
        <x:v>ACK0076</x:v>
      </x:c>
      <x:c r="B77" s="18" t="str">
        <x:v>REV0076</x:v>
      </x:c>
      <x:c r="C77" s="18" t="str">
        <x:v>EMP001</x:v>
      </x:c>
      <x:c r="D77" s="18" t="str">
        <x:v>Acknowledged</x:v>
      </x:c>
      <x:c r="E77" s="20" t="n">
        <x:v>46187.5</x:v>
      </x:c>
      <x:c r="F77" s="21" t="str">
        <x:v>I reviewed the discussion and agreed next steps.</x:v>
      </x:c>
    </x:row>
    <x:row r="78" ht="15" hidden="0" customHeight="1">
      <x:c r="A78" s="18" t="str">
        <x:v>ACK0077</x:v>
      </x:c>
      <x:c r="B78" s="18" t="str">
        <x:v>REV0077</x:v>
      </x:c>
      <x:c r="C78" s="18" t="str">
        <x:v>EMP002</x:v>
      </x:c>
      <x:c r="D78" s="18" t="str">
        <x:v>Acknowledged</x:v>
      </x:c>
      <x:c r="E78" s="20" t="n">
        <x:v>46188.5</x:v>
      </x:c>
      <x:c r="F78" s="21" t="str">
        <x:v>I reviewed the discussion and agreed next steps.</x:v>
      </x:c>
    </x:row>
    <x:row r="79" ht="15" hidden="0" customHeight="1">
      <x:c r="A79" s="18" t="str">
        <x:v>ACK0078</x:v>
      </x:c>
      <x:c r="B79" s="18" t="str">
        <x:v>REV0078</x:v>
      </x:c>
      <x:c r="C79" s="18" t="str">
        <x:v>EMP003</x:v>
      </x:c>
      <x:c r="D79" s="18" t="str">
        <x:v>Acknowledged</x:v>
      </x:c>
      <x:c r="E79" s="20" t="n">
        <x:v>46189.5</x:v>
      </x:c>
      <x:c r="F79" s="21" t="str">
        <x:v>I reviewed the discussion and agreed next steps.</x:v>
      </x:c>
    </x:row>
    <x:row r="80" ht="15" hidden="0" customHeight="1">
      <x:c r="A80" s="18" t="str">
        <x:v>ACK0079</x:v>
      </x:c>
      <x:c r="B80" s="18" t="str">
        <x:v>REV0079</x:v>
      </x:c>
      <x:c r="C80" s="18" t="str">
        <x:v>EMP004</x:v>
      </x:c>
      <x:c r="D80" s="18" t="str">
        <x:v>Acknowledged</x:v>
      </x:c>
      <x:c r="E80" s="20" t="n">
        <x:v>46190.5</x:v>
      </x:c>
      <x:c r="F80" s="21" t="str">
        <x:v>I understand the actions and checkpoints for the next quarter.</x:v>
      </x:c>
    </x:row>
    <x:row r="81" ht="15" hidden="0" customHeight="1">
      <x:c r="A81" s="18" t="str">
        <x:v>ACK0080</x:v>
      </x:c>
      <x:c r="B81" s="18" t="str">
        <x:v>REV0080</x:v>
      </x:c>
      <x:c r="C81" s="18" t="str">
        <x:v>EMP005</x:v>
      </x:c>
      <x:c r="D81" s="18" t="str">
        <x:v>Acknowledged</x:v>
      </x:c>
      <x:c r="E81" s="20" t="n">
        <x:v>46191.5</x:v>
      </x:c>
      <x:c r="F81" s="21" t="str">
        <x:v>I reviewed the discussion and agreed next steps.</x:v>
      </x:c>
    </x:row>
    <x:row r="82" ht="15" hidden="0" customHeight="1">
      <x:c r="A82" s="18" t="str">
        <x:v>ACK0081</x:v>
      </x:c>
      <x:c r="B82" s="18" t="str">
        <x:v>REV0081</x:v>
      </x:c>
      <x:c r="C82" s="18" t="str">
        <x:v>EMP006</x:v>
      </x:c>
      <x:c r="D82" s="18" t="str">
        <x:v>Acknowledged</x:v>
      </x:c>
      <x:c r="E82" s="20" t="n">
        <x:v>46192.5</x:v>
      </x:c>
      <x:c r="F82" s="21" t="str">
        <x:v>I reviewed the discussion and agreed next steps.</x:v>
      </x:c>
    </x:row>
    <x:row r="83" ht="15" hidden="0" customHeight="1">
      <x:c r="A83" s="18" t="str">
        <x:v>ACK0082</x:v>
      </x:c>
      <x:c r="B83" s="18" t="str">
        <x:v>REV0082</x:v>
      </x:c>
      <x:c r="C83" s="18" t="str">
        <x:v>EMP007</x:v>
      </x:c>
      <x:c r="D83" s="18" t="str">
        <x:v>Acknowledged</x:v>
      </x:c>
      <x:c r="E83" s="20" t="n">
        <x:v>46193.5</x:v>
      </x:c>
      <x:c r="F83" s="21" t="str">
        <x:v>I reviewed the discussion and agreed next steps.</x:v>
      </x:c>
    </x:row>
    <x:row r="84" ht="15" hidden="0" customHeight="1">
      <x:c r="A84" s="18" t="str">
        <x:v>ACK0083</x:v>
      </x:c>
      <x:c r="B84" s="18" t="str">
        <x:v>REV0083</x:v>
      </x:c>
      <x:c r="C84" s="18" t="str">
        <x:v>EMP008</x:v>
      </x:c>
      <x:c r="D84" s="18" t="str">
        <x:v>Acknowledged</x:v>
      </x:c>
      <x:c r="E84" s="20" t="n">
        <x:v>46194.5</x:v>
      </x:c>
      <x:c r="F84" s="21" t="str">
        <x:v>I understand the actions and checkpoints for the next quarter.</x:v>
      </x:c>
    </x:row>
    <x:row r="85" ht="15" hidden="0" customHeight="1">
      <x:c r="A85" s="18" t="str">
        <x:v>ACK0084</x:v>
      </x:c>
      <x:c r="B85" s="18" t="str">
        <x:v>REV0084</x:v>
      </x:c>
      <x:c r="C85" s="18" t="str">
        <x:v>EMP009</x:v>
      </x:c>
      <x:c r="D85" s="18" t="str">
        <x:v>Acknowledged</x:v>
      </x:c>
      <x:c r="E85" s="20" t="n">
        <x:v>46195.5</x:v>
      </x:c>
      <x:c r="F85" s="21" t="str">
        <x:v>I reviewed the discussion and agreed next steps.</x:v>
      </x:c>
    </x:row>
    <x:row r="86" ht="15" hidden="0" customHeight="1">
      <x:c r="A86" s="18" t="str">
        <x:v>ACK0085</x:v>
      </x:c>
      <x:c r="B86" s="18" t="str">
        <x:v>REV0085</x:v>
      </x:c>
      <x:c r="C86" s="18" t="str">
        <x:v>EMP010</x:v>
      </x:c>
      <x:c r="D86" s="18" t="str">
        <x:v>Acknowledged</x:v>
      </x:c>
      <x:c r="E86" s="20" t="n">
        <x:v>46196.5</x:v>
      </x:c>
      <x:c r="F86" s="21" t="str">
        <x:v>I reviewed the discussion and agreed next steps.</x:v>
      </x:c>
    </x:row>
    <x:row r="87" ht="15" hidden="0" customHeight="1">
      <x:c r="A87" s="18" t="str">
        <x:v>ACK0086</x:v>
      </x:c>
      <x:c r="B87" s="18" t="str">
        <x:v>REV0086</x:v>
      </x:c>
      <x:c r="C87" s="18" t="str">
        <x:v>EMP011</x:v>
      </x:c>
      <x:c r="D87" s="18" t="str">
        <x:v>Acknowledged</x:v>
      </x:c>
      <x:c r="E87" s="20" t="n">
        <x:v>46197.5</x:v>
      </x:c>
      <x:c r="F87" s="21" t="str">
        <x:v>I reviewed the discussion and agreed next steps.</x:v>
      </x:c>
    </x:row>
    <x:row r="88" ht="15" hidden="0" customHeight="1">
      <x:c r="A88" s="18" t="str">
        <x:v>ACK0087</x:v>
      </x:c>
      <x:c r="B88" s="18" t="str">
        <x:v>REV0087</x:v>
      </x:c>
      <x:c r="C88" s="18" t="str">
        <x:v>EMP012</x:v>
      </x:c>
      <x:c r="D88" s="18" t="str">
        <x:v>Acknowledged</x:v>
      </x:c>
      <x:c r="E88" s="20" t="n">
        <x:v>46198.5</x:v>
      </x:c>
      <x:c r="F88" s="21" t="str">
        <x:v>I understand the actions and checkpoints for the next quarter.</x:v>
      </x:c>
    </x:row>
    <x:row r="89" ht="15" hidden="0" customHeight="1">
      <x:c r="A89" s="18" t="str">
        <x:v>ACK0088</x:v>
      </x:c>
      <x:c r="B89" s="18" t="str">
        <x:v>REV0088</x:v>
      </x:c>
      <x:c r="C89" s="18" t="str">
        <x:v>EMP013</x:v>
      </x:c>
      <x:c r="D89" s="18" t="str">
        <x:v>Acknowledged</x:v>
      </x:c>
      <x:c r="E89" s="20" t="n">
        <x:v>46187.5</x:v>
      </x:c>
      <x:c r="F89" s="21" t="str">
        <x:v>I reviewed the discussion and agreed next steps.</x:v>
      </x:c>
    </x:row>
    <x:row r="90" ht="15" hidden="0" customHeight="1">
      <x:c r="A90" s="18" t="str">
        <x:v>ACK0089</x:v>
      </x:c>
      <x:c r="B90" s="18" t="str">
        <x:v>REV0089</x:v>
      </x:c>
      <x:c r="C90" s="18" t="str">
        <x:v>EMP014</x:v>
      </x:c>
      <x:c r="D90" s="18" t="str">
        <x:v>Acknowledged</x:v>
      </x:c>
      <x:c r="E90" s="20" t="n">
        <x:v>46188.5</x:v>
      </x:c>
      <x:c r="F90" s="21" t="str">
        <x:v>I reviewed the discussion and agreed next steps.</x:v>
      </x:c>
    </x:row>
    <x:row r="91" ht="15" hidden="0" customHeight="1">
      <x:c r="A91" s="18" t="str">
        <x:v>ACK0090</x:v>
      </x:c>
      <x:c r="B91" s="18" t="str">
        <x:v>REV0090</x:v>
      </x:c>
      <x:c r="C91" s="18" t="str">
        <x:v>EMP015</x:v>
      </x:c>
      <x:c r="D91" s="18" t="str">
        <x:v>Acknowledged</x:v>
      </x:c>
      <x:c r="E91" s="20" t="n">
        <x:v>46189.5</x:v>
      </x:c>
      <x:c r="F91" s="21" t="str">
        <x:v>I understand the actions and checkpoints for the next quarter.</x:v>
      </x:c>
    </x:row>
    <x:row r="92" ht="15" hidden="0" customHeight="1">
      <x:c r="A92" s="18" t="str">
        <x:v>ACK0091</x:v>
      </x:c>
      <x:c r="B92" s="18" t="str">
        <x:v>REV0091</x:v>
      </x:c>
      <x:c r="C92" s="18" t="str">
        <x:v>EMP001</x:v>
      </x:c>
      <x:c r="D92" s="18" t="str">
        <x:v>Acknowledged</x:v>
      </x:c>
      <x:c r="E92" s="20" t="n">
        <x:v>46279.5</x:v>
      </x:c>
      <x:c r="F92" s="21" t="str">
        <x:v>I reviewed the discussion and agreed next steps.</x:v>
      </x:c>
    </x:row>
    <x:row r="93" ht="15" hidden="0" customHeight="1">
      <x:c r="A93" s="18" t="str">
        <x:v>ACK0092</x:v>
      </x:c>
      <x:c r="B93" s="18" t="str">
        <x:v>REV0092</x:v>
      </x:c>
      <x:c r="C93" s="18" t="str">
        <x:v>EMP002</x:v>
      </x:c>
      <x:c r="D93" s="18" t="str">
        <x:v>Acknowledged</x:v>
      </x:c>
      <x:c r="E93" s="20" t="n">
        <x:v>46280.5</x:v>
      </x:c>
      <x:c r="F93" s="21" t="str">
        <x:v>I reviewed the discussion and agreed next steps.</x:v>
      </x:c>
    </x:row>
    <x:row r="94" ht="15" hidden="0" customHeight="1">
      <x:c r="A94" s="18" t="str">
        <x:v>ACK0093</x:v>
      </x:c>
      <x:c r="B94" s="18" t="str">
        <x:v>REV0093</x:v>
      </x:c>
      <x:c r="C94" s="18" t="str">
        <x:v>EMP003</x:v>
      </x:c>
      <x:c r="D94" s="18" t="str">
        <x:v>Acknowledged</x:v>
      </x:c>
      <x:c r="E94" s="20" t="n">
        <x:v>46281.5</x:v>
      </x:c>
      <x:c r="F94" s="21" t="str">
        <x:v>I reviewed the discussion and agreed next steps.</x:v>
      </x:c>
    </x:row>
    <x:row r="95" ht="15" hidden="0" customHeight="1">
      <x:c r="A95" s="18" t="str">
        <x:v>ACK0094</x:v>
      </x:c>
      <x:c r="B95" s="18" t="str">
        <x:v>REV0094</x:v>
      </x:c>
      <x:c r="C95" s="18" t="str">
        <x:v>EMP004</x:v>
      </x:c>
      <x:c r="D95" s="18" t="str">
        <x:v>Acknowledged</x:v>
      </x:c>
      <x:c r="E95" s="20" t="n">
        <x:v>46282.5</x:v>
      </x:c>
      <x:c r="F95" s="21" t="str">
        <x:v>I understand the actions and checkpoints for the next quarter.</x:v>
      </x:c>
    </x:row>
    <x:row r="96" ht="15" hidden="0" customHeight="1">
      <x:c r="A96" s="18" t="str">
        <x:v>ACK0095</x:v>
      </x:c>
      <x:c r="B96" s="18" t="str">
        <x:v>REV0095</x:v>
      </x:c>
      <x:c r="C96" s="18" t="str">
        <x:v>EMP005</x:v>
      </x:c>
      <x:c r="D96" s="18" t="str">
        <x:v>Acknowledged</x:v>
      </x:c>
      <x:c r="E96" s="20" t="n">
        <x:v>46283.5</x:v>
      </x:c>
      <x:c r="F96" s="21" t="str">
        <x:v>I reviewed the discussion and agreed next steps.</x:v>
      </x:c>
    </x:row>
    <x:row r="97" ht="15" hidden="0" customHeight="1">
      <x:c r="A97" s="18" t="str">
        <x:v>ACK0096</x:v>
      </x:c>
      <x:c r="B97" s="18" t="str">
        <x:v>REV0096</x:v>
      </x:c>
      <x:c r="C97" s="18" t="str">
        <x:v>EMP006</x:v>
      </x:c>
      <x:c r="D97" s="18" t="str">
        <x:v>Acknowledged</x:v>
      </x:c>
      <x:c r="E97" s="20" t="n">
        <x:v>46284.5</x:v>
      </x:c>
      <x:c r="F97" s="21" t="str">
        <x:v>I reviewed the discussion and agreed next steps.</x:v>
      </x:c>
    </x:row>
    <x:row r="98" ht="15" hidden="0" customHeight="1">
      <x:c r="A98" s="18" t="str">
        <x:v>ACK0097</x:v>
      </x:c>
      <x:c r="B98" s="18" t="str">
        <x:v>REV0097</x:v>
      </x:c>
      <x:c r="C98" s="18" t="str">
        <x:v>EMP007</x:v>
      </x:c>
      <x:c r="D98" s="18" t="str">
        <x:v>Acknowledged</x:v>
      </x:c>
      <x:c r="E98" s="20" t="n">
        <x:v>46285.5</x:v>
      </x:c>
      <x:c r="F98" s="21" t="str">
        <x:v>I understand the actions and checkpoints for the next quarter.</x:v>
      </x:c>
    </x:row>
    <x:row r="99" ht="15" hidden="0" customHeight="1">
      <x:c r="A99" s="18" t="str">
        <x:v>ACK0098</x:v>
      </x:c>
      <x:c r="B99" s="18" t="str">
        <x:v>REV0098</x:v>
      </x:c>
      <x:c r="C99" s="18" t="str">
        <x:v>EMP008</x:v>
      </x:c>
      <x:c r="D99" s="18" t="str">
        <x:v>Acknowledged</x:v>
      </x:c>
      <x:c r="E99" s="20" t="n">
        <x:v>46286.5</x:v>
      </x:c>
      <x:c r="F99" s="21" t="str">
        <x:v>I understand the actions and checkpoints for the next quarter.</x:v>
      </x:c>
    </x:row>
    <x:row r="100" ht="15" hidden="0" customHeight="1">
      <x:c r="A100" s="18" t="str">
        <x:v>ACK0099</x:v>
      </x:c>
      <x:c r="B100" s="18" t="str">
        <x:v>REV0099</x:v>
      </x:c>
      <x:c r="C100" s="18" t="str">
        <x:v>EMP009</x:v>
      </x:c>
      <x:c r="D100" s="18" t="str">
        <x:v>Acknowledged</x:v>
      </x:c>
      <x:c r="E100" s="20" t="n">
        <x:v>46287.5</x:v>
      </x:c>
      <x:c r="F100" s="21" t="str">
        <x:v>I reviewed the discussion and agreed next steps.</x:v>
      </x:c>
    </x:row>
    <x:row r="101" ht="15" hidden="0" customHeight="1">
      <x:c r="A101" s="18" t="str">
        <x:v>ACK0100</x:v>
      </x:c>
      <x:c r="B101" s="18" t="str">
        <x:v>REV0100</x:v>
      </x:c>
      <x:c r="C101" s="18" t="str">
        <x:v>EMP010</x:v>
      </x:c>
      <x:c r="D101" s="18" t="str">
        <x:v>Acknowledged</x:v>
      </x:c>
      <x:c r="E101" s="20" t="n">
        <x:v>46288.5</x:v>
      </x:c>
      <x:c r="F101" s="21" t="str">
        <x:v>I reviewed the discussion and agreed next steps.</x:v>
      </x:c>
    </x:row>
    <x:row r="102" ht="15" hidden="0" customHeight="1">
      <x:c r="A102" s="18" t="str">
        <x:v>ACK0101</x:v>
      </x:c>
      <x:c r="B102" s="18" t="str">
        <x:v>REV0101</x:v>
      </x:c>
      <x:c r="C102" s="18" t="str">
        <x:v>EMP011</x:v>
      </x:c>
      <x:c r="D102" s="18" t="str">
        <x:v>Acknowledged</x:v>
      </x:c>
      <x:c r="E102" s="20" t="n">
        <x:v>46289.5</x:v>
      </x:c>
      <x:c r="F102" s="21" t="str">
        <x:v>I understand the actions and checkpoints for the next quarter.</x:v>
      </x:c>
    </x:row>
    <x:row r="103" ht="15" hidden="0" customHeight="1">
      <x:c r="A103" s="18" t="str">
        <x:v>ACK0102</x:v>
      </x:c>
      <x:c r="B103" s="18" t="str">
        <x:v>REV0102</x:v>
      </x:c>
      <x:c r="C103" s="18" t="str">
        <x:v>EMP012</x:v>
      </x:c>
      <x:c r="D103" s="18" t="str">
        <x:v>Acknowledged</x:v>
      </x:c>
      <x:c r="E103" s="20" t="n">
        <x:v>46290.5</x:v>
      </x:c>
      <x:c r="F103" s="21" t="str">
        <x:v>I reviewed the discussion and agreed next steps.</x:v>
      </x:c>
    </x:row>
    <x:row r="104" ht="15" hidden="0" customHeight="1">
      <x:c r="A104" s="18" t="str">
        <x:v>ACK0103</x:v>
      </x:c>
      <x:c r="B104" s="18" t="str">
        <x:v>REV0103</x:v>
      </x:c>
      <x:c r="C104" s="18" t="str">
        <x:v>EMP013</x:v>
      </x:c>
      <x:c r="D104" s="18" t="str">
        <x:v>Acknowledged</x:v>
      </x:c>
      <x:c r="E104" s="20" t="n">
        <x:v>46279.5</x:v>
      </x:c>
      <x:c r="F104" s="21" t="str">
        <x:v>I reviewed the discussion and agreed next steps.</x:v>
      </x:c>
    </x:row>
    <x:row r="105" ht="15" hidden="0" customHeight="1">
      <x:c r="A105" s="18" t="str">
        <x:v>ACK0104</x:v>
      </x:c>
      <x:c r="B105" s="18" t="str">
        <x:v>REV0104</x:v>
      </x:c>
      <x:c r="C105" s="18" t="str">
        <x:v>EMP014</x:v>
      </x:c>
      <x:c r="D105" s="18" t="str">
        <x:v>Acknowledged</x:v>
      </x:c>
      <x:c r="E105" s="20" t="n">
        <x:v>46280.5</x:v>
      </x:c>
      <x:c r="F105" s="21" t="str">
        <x:v>I reviewed the discussion and agreed next steps.</x:v>
      </x:c>
    </x:row>
    <x:row r="106" ht="15" hidden="0" customHeight="1">
      <x:c r="A106" s="18" t="str">
        <x:v>ACK0105</x:v>
      </x:c>
      <x:c r="B106" s="18" t="str">
        <x:v>REV0105</x:v>
      </x:c>
      <x:c r="C106" s="18" t="str">
        <x:v>EMP015</x:v>
      </x:c>
      <x:c r="D106" s="18" t="str">
        <x:v>Acknowledged</x:v>
      </x:c>
      <x:c r="E106" s="20" t="n">
        <x:v>46281.5</x:v>
      </x:c>
      <x:c r="F106" s="21" t="str">
        <x:v>I understand the actions and checkpoints for the next quarter.</x:v>
      </x:c>
    </x:row>
  </x:sheetData>
  <x:pageMargins left="0.7" right="0.7" top="0.75" bottom="0.75" header="0.3" footer="0.3"/>
  <x:tableParts count="1">
    <x:tablePart xmlns:r="http://schemas.openxmlformats.org/officeDocument/2006/relationships" r:id="Ra59d90903fc44d2a"/>
  </x:tableParts>
</x:worksheet>
</file>

<file path=xl/worksheets/sheet11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4" hidden="0" customWidth="1"/>
    <x:col min="3" max="3" width="52" hidden="0" customWidth="1"/>
    <x:col min="4" max="4" width="15" hidden="0" customWidth="1"/>
    <x:col min="5" max="5" width="12" hidden="0" customWidth="1"/>
  </x:cols>
  <x:sheetData>
    <x:row r="1" ht="30" hidden="0" customHeight="1">
      <x:c r="A1" s="15" t="str">
        <x:v>competency_id</x:v>
      </x:c>
      <x:c r="B1" s="16" t="str">
        <x:v>competency_name</x:v>
      </x:c>
      <x:c r="C1" s="16" t="str">
        <x:v>competency_description</x:v>
      </x:c>
      <x:c r="D1" s="16" t="str">
        <x:v>display_order</x:v>
      </x:c>
      <x:c r="E1" s="17" t="str">
        <x:v>is_active</x:v>
      </x:c>
    </x:row>
    <x:row r="2" ht="15" hidden="0" customHeight="1">
      <x:c r="A2" s="18" t="str">
        <x:v>COMP_STRATEGY</x:v>
      </x:c>
      <x:c r="B2" s="18" t="str">
        <x:v>Strategy and Execution</x:v>
      </x:c>
      <x:c r="C2" s="21" t="str">
        <x:v>Translates branch priorities into an actionable sales plan.</x:v>
      </x:c>
      <x:c r="D2" s="18" t="n">
        <x:v>1</x:v>
      </x:c>
      <x:c r="E2" s="19" t="b">
        <x:v>1</x:v>
      </x:c>
    </x:row>
    <x:row r="3" ht="15" hidden="0" customHeight="1">
      <x:c r="A3" s="18" t="str">
        <x:v>COMP_COMM</x:v>
      </x:c>
      <x:c r="B3" s="18" t="str">
        <x:v>Communication</x:v>
      </x:c>
      <x:c r="C3" s="21" t="str">
        <x:v>Communicates clearly with customers, peers, and leaders.</x:v>
      </x:c>
      <x:c r="D3" s="18" t="n">
        <x:v>2</x:v>
      </x:c>
      <x:c r="E3" s="19" t="b">
        <x:v>1</x:v>
      </x:c>
    </x:row>
    <x:row r="4" ht="15" hidden="0" customHeight="1">
      <x:c r="A4" s="18" t="str">
        <x:v>COMP_DOMAIN</x:v>
      </x:c>
      <x:c r="B4" s="18" t="str">
        <x:v>Business Domain Knowledge</x:v>
      </x:c>
      <x:c r="C4" s="21" t="str">
        <x:v>Applies lending-product, policy, and market knowledge.</x:v>
      </x:c>
      <x:c r="D4" s="18" t="n">
        <x:v>3</x:v>
      </x:c>
      <x:c r="E4" s="19" t="b">
        <x:v>1</x:v>
      </x:c>
    </x:row>
    <x:row r="5" ht="15" hidden="0" customHeight="1">
      <x:c r="A5" s="18" t="str">
        <x:v>COMP_CAREER</x:v>
      </x:c>
      <x:c r="B5" s="18" t="str">
        <x:v>Career Development</x:v>
      </x:c>
      <x:c r="C5" s="21" t="str">
        <x:v>Owns development actions and communicates career aspirations.</x:v>
      </x:c>
      <x:c r="D5" s="18" t="n">
        <x:v>4</x:v>
      </x:c>
      <x:c r="E5" s="19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d4c41a6555a4282"/>
  </x:tableParts>
</x:worksheet>
</file>

<file path=xl/worksheets/sheet12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13" hidden="0" customWidth="1"/>
    <x:col min="4" max="4" width="12" hidden="0" customWidth="1"/>
    <x:col min="5" max="5" width="15" hidden="0" customWidth="1"/>
    <x:col min="6" max="6" width="12" hidden="0" customWidth="1"/>
    <x:col min="7" max="7" width="14" hidden="0" customWidth="1"/>
    <x:col min="8" max="8" width="22" hidden="0" customWidth="1"/>
    <x:col min="9" max="9" width="14" hidden="0" customWidth="1"/>
  </x:cols>
  <x:sheetData>
    <x:row r="1" ht="30" hidden="0" customHeight="1">
      <x:c r="A1" s="15" t="str">
        <x:v>competency_rating_id</x:v>
      </x:c>
      <x:c r="B1" s="16" t="str">
        <x:v>review_id</x:v>
      </x:c>
      <x:c r="C1" s="16" t="str">
        <x:v>employee_id</x:v>
      </x:c>
      <x:c r="D1" s="16" t="str">
        <x:v>cycle_id</x:v>
      </x:c>
      <x:c r="E1" s="16" t="str">
        <x:v>competency_id</x:v>
      </x:c>
      <x:c r="F1" s="16" t="str">
        <x:v>rating</x:v>
      </x:c>
      <x:c r="G1" s="16" t="str">
        <x:v>rating_label</x:v>
      </x:c>
      <x:c r="H1" s="16" t="str">
        <x:v>rated_by_employee_id</x:v>
      </x:c>
      <x:c r="I1" s="17" t="str">
        <x:v>rating_date</x:v>
      </x:c>
    </x:row>
    <x:row r="2" ht="15" hidden="0" customHeight="1">
      <x:c r="A2" s="18" t="str">
        <x:v>CR00001</x:v>
      </x:c>
      <x:c r="B2" s="18" t="str">
        <x:v>REV0001</x:v>
      </x:c>
      <x:c r="C2" s="18" t="str">
        <x:v>EMP001</x:v>
      </x:c>
      <x:c r="D2" s="18" t="str">
        <x:v>CY2025Q1</x:v>
      </x:c>
      <x:c r="E2" s="18" t="str">
        <x:v>COMP_STRATEGY</x:v>
      </x:c>
      <x:c r="F2" s="18" t="n">
        <x:v>5</x:v>
      </x:c>
      <x:c r="G2" s="18" t="str">
        <x:v>Significantly exceeds expectations</x:v>
      </x:c>
      <x:c r="H2" s="18" t="str">
        <x:v>MGR001</x:v>
      </x:c>
      <x:c r="I2" s="20" t="n">
        <x:v>45729.5</x:v>
      </x:c>
    </x:row>
    <x:row r="3" ht="15" hidden="0" customHeight="1">
      <x:c r="A3" s="18" t="str">
        <x:v>CR00002</x:v>
      </x:c>
      <x:c r="B3" s="18" t="str">
        <x:v>REV0001</x:v>
      </x:c>
      <x:c r="C3" s="18" t="str">
        <x:v>EMP001</x:v>
      </x:c>
      <x:c r="D3" s="18" t="str">
        <x:v>CY2025Q1</x:v>
      </x:c>
      <x:c r="E3" s="18" t="str">
        <x:v>COMP_COMM</x:v>
      </x:c>
      <x:c r="F3" s="18" t="n">
        <x:v>5</x:v>
      </x:c>
      <x:c r="G3" s="18" t="str">
        <x:v>Significantly exceeds expectations</x:v>
      </x:c>
      <x:c r="H3" s="18" t="str">
        <x:v>MGR001</x:v>
      </x:c>
      <x:c r="I3" s="20" t="n">
        <x:v>45729.5</x:v>
      </x:c>
    </x:row>
    <x:row r="4" ht="15" hidden="0" customHeight="1">
      <x:c r="A4" s="18" t="str">
        <x:v>CR00003</x:v>
      </x:c>
      <x:c r="B4" s="18" t="str">
        <x:v>REV0001</x:v>
      </x:c>
      <x:c r="C4" s="18" t="str">
        <x:v>EMP001</x:v>
      </x:c>
      <x:c r="D4" s="18" t="str">
        <x:v>CY2025Q1</x:v>
      </x:c>
      <x:c r="E4" s="18" t="str">
        <x:v>COMP_DOMAIN</x:v>
      </x:c>
      <x:c r="F4" s="18" t="n">
        <x:v>5</x:v>
      </x:c>
      <x:c r="G4" s="18" t="str">
        <x:v>Significantly exceeds expectations</x:v>
      </x:c>
      <x:c r="H4" s="18" t="str">
        <x:v>MGR001</x:v>
      </x:c>
      <x:c r="I4" s="20" t="n">
        <x:v>45729.5</x:v>
      </x:c>
    </x:row>
    <x:row r="5" ht="15" hidden="0" customHeight="1">
      <x:c r="A5" s="18" t="str">
        <x:v>CR00004</x:v>
      </x:c>
      <x:c r="B5" s="18" t="str">
        <x:v>REV0001</x:v>
      </x:c>
      <x:c r="C5" s="18" t="str">
        <x:v>EMP001</x:v>
      </x:c>
      <x:c r="D5" s="18" t="str">
        <x:v>CY2025Q1</x:v>
      </x:c>
      <x:c r="E5" s="18" t="str">
        <x:v>COMP_CAREER</x:v>
      </x:c>
      <x:c r="F5" s="18" t="n">
        <x:v>5</x:v>
      </x:c>
      <x:c r="G5" s="18" t="str">
        <x:v>Significantly exceeds expectations</x:v>
      </x:c>
      <x:c r="H5" s="18" t="str">
        <x:v>MGR001</x:v>
      </x:c>
      <x:c r="I5" s="20" t="n">
        <x:v>45729.5</x:v>
      </x:c>
    </x:row>
    <x:row r="6" ht="15" hidden="0" customHeight="1">
      <x:c r="A6" s="18" t="str">
        <x:v>CR00005</x:v>
      </x:c>
      <x:c r="B6" s="18" t="str">
        <x:v>REV0002</x:v>
      </x:c>
      <x:c r="C6" s="18" t="str">
        <x:v>EMP002</x:v>
      </x:c>
      <x:c r="D6" s="18" t="str">
        <x:v>CY2025Q1</x:v>
      </x:c>
      <x:c r="E6" s="18" t="str">
        <x:v>COMP_STRATEGY</x:v>
      </x:c>
      <x:c r="F6" s="18" t="n">
        <x:v>4</x:v>
      </x:c>
      <x:c r="G6" s="18" t="str">
        <x:v>Exceeds expectations</x:v>
      </x:c>
      <x:c r="H6" s="18" t="str">
        <x:v>MGR001</x:v>
      </x:c>
      <x:c r="I6" s="20" t="n">
        <x:v>45730.5</x:v>
      </x:c>
    </x:row>
    <x:row r="7" ht="15" hidden="0" customHeight="1">
      <x:c r="A7" s="18" t="str">
        <x:v>CR00006</x:v>
      </x:c>
      <x:c r="B7" s="18" t="str">
        <x:v>REV0002</x:v>
      </x:c>
      <x:c r="C7" s="18" t="str">
        <x:v>EMP002</x:v>
      </x:c>
      <x:c r="D7" s="18" t="str">
        <x:v>CY2025Q1</x:v>
      </x:c>
      <x:c r="E7" s="18" t="str">
        <x:v>COMP_COMM</x:v>
      </x:c>
      <x:c r="F7" s="18" t="n">
        <x:v>4</x:v>
      </x:c>
      <x:c r="G7" s="18" t="str">
        <x:v>Exceeds expectations</x:v>
      </x:c>
      <x:c r="H7" s="18" t="str">
        <x:v>MGR001</x:v>
      </x:c>
      <x:c r="I7" s="20" t="n">
        <x:v>45730.5</x:v>
      </x:c>
    </x:row>
    <x:row r="8" ht="15" hidden="0" customHeight="1">
      <x:c r="A8" s="18" t="str">
        <x:v>CR00007</x:v>
      </x:c>
      <x:c r="B8" s="18" t="str">
        <x:v>REV0002</x:v>
      </x:c>
      <x:c r="C8" s="18" t="str">
        <x:v>EMP002</x:v>
      </x:c>
      <x:c r="D8" s="18" t="str">
        <x:v>CY2025Q1</x:v>
      </x:c>
      <x:c r="E8" s="18" t="str">
        <x:v>COMP_DOMAIN</x:v>
      </x:c>
      <x:c r="F8" s="18" t="n">
        <x:v>4</x:v>
      </x:c>
      <x:c r="G8" s="18" t="str">
        <x:v>Exceeds expectations</x:v>
      </x:c>
      <x:c r="H8" s="18" t="str">
        <x:v>MGR001</x:v>
      </x:c>
      <x:c r="I8" s="20" t="n">
        <x:v>45730.5</x:v>
      </x:c>
    </x:row>
    <x:row r="9" ht="15" hidden="0" customHeight="1">
      <x:c r="A9" s="18" t="str">
        <x:v>CR00008</x:v>
      </x:c>
      <x:c r="B9" s="18" t="str">
        <x:v>REV0002</x:v>
      </x:c>
      <x:c r="C9" s="18" t="str">
        <x:v>EMP002</x:v>
      </x:c>
      <x:c r="D9" s="18" t="str">
        <x:v>CY2025Q1</x:v>
      </x:c>
      <x:c r="E9" s="18" t="str">
        <x:v>COMP_CAREER</x:v>
      </x:c>
      <x:c r="F9" s="18" t="n">
        <x:v>4</x:v>
      </x:c>
      <x:c r="G9" s="18" t="str">
        <x:v>Exceeds expectations</x:v>
      </x:c>
      <x:c r="H9" s="18" t="str">
        <x:v>MGR001</x:v>
      </x:c>
      <x:c r="I9" s="20" t="n">
        <x:v>45730.5</x:v>
      </x:c>
    </x:row>
    <x:row r="10" ht="15" hidden="0" customHeight="1">
      <x:c r="A10" s="18" t="str">
        <x:v>CR00009</x:v>
      </x:c>
      <x:c r="B10" s="18" t="str">
        <x:v>REV0003</x:v>
      </x:c>
      <x:c r="C10" s="18" t="str">
        <x:v>EMP003</x:v>
      </x:c>
      <x:c r="D10" s="18" t="str">
        <x:v>CY2025Q1</x:v>
      </x:c>
      <x:c r="E10" s="18" t="str">
        <x:v>COMP_STRATEGY</x:v>
      </x:c>
      <x:c r="F10" s="18" t="n">
        <x:v>3</x:v>
      </x:c>
      <x:c r="G10" s="18" t="str">
        <x:v>Meets expectations</x:v>
      </x:c>
      <x:c r="H10" s="18" t="str">
        <x:v>MGR001</x:v>
      </x:c>
      <x:c r="I10" s="20" t="n">
        <x:v>45731.5</x:v>
      </x:c>
    </x:row>
    <x:row r="11" ht="15" hidden="0" customHeight="1">
      <x:c r="A11" s="18" t="str">
        <x:v>CR00010</x:v>
      </x:c>
      <x:c r="B11" s="18" t="str">
        <x:v>REV0003</x:v>
      </x:c>
      <x:c r="C11" s="18" t="str">
        <x:v>EMP003</x:v>
      </x:c>
      <x:c r="D11" s="18" t="str">
        <x:v>CY2025Q1</x:v>
      </x:c>
      <x:c r="E11" s="18" t="str">
        <x:v>COMP_COMM</x:v>
      </x:c>
      <x:c r="F11" s="18" t="n">
        <x:v>3</x:v>
      </x:c>
      <x:c r="G11" s="18" t="str">
        <x:v>Meets expectations</x:v>
      </x:c>
      <x:c r="H11" s="18" t="str">
        <x:v>MGR001</x:v>
      </x:c>
      <x:c r="I11" s="20" t="n">
        <x:v>45731.5</x:v>
      </x:c>
    </x:row>
    <x:row r="12" ht="15" hidden="0" customHeight="1">
      <x:c r="A12" s="18" t="str">
        <x:v>CR00011</x:v>
      </x:c>
      <x:c r="B12" s="18" t="str">
        <x:v>REV0003</x:v>
      </x:c>
      <x:c r="C12" s="18" t="str">
        <x:v>EMP003</x:v>
      </x:c>
      <x:c r="D12" s="18" t="str">
        <x:v>CY2025Q1</x:v>
      </x:c>
      <x:c r="E12" s="18" t="str">
        <x:v>COMP_DOMAIN</x:v>
      </x:c>
      <x:c r="F12" s="18" t="n">
        <x:v>3</x:v>
      </x:c>
      <x:c r="G12" s="18" t="str">
        <x:v>Meets expectations</x:v>
      </x:c>
      <x:c r="H12" s="18" t="str">
        <x:v>MGR001</x:v>
      </x:c>
      <x:c r="I12" s="20" t="n">
        <x:v>45731.5</x:v>
      </x:c>
    </x:row>
    <x:row r="13" ht="15" hidden="0" customHeight="1">
      <x:c r="A13" s="18" t="str">
        <x:v>CR00012</x:v>
      </x:c>
      <x:c r="B13" s="18" t="str">
        <x:v>REV0003</x:v>
      </x:c>
      <x:c r="C13" s="18" t="str">
        <x:v>EMP003</x:v>
      </x:c>
      <x:c r="D13" s="18" t="str">
        <x:v>CY2025Q1</x:v>
      </x:c>
      <x:c r="E13" s="18" t="str">
        <x:v>COMP_CAREER</x:v>
      </x:c>
      <x:c r="F13" s="18" t="n">
        <x:v>4</x:v>
      </x:c>
      <x:c r="G13" s="18" t="str">
        <x:v>Exceeds expectations</x:v>
      </x:c>
      <x:c r="H13" s="18" t="str">
        <x:v>MGR001</x:v>
      </x:c>
      <x:c r="I13" s="20" t="n">
        <x:v>45731.5</x:v>
      </x:c>
    </x:row>
    <x:row r="14" ht="15" hidden="0" customHeight="1">
      <x:c r="A14" s="18" t="str">
        <x:v>CR00013</x:v>
      </x:c>
      <x:c r="B14" s="18" t="str">
        <x:v>REV0004</x:v>
      </x:c>
      <x:c r="C14" s="18" t="str">
        <x:v>EMP004</x:v>
      </x:c>
      <x:c r="D14" s="18" t="str">
        <x:v>CY2025Q1</x:v>
      </x:c>
      <x:c r="E14" s="18" t="str">
        <x:v>COMP_STRATEGY</x:v>
      </x:c>
      <x:c r="F14" s="18" t="n">
        <x:v>2</x:v>
      </x:c>
      <x:c r="G14" s="18" t="str">
        <x:v>Partially meets expectations</x:v>
      </x:c>
      <x:c r="H14" s="18" t="str">
        <x:v>MGR002</x:v>
      </x:c>
      <x:c r="I14" s="20" t="n">
        <x:v>45732.5</x:v>
      </x:c>
    </x:row>
    <x:row r="15" ht="15" hidden="0" customHeight="1">
      <x:c r="A15" s="18" t="str">
        <x:v>CR00014</x:v>
      </x:c>
      <x:c r="B15" s="18" t="str">
        <x:v>REV0004</x:v>
      </x:c>
      <x:c r="C15" s="18" t="str">
        <x:v>EMP004</x:v>
      </x:c>
      <x:c r="D15" s="18" t="str">
        <x:v>CY2025Q1</x:v>
      </x:c>
      <x:c r="E15" s="18" t="str">
        <x:v>COMP_COMM</x:v>
      </x:c>
      <x:c r="F15" s="18" t="n">
        <x:v>2</x:v>
      </x:c>
      <x:c r="G15" s="18" t="str">
        <x:v>Partially meets expectations</x:v>
      </x:c>
      <x:c r="H15" s="18" t="str">
        <x:v>MGR002</x:v>
      </x:c>
      <x:c r="I15" s="20" t="n">
        <x:v>45732.5</x:v>
      </x:c>
    </x:row>
    <x:row r="16" ht="15" hidden="0" customHeight="1">
      <x:c r="A16" s="18" t="str">
        <x:v>CR00015</x:v>
      </x:c>
      <x:c r="B16" s="18" t="str">
        <x:v>REV0004</x:v>
      </x:c>
      <x:c r="C16" s="18" t="str">
        <x:v>EMP004</x:v>
      </x:c>
      <x:c r="D16" s="18" t="str">
        <x:v>CY2025Q1</x:v>
      </x:c>
      <x:c r="E16" s="18" t="str">
        <x:v>COMP_DOMAIN</x:v>
      </x:c>
      <x:c r="F16" s="18" t="n">
        <x:v>2</x:v>
      </x:c>
      <x:c r="G16" s="18" t="str">
        <x:v>Partially meets expectations</x:v>
      </x:c>
      <x:c r="H16" s="18" t="str">
        <x:v>MGR002</x:v>
      </x:c>
      <x:c r="I16" s="20" t="n">
        <x:v>45732.5</x:v>
      </x:c>
    </x:row>
    <x:row r="17" ht="15" hidden="0" customHeight="1">
      <x:c r="A17" s="18" t="str">
        <x:v>CR00016</x:v>
      </x:c>
      <x:c r="B17" s="18" t="str">
        <x:v>REV0004</x:v>
      </x:c>
      <x:c r="C17" s="18" t="str">
        <x:v>EMP004</x:v>
      </x:c>
      <x:c r="D17" s="18" t="str">
        <x:v>CY2025Q1</x:v>
      </x:c>
      <x:c r="E17" s="18" t="str">
        <x:v>COMP_CAREER</x:v>
      </x:c>
      <x:c r="F17" s="18" t="n">
        <x:v>2</x:v>
      </x:c>
      <x:c r="G17" s="18" t="str">
        <x:v>Partially meets expectations</x:v>
      </x:c>
      <x:c r="H17" s="18" t="str">
        <x:v>MGR002</x:v>
      </x:c>
      <x:c r="I17" s="20" t="n">
        <x:v>45732.5</x:v>
      </x:c>
    </x:row>
    <x:row r="18" ht="15" hidden="0" customHeight="1">
      <x:c r="A18" s="18" t="str">
        <x:v>CR00017</x:v>
      </x:c>
      <x:c r="B18" s="18" t="str">
        <x:v>REV0005</x:v>
      </x:c>
      <x:c r="C18" s="18" t="str">
        <x:v>EMP005</x:v>
      </x:c>
      <x:c r="D18" s="18" t="str">
        <x:v>CY2025Q1</x:v>
      </x:c>
      <x:c r="E18" s="18" t="str">
        <x:v>COMP_STRATEGY</x:v>
      </x:c>
      <x:c r="F18" s="18" t="n">
        <x:v>4</x:v>
      </x:c>
      <x:c r="G18" s="18" t="str">
        <x:v>Exceeds expectations</x:v>
      </x:c>
      <x:c r="H18" s="18" t="str">
        <x:v>MGR002</x:v>
      </x:c>
      <x:c r="I18" s="20" t="n">
        <x:v>45733.5</x:v>
      </x:c>
    </x:row>
    <x:row r="19" ht="15" hidden="0" customHeight="1">
      <x:c r="A19" s="18" t="str">
        <x:v>CR00018</x:v>
      </x:c>
      <x:c r="B19" s="18" t="str">
        <x:v>REV0005</x:v>
      </x:c>
      <x:c r="C19" s="18" t="str">
        <x:v>EMP005</x:v>
      </x:c>
      <x:c r="D19" s="18" t="str">
        <x:v>CY2025Q1</x:v>
      </x:c>
      <x:c r="E19" s="18" t="str">
        <x:v>COMP_COMM</x:v>
      </x:c>
      <x:c r="F19" s="18" t="n">
        <x:v>3</x:v>
      </x:c>
      <x:c r="G19" s="18" t="str">
        <x:v>Meets expectations</x:v>
      </x:c>
      <x:c r="H19" s="18" t="str">
        <x:v>MGR002</x:v>
      </x:c>
      <x:c r="I19" s="20" t="n">
        <x:v>45733.5</x:v>
      </x:c>
    </x:row>
    <x:row r="20" ht="15" hidden="0" customHeight="1">
      <x:c r="A20" s="18" t="str">
        <x:v>CR00019</x:v>
      </x:c>
      <x:c r="B20" s="18" t="str">
        <x:v>REV0005</x:v>
      </x:c>
      <x:c r="C20" s="18" t="str">
        <x:v>EMP005</x:v>
      </x:c>
      <x:c r="D20" s="18" t="str">
        <x:v>CY2025Q1</x:v>
      </x:c>
      <x:c r="E20" s="18" t="str">
        <x:v>COMP_DOMAIN</x:v>
      </x:c>
      <x:c r="F20" s="18" t="n">
        <x:v>4</x:v>
      </x:c>
      <x:c r="G20" s="18" t="str">
        <x:v>Exceeds expectations</x:v>
      </x:c>
      <x:c r="H20" s="18" t="str">
        <x:v>MGR002</x:v>
      </x:c>
      <x:c r="I20" s="20" t="n">
        <x:v>45733.5</x:v>
      </x:c>
    </x:row>
    <x:row r="21" ht="15" hidden="0" customHeight="1">
      <x:c r="A21" s="18" t="str">
        <x:v>CR00020</x:v>
      </x:c>
      <x:c r="B21" s="18" t="str">
        <x:v>REV0005</x:v>
      </x:c>
      <x:c r="C21" s="18" t="str">
        <x:v>EMP005</x:v>
      </x:c>
      <x:c r="D21" s="18" t="str">
        <x:v>CY2025Q1</x:v>
      </x:c>
      <x:c r="E21" s="18" t="str">
        <x:v>COMP_CAREER</x:v>
      </x:c>
      <x:c r="F21" s="18" t="n">
        <x:v>4</x:v>
      </x:c>
      <x:c r="G21" s="18" t="str">
        <x:v>Exceeds expectations</x:v>
      </x:c>
      <x:c r="H21" s="18" t="str">
        <x:v>MGR002</x:v>
      </x:c>
      <x:c r="I21" s="20" t="n">
        <x:v>45733.5</x:v>
      </x:c>
    </x:row>
    <x:row r="22" ht="15" hidden="0" customHeight="1">
      <x:c r="A22" s="18" t="str">
        <x:v>CR00021</x:v>
      </x:c>
      <x:c r="B22" s="18" t="str">
        <x:v>REV0006</x:v>
      </x:c>
      <x:c r="C22" s="18" t="str">
        <x:v>EMP006</x:v>
      </x:c>
      <x:c r="D22" s="18" t="str">
        <x:v>CY2025Q1</x:v>
      </x:c>
      <x:c r="E22" s="18" t="str">
        <x:v>COMP_STRATEGY</x:v>
      </x:c>
      <x:c r="F22" s="18" t="n">
        <x:v>4</x:v>
      </x:c>
      <x:c r="G22" s="18" t="str">
        <x:v>Exceeds expectations</x:v>
      </x:c>
      <x:c r="H22" s="18" t="str">
        <x:v>MGR002</x:v>
      </x:c>
      <x:c r="I22" s="20" t="n">
        <x:v>45734.5</x:v>
      </x:c>
    </x:row>
    <x:row r="23" ht="15" hidden="0" customHeight="1">
      <x:c r="A23" s="18" t="str">
        <x:v>CR00022</x:v>
      </x:c>
      <x:c r="B23" s="18" t="str">
        <x:v>REV0006</x:v>
      </x:c>
      <x:c r="C23" s="18" t="str">
        <x:v>EMP006</x:v>
      </x:c>
      <x:c r="D23" s="18" t="str">
        <x:v>CY2025Q1</x:v>
      </x:c>
      <x:c r="E23" s="18" t="str">
        <x:v>COMP_COMM</x:v>
      </x:c>
      <x:c r="F23" s="18" t="n">
        <x:v>4</x:v>
      </x:c>
      <x:c r="G23" s="18" t="str">
        <x:v>Exceeds expectations</x:v>
      </x:c>
      <x:c r="H23" s="18" t="str">
        <x:v>MGR002</x:v>
      </x:c>
      <x:c r="I23" s="20" t="n">
        <x:v>45734.5</x:v>
      </x:c>
    </x:row>
    <x:row r="24" ht="15" hidden="0" customHeight="1">
      <x:c r="A24" s="18" t="str">
        <x:v>CR00023</x:v>
      </x:c>
      <x:c r="B24" s="18" t="str">
        <x:v>REV0006</x:v>
      </x:c>
      <x:c r="C24" s="18" t="str">
        <x:v>EMP006</x:v>
      </x:c>
      <x:c r="D24" s="18" t="str">
        <x:v>CY2025Q1</x:v>
      </x:c>
      <x:c r="E24" s="18" t="str">
        <x:v>COMP_DOMAIN</x:v>
      </x:c>
      <x:c r="F24" s="18" t="n">
        <x:v>4</x:v>
      </x:c>
      <x:c r="G24" s="18" t="str">
        <x:v>Exceeds expectations</x:v>
      </x:c>
      <x:c r="H24" s="18" t="str">
        <x:v>MGR002</x:v>
      </x:c>
      <x:c r="I24" s="20" t="n">
        <x:v>45734.5</x:v>
      </x:c>
    </x:row>
    <x:row r="25" ht="15" hidden="0" customHeight="1">
      <x:c r="A25" s="18" t="str">
        <x:v>CR00024</x:v>
      </x:c>
      <x:c r="B25" s="18" t="str">
        <x:v>REV0006</x:v>
      </x:c>
      <x:c r="C25" s="18" t="str">
        <x:v>EMP006</x:v>
      </x:c>
      <x:c r="D25" s="18" t="str">
        <x:v>CY2025Q1</x:v>
      </x:c>
      <x:c r="E25" s="18" t="str">
        <x:v>COMP_CAREER</x:v>
      </x:c>
      <x:c r="F25" s="18" t="n">
        <x:v>4</x:v>
      </x:c>
      <x:c r="G25" s="18" t="str">
        <x:v>Exceeds expectations</x:v>
      </x:c>
      <x:c r="H25" s="18" t="str">
        <x:v>MGR002</x:v>
      </x:c>
      <x:c r="I25" s="20" t="n">
        <x:v>45734.5</x:v>
      </x:c>
    </x:row>
    <x:row r="26" ht="15" hidden="0" customHeight="1">
      <x:c r="A26" s="18" t="str">
        <x:v>CR00025</x:v>
      </x:c>
      <x:c r="B26" s="18" t="str">
        <x:v>REV0007</x:v>
      </x:c>
      <x:c r="C26" s="18" t="str">
        <x:v>EMP007</x:v>
      </x:c>
      <x:c r="D26" s="18" t="str">
        <x:v>CY2025Q1</x:v>
      </x:c>
      <x:c r="E26" s="18" t="str">
        <x:v>COMP_STRATEGY</x:v>
      </x:c>
      <x:c r="F26" s="18" t="n">
        <x:v>2</x:v>
      </x:c>
      <x:c r="G26" s="18" t="str">
        <x:v>Partially meets expectations</x:v>
      </x:c>
      <x:c r="H26" s="18" t="str">
        <x:v>MGR003</x:v>
      </x:c>
      <x:c r="I26" s="20" t="n">
        <x:v>45735.5</x:v>
      </x:c>
    </x:row>
    <x:row r="27" ht="15" hidden="0" customHeight="1">
      <x:c r="A27" s="18" t="str">
        <x:v>CR00026</x:v>
      </x:c>
      <x:c r="B27" s="18" t="str">
        <x:v>REV0007</x:v>
      </x:c>
      <x:c r="C27" s="18" t="str">
        <x:v>EMP007</x:v>
      </x:c>
      <x:c r="D27" s="18" t="str">
        <x:v>CY2025Q1</x:v>
      </x:c>
      <x:c r="E27" s="18" t="str">
        <x:v>COMP_COMM</x:v>
      </x:c>
      <x:c r="F27" s="18" t="n">
        <x:v>2</x:v>
      </x:c>
      <x:c r="G27" s="18" t="str">
        <x:v>Partially meets expectations</x:v>
      </x:c>
      <x:c r="H27" s="18" t="str">
        <x:v>MGR003</x:v>
      </x:c>
      <x:c r="I27" s="20" t="n">
        <x:v>45735.5</x:v>
      </x:c>
    </x:row>
    <x:row r="28" ht="15" hidden="0" customHeight="1">
      <x:c r="A28" s="18" t="str">
        <x:v>CR00027</x:v>
      </x:c>
      <x:c r="B28" s="18" t="str">
        <x:v>REV0007</x:v>
      </x:c>
      <x:c r="C28" s="18" t="str">
        <x:v>EMP007</x:v>
      </x:c>
      <x:c r="D28" s="18" t="str">
        <x:v>CY2025Q1</x:v>
      </x:c>
      <x:c r="E28" s="18" t="str">
        <x:v>COMP_DOMAIN</x:v>
      </x:c>
      <x:c r="F28" s="18" t="n">
        <x:v>2</x:v>
      </x:c>
      <x:c r="G28" s="18" t="str">
        <x:v>Partially meets expectations</x:v>
      </x:c>
      <x:c r="H28" s="18" t="str">
        <x:v>MGR003</x:v>
      </x:c>
      <x:c r="I28" s="20" t="n">
        <x:v>45735.5</x:v>
      </x:c>
    </x:row>
    <x:row r="29" ht="15" hidden="0" customHeight="1">
      <x:c r="A29" s="18" t="str">
        <x:v>CR00028</x:v>
      </x:c>
      <x:c r="B29" s="18" t="str">
        <x:v>REV0007</x:v>
      </x:c>
      <x:c r="C29" s="18" t="str">
        <x:v>EMP007</x:v>
      </x:c>
      <x:c r="D29" s="18" t="str">
        <x:v>CY2025Q1</x:v>
      </x:c>
      <x:c r="E29" s="18" t="str">
        <x:v>COMP_CAREER</x:v>
      </x:c>
      <x:c r="F29" s="18" t="n">
        <x:v>2</x:v>
      </x:c>
      <x:c r="G29" s="18" t="str">
        <x:v>Partially meets expectations</x:v>
      </x:c>
      <x:c r="H29" s="18" t="str">
        <x:v>MGR003</x:v>
      </x:c>
      <x:c r="I29" s="20" t="n">
        <x:v>45735.5</x:v>
      </x:c>
    </x:row>
    <x:row r="30" ht="15" hidden="0" customHeight="1">
      <x:c r="A30" s="18" t="str">
        <x:v>CR00029</x:v>
      </x:c>
      <x:c r="B30" s="18" t="str">
        <x:v>REV0008</x:v>
      </x:c>
      <x:c r="C30" s="18" t="str">
        <x:v>EMP008</x:v>
      </x:c>
      <x:c r="D30" s="18" t="str">
        <x:v>CY2025Q1</x:v>
      </x:c>
      <x:c r="E30" s="18" t="str">
        <x:v>COMP_STRATEGY</x:v>
      </x:c>
      <x:c r="F30" s="18" t="n">
        <x:v>1</x:v>
      </x:c>
      <x:c r="G30" s="18" t="str">
        <x:v>Improvement required</x:v>
      </x:c>
      <x:c r="H30" s="18" t="str">
        <x:v>MGR003</x:v>
      </x:c>
      <x:c r="I30" s="20" t="n">
        <x:v>45736.5</x:v>
      </x:c>
    </x:row>
    <x:row r="31" ht="15" hidden="0" customHeight="1">
      <x:c r="A31" s="18" t="str">
        <x:v>CR00030</x:v>
      </x:c>
      <x:c r="B31" s="18" t="str">
        <x:v>REV0008</x:v>
      </x:c>
      <x:c r="C31" s="18" t="str">
        <x:v>EMP008</x:v>
      </x:c>
      <x:c r="D31" s="18" t="str">
        <x:v>CY2025Q1</x:v>
      </x:c>
      <x:c r="E31" s="18" t="str">
        <x:v>COMP_COMM</x:v>
      </x:c>
      <x:c r="F31" s="18" t="n">
        <x:v>1</x:v>
      </x:c>
      <x:c r="G31" s="18" t="str">
        <x:v>Improvement required</x:v>
      </x:c>
      <x:c r="H31" s="18" t="str">
        <x:v>MGR003</x:v>
      </x:c>
      <x:c r="I31" s="20" t="n">
        <x:v>45736.5</x:v>
      </x:c>
    </x:row>
    <x:row r="32" ht="15" hidden="0" customHeight="1">
      <x:c r="A32" s="18" t="str">
        <x:v>CR00031</x:v>
      </x:c>
      <x:c r="B32" s="18" t="str">
        <x:v>REV0008</x:v>
      </x:c>
      <x:c r="C32" s="18" t="str">
        <x:v>EMP008</x:v>
      </x:c>
      <x:c r="D32" s="18" t="str">
        <x:v>CY2025Q1</x:v>
      </x:c>
      <x:c r="E32" s="18" t="str">
        <x:v>COMP_DOMAIN</x:v>
      </x:c>
      <x:c r="F32" s="18" t="n">
        <x:v>2</x:v>
      </x:c>
      <x:c r="G32" s="18" t="str">
        <x:v>Partially meets expectations</x:v>
      </x:c>
      <x:c r="H32" s="18" t="str">
        <x:v>MGR003</x:v>
      </x:c>
      <x:c r="I32" s="20" t="n">
        <x:v>45736.5</x:v>
      </x:c>
    </x:row>
    <x:row r="33" ht="15" hidden="0" customHeight="1">
      <x:c r="A33" s="18" t="str">
        <x:v>CR00032</x:v>
      </x:c>
      <x:c r="B33" s="18" t="str">
        <x:v>REV0008</x:v>
      </x:c>
      <x:c r="C33" s="18" t="str">
        <x:v>EMP008</x:v>
      </x:c>
      <x:c r="D33" s="18" t="str">
        <x:v>CY2025Q1</x:v>
      </x:c>
      <x:c r="E33" s="18" t="str">
        <x:v>COMP_CAREER</x:v>
      </x:c>
      <x:c r="F33" s="18" t="n">
        <x:v>1</x:v>
      </x:c>
      <x:c r="G33" s="18" t="str">
        <x:v>Improvement required</x:v>
      </x:c>
      <x:c r="H33" s="18" t="str">
        <x:v>MGR003</x:v>
      </x:c>
      <x:c r="I33" s="20" t="n">
        <x:v>45736.5</x:v>
      </x:c>
    </x:row>
    <x:row r="34" ht="15" hidden="0" customHeight="1">
      <x:c r="A34" s="18" t="str">
        <x:v>CR00033</x:v>
      </x:c>
      <x:c r="B34" s="18" t="str">
        <x:v>REV0009</x:v>
      </x:c>
      <x:c r="C34" s="18" t="str">
        <x:v>EMP009</x:v>
      </x:c>
      <x:c r="D34" s="18" t="str">
        <x:v>CY2025Q1</x:v>
      </x:c>
      <x:c r="E34" s="18" t="str">
        <x:v>COMP_STRATEGY</x:v>
      </x:c>
      <x:c r="F34" s="18" t="n">
        <x:v>5</x:v>
      </x:c>
      <x:c r="G34" s="18" t="str">
        <x:v>Significantly exceeds expectations</x:v>
      </x:c>
      <x:c r="H34" s="18" t="str">
        <x:v>MGR004</x:v>
      </x:c>
      <x:c r="I34" s="20" t="n">
        <x:v>45737.5</x:v>
      </x:c>
    </x:row>
    <x:row r="35" ht="15" hidden="0" customHeight="1">
      <x:c r="A35" s="18" t="str">
        <x:v>CR00034</x:v>
      </x:c>
      <x:c r="B35" s="18" t="str">
        <x:v>REV0009</x:v>
      </x:c>
      <x:c r="C35" s="18" t="str">
        <x:v>EMP009</x:v>
      </x:c>
      <x:c r="D35" s="18" t="str">
        <x:v>CY2025Q1</x:v>
      </x:c>
      <x:c r="E35" s="18" t="str">
        <x:v>COMP_COMM</x:v>
      </x:c>
      <x:c r="F35" s="18" t="n">
        <x:v>5</x:v>
      </x:c>
      <x:c r="G35" s="18" t="str">
        <x:v>Significantly exceeds expectations</x:v>
      </x:c>
      <x:c r="H35" s="18" t="str">
        <x:v>MGR004</x:v>
      </x:c>
      <x:c r="I35" s="20" t="n">
        <x:v>45737.5</x:v>
      </x:c>
    </x:row>
    <x:row r="36" ht="15" hidden="0" customHeight="1">
      <x:c r="A36" s="18" t="str">
        <x:v>CR00035</x:v>
      </x:c>
      <x:c r="B36" s="18" t="str">
        <x:v>REV0009</x:v>
      </x:c>
      <x:c r="C36" s="18" t="str">
        <x:v>EMP009</x:v>
      </x:c>
      <x:c r="D36" s="18" t="str">
        <x:v>CY2025Q1</x:v>
      </x:c>
      <x:c r="E36" s="18" t="str">
        <x:v>COMP_DOMAIN</x:v>
      </x:c>
      <x:c r="F36" s="18" t="n">
        <x:v>5</x:v>
      </x:c>
      <x:c r="G36" s="18" t="str">
        <x:v>Significantly exceeds expectations</x:v>
      </x:c>
      <x:c r="H36" s="18" t="str">
        <x:v>MGR004</x:v>
      </x:c>
      <x:c r="I36" s="20" t="n">
        <x:v>45737.5</x:v>
      </x:c>
    </x:row>
    <x:row r="37" ht="15" hidden="0" customHeight="1">
      <x:c r="A37" s="18" t="str">
        <x:v>CR00036</x:v>
      </x:c>
      <x:c r="B37" s="18" t="str">
        <x:v>REV0009</x:v>
      </x:c>
      <x:c r="C37" s="18" t="str">
        <x:v>EMP009</x:v>
      </x:c>
      <x:c r="D37" s="18" t="str">
        <x:v>CY2025Q1</x:v>
      </x:c>
      <x:c r="E37" s="18" t="str">
        <x:v>COMP_CAREER</x:v>
      </x:c>
      <x:c r="F37" s="18" t="n">
        <x:v>5</x:v>
      </x:c>
      <x:c r="G37" s="18" t="str">
        <x:v>Significantly exceeds expectations</x:v>
      </x:c>
      <x:c r="H37" s="18" t="str">
        <x:v>MGR004</x:v>
      </x:c>
      <x:c r="I37" s="20" t="n">
        <x:v>45737.5</x:v>
      </x:c>
    </x:row>
    <x:row r="38" ht="15" hidden="0" customHeight="1">
      <x:c r="A38" s="18" t="str">
        <x:v>CR00037</x:v>
      </x:c>
      <x:c r="B38" s="18" t="str">
        <x:v>REV0010</x:v>
      </x:c>
      <x:c r="C38" s="18" t="str">
        <x:v>EMP010</x:v>
      </x:c>
      <x:c r="D38" s="18" t="str">
        <x:v>CY2025Q1</x:v>
      </x:c>
      <x:c r="E38" s="18" t="str">
        <x:v>COMP_STRATEGY</x:v>
      </x:c>
      <x:c r="F38" s="18" t="n">
        <x:v>4</x:v>
      </x:c>
      <x:c r="G38" s="18" t="str">
        <x:v>Exceeds expectations</x:v>
      </x:c>
      <x:c r="H38" s="18" t="str">
        <x:v>MGR004</x:v>
      </x:c>
      <x:c r="I38" s="20" t="n">
        <x:v>45738.5</x:v>
      </x:c>
    </x:row>
    <x:row r="39" ht="15" hidden="0" customHeight="1">
      <x:c r="A39" s="18" t="str">
        <x:v>CR00038</x:v>
      </x:c>
      <x:c r="B39" s="18" t="str">
        <x:v>REV0010</x:v>
      </x:c>
      <x:c r="C39" s="18" t="str">
        <x:v>EMP010</x:v>
      </x:c>
      <x:c r="D39" s="18" t="str">
        <x:v>CY2025Q1</x:v>
      </x:c>
      <x:c r="E39" s="18" t="str">
        <x:v>COMP_COMM</x:v>
      </x:c>
      <x:c r="F39" s="18" t="n">
        <x:v>3</x:v>
      </x:c>
      <x:c r="G39" s="18" t="str">
        <x:v>Meets expectations</x:v>
      </x:c>
      <x:c r="H39" s="18" t="str">
        <x:v>MGR004</x:v>
      </x:c>
      <x:c r="I39" s="20" t="n">
        <x:v>45738.5</x:v>
      </x:c>
    </x:row>
    <x:row r="40" ht="15" hidden="0" customHeight="1">
      <x:c r="A40" s="18" t="str">
        <x:v>CR00039</x:v>
      </x:c>
      <x:c r="B40" s="18" t="str">
        <x:v>REV0010</x:v>
      </x:c>
      <x:c r="C40" s="18" t="str">
        <x:v>EMP010</x:v>
      </x:c>
      <x:c r="D40" s="18" t="str">
        <x:v>CY2025Q1</x:v>
      </x:c>
      <x:c r="E40" s="18" t="str">
        <x:v>COMP_DOMAIN</x:v>
      </x:c>
      <x:c r="F40" s="18" t="n">
        <x:v>4</x:v>
      </x:c>
      <x:c r="G40" s="18" t="str">
        <x:v>Exceeds expectations</x:v>
      </x:c>
      <x:c r="H40" s="18" t="str">
        <x:v>MGR004</x:v>
      </x:c>
      <x:c r="I40" s="20" t="n">
        <x:v>45738.5</x:v>
      </x:c>
    </x:row>
    <x:row r="41" ht="15" hidden="0" customHeight="1">
      <x:c r="A41" s="18" t="str">
        <x:v>CR00040</x:v>
      </x:c>
      <x:c r="B41" s="18" t="str">
        <x:v>REV0010</x:v>
      </x:c>
      <x:c r="C41" s="18" t="str">
        <x:v>EMP010</x:v>
      </x:c>
      <x:c r="D41" s="18" t="str">
        <x:v>CY2025Q1</x:v>
      </x:c>
      <x:c r="E41" s="18" t="str">
        <x:v>COMP_CAREER</x:v>
      </x:c>
      <x:c r="F41" s="18" t="n">
        <x:v>4</x:v>
      </x:c>
      <x:c r="G41" s="18" t="str">
        <x:v>Exceeds expectations</x:v>
      </x:c>
      <x:c r="H41" s="18" t="str">
        <x:v>MGR004</x:v>
      </x:c>
      <x:c r="I41" s="20" t="n">
        <x:v>45738.5</x:v>
      </x:c>
    </x:row>
    <x:row r="42" ht="15" hidden="0" customHeight="1">
      <x:c r="A42" s="18" t="str">
        <x:v>CR00041</x:v>
      </x:c>
      <x:c r="B42" s="18" t="str">
        <x:v>REV0011</x:v>
      </x:c>
      <x:c r="C42" s="18" t="str">
        <x:v>EMP011</x:v>
      </x:c>
      <x:c r="D42" s="18" t="str">
        <x:v>CY2025Q1</x:v>
      </x:c>
      <x:c r="E42" s="18" t="str">
        <x:v>COMP_STRATEGY</x:v>
      </x:c>
      <x:c r="F42" s="18" t="n">
        <x:v>3</x:v>
      </x:c>
      <x:c r="G42" s="18" t="str">
        <x:v>Meets expectations</x:v>
      </x:c>
      <x:c r="H42" s="18" t="str">
        <x:v>MGR004</x:v>
      </x:c>
      <x:c r="I42" s="20" t="n">
        <x:v>45739.5</x:v>
      </x:c>
    </x:row>
    <x:row r="43" ht="15" hidden="0" customHeight="1">
      <x:c r="A43" s="18" t="str">
        <x:v>CR00042</x:v>
      </x:c>
      <x:c r="B43" s="18" t="str">
        <x:v>REV0011</x:v>
      </x:c>
      <x:c r="C43" s="18" t="str">
        <x:v>EMP011</x:v>
      </x:c>
      <x:c r="D43" s="18" t="str">
        <x:v>CY2025Q1</x:v>
      </x:c>
      <x:c r="E43" s="18" t="str">
        <x:v>COMP_COMM</x:v>
      </x:c>
      <x:c r="F43" s="18" t="n">
        <x:v>3</x:v>
      </x:c>
      <x:c r="G43" s="18" t="str">
        <x:v>Meets expectations</x:v>
      </x:c>
      <x:c r="H43" s="18" t="str">
        <x:v>MGR004</x:v>
      </x:c>
      <x:c r="I43" s="20" t="n">
        <x:v>45739.5</x:v>
      </x:c>
    </x:row>
    <x:row r="44" ht="15" hidden="0" customHeight="1">
      <x:c r="A44" s="18" t="str">
        <x:v>CR00043</x:v>
      </x:c>
      <x:c r="B44" s="18" t="str">
        <x:v>REV0011</x:v>
      </x:c>
      <x:c r="C44" s="18" t="str">
        <x:v>EMP011</x:v>
      </x:c>
      <x:c r="D44" s="18" t="str">
        <x:v>CY2025Q1</x:v>
      </x:c>
      <x:c r="E44" s="18" t="str">
        <x:v>COMP_DOMAIN</x:v>
      </x:c>
      <x:c r="F44" s="18" t="n">
        <x:v>3</x:v>
      </x:c>
      <x:c r="G44" s="18" t="str">
        <x:v>Meets expectations</x:v>
      </x:c>
      <x:c r="H44" s="18" t="str">
        <x:v>MGR004</x:v>
      </x:c>
      <x:c r="I44" s="20" t="n">
        <x:v>45739.5</x:v>
      </x:c>
    </x:row>
    <x:row r="45" ht="15" hidden="0" customHeight="1">
      <x:c r="A45" s="18" t="str">
        <x:v>CR00044</x:v>
      </x:c>
      <x:c r="B45" s="18" t="str">
        <x:v>REV0011</x:v>
      </x:c>
      <x:c r="C45" s="18" t="str">
        <x:v>EMP011</x:v>
      </x:c>
      <x:c r="D45" s="18" t="str">
        <x:v>CY2025Q1</x:v>
      </x:c>
      <x:c r="E45" s="18" t="str">
        <x:v>COMP_CAREER</x:v>
      </x:c>
      <x:c r="F45" s="18" t="n">
        <x:v>3</x:v>
      </x:c>
      <x:c r="G45" s="18" t="str">
        <x:v>Meets expectations</x:v>
      </x:c>
      <x:c r="H45" s="18" t="str">
        <x:v>MGR004</x:v>
      </x:c>
      <x:c r="I45" s="20" t="n">
        <x:v>45739.5</x:v>
      </x:c>
    </x:row>
    <x:row r="46" ht="15" hidden="0" customHeight="1">
      <x:c r="A46" s="18" t="str">
        <x:v>CR00045</x:v>
      </x:c>
      <x:c r="B46" s="18" t="str">
        <x:v>REV0012</x:v>
      </x:c>
      <x:c r="C46" s="18" t="str">
        <x:v>EMP012</x:v>
      </x:c>
      <x:c r="D46" s="18" t="str">
        <x:v>CY2025Q1</x:v>
      </x:c>
      <x:c r="E46" s="18" t="str">
        <x:v>COMP_STRATEGY</x:v>
      </x:c>
      <x:c r="F46" s="18" t="n">
        <x:v>3</x:v>
      </x:c>
      <x:c r="G46" s="18" t="str">
        <x:v>Meets expectations</x:v>
      </x:c>
      <x:c r="H46" s="18" t="str">
        <x:v>MGR005</x:v>
      </x:c>
      <x:c r="I46" s="20" t="n">
        <x:v>45740.5</x:v>
      </x:c>
    </x:row>
    <x:row r="47" ht="15" hidden="0" customHeight="1">
      <x:c r="A47" s="18" t="str">
        <x:v>CR00046</x:v>
      </x:c>
      <x:c r="B47" s="18" t="str">
        <x:v>REV0012</x:v>
      </x:c>
      <x:c r="C47" s="18" t="str">
        <x:v>EMP012</x:v>
      </x:c>
      <x:c r="D47" s="18" t="str">
        <x:v>CY2025Q1</x:v>
      </x:c>
      <x:c r="E47" s="18" t="str">
        <x:v>COMP_COMM</x:v>
      </x:c>
      <x:c r="F47" s="18" t="n">
        <x:v>3</x:v>
      </x:c>
      <x:c r="G47" s="18" t="str">
        <x:v>Meets expectations</x:v>
      </x:c>
      <x:c r="H47" s="18" t="str">
        <x:v>MGR005</x:v>
      </x:c>
      <x:c r="I47" s="20" t="n">
        <x:v>45740.5</x:v>
      </x:c>
    </x:row>
    <x:row r="48" ht="15" hidden="0" customHeight="1">
      <x:c r="A48" s="18" t="str">
        <x:v>CR00047</x:v>
      </x:c>
      <x:c r="B48" s="18" t="str">
        <x:v>REV0012</x:v>
      </x:c>
      <x:c r="C48" s="18" t="str">
        <x:v>EMP012</x:v>
      </x:c>
      <x:c r="D48" s="18" t="str">
        <x:v>CY2025Q1</x:v>
      </x:c>
      <x:c r="E48" s="18" t="str">
        <x:v>COMP_DOMAIN</x:v>
      </x:c>
      <x:c r="F48" s="18" t="n">
        <x:v>3</x:v>
      </x:c>
      <x:c r="G48" s="18" t="str">
        <x:v>Meets expectations</x:v>
      </x:c>
      <x:c r="H48" s="18" t="str">
        <x:v>MGR005</x:v>
      </x:c>
      <x:c r="I48" s="20" t="n">
        <x:v>45740.5</x:v>
      </x:c>
    </x:row>
    <x:row r="49" ht="15" hidden="0" customHeight="1">
      <x:c r="A49" s="18" t="str">
        <x:v>CR00048</x:v>
      </x:c>
      <x:c r="B49" s="18" t="str">
        <x:v>REV0012</x:v>
      </x:c>
      <x:c r="C49" s="18" t="str">
        <x:v>EMP012</x:v>
      </x:c>
      <x:c r="D49" s="18" t="str">
        <x:v>CY2025Q1</x:v>
      </x:c>
      <x:c r="E49" s="18" t="str">
        <x:v>COMP_CAREER</x:v>
      </x:c>
      <x:c r="F49" s="18" t="n">
        <x:v>3</x:v>
      </x:c>
      <x:c r="G49" s="18" t="str">
        <x:v>Meets expectations</x:v>
      </x:c>
      <x:c r="H49" s="18" t="str">
        <x:v>MGR005</x:v>
      </x:c>
      <x:c r="I49" s="20" t="n">
        <x:v>45740.5</x:v>
      </x:c>
    </x:row>
    <x:row r="50" ht="15" hidden="0" customHeight="1">
      <x:c r="A50" s="18" t="str">
        <x:v>CR00049</x:v>
      </x:c>
      <x:c r="B50" s="18" t="str">
        <x:v>REV0013</x:v>
      </x:c>
      <x:c r="C50" s="18" t="str">
        <x:v>EMP013</x:v>
      </x:c>
      <x:c r="D50" s="18" t="str">
        <x:v>CY2025Q1</x:v>
      </x:c>
      <x:c r="E50" s="18" t="str">
        <x:v>COMP_STRATEGY</x:v>
      </x:c>
      <x:c r="F50" s="18" t="n">
        <x:v>4</x:v>
      </x:c>
      <x:c r="G50" s="18" t="str">
        <x:v>Exceeds expectations</x:v>
      </x:c>
      <x:c r="H50" s="18" t="str">
        <x:v>MGR005</x:v>
      </x:c>
      <x:c r="I50" s="20" t="n">
        <x:v>45729.5</x:v>
      </x:c>
    </x:row>
    <x:row r="51" ht="15" hidden="0" customHeight="1">
      <x:c r="A51" s="18" t="str">
        <x:v>CR00050</x:v>
      </x:c>
      <x:c r="B51" s="18" t="str">
        <x:v>REV0013</x:v>
      </x:c>
      <x:c r="C51" s="18" t="str">
        <x:v>EMP013</x:v>
      </x:c>
      <x:c r="D51" s="18" t="str">
        <x:v>CY2025Q1</x:v>
      </x:c>
      <x:c r="E51" s="18" t="str">
        <x:v>COMP_COMM</x:v>
      </x:c>
      <x:c r="F51" s="18" t="n">
        <x:v>4</x:v>
      </x:c>
      <x:c r="G51" s="18" t="str">
        <x:v>Exceeds expectations</x:v>
      </x:c>
      <x:c r="H51" s="18" t="str">
        <x:v>MGR005</x:v>
      </x:c>
      <x:c r="I51" s="20" t="n">
        <x:v>45729.5</x:v>
      </x:c>
    </x:row>
    <x:row r="52" ht="15" hidden="0" customHeight="1">
      <x:c r="A52" s="18" t="str">
        <x:v>CR00051</x:v>
      </x:c>
      <x:c r="B52" s="18" t="str">
        <x:v>REV0013</x:v>
      </x:c>
      <x:c r="C52" s="18" t="str">
        <x:v>EMP013</x:v>
      </x:c>
      <x:c r="D52" s="18" t="str">
        <x:v>CY2025Q1</x:v>
      </x:c>
      <x:c r="E52" s="18" t="str">
        <x:v>COMP_DOMAIN</x:v>
      </x:c>
      <x:c r="F52" s="18" t="n">
        <x:v>4</x:v>
      </x:c>
      <x:c r="G52" s="18" t="str">
        <x:v>Exceeds expectations</x:v>
      </x:c>
      <x:c r="H52" s="18" t="str">
        <x:v>MGR005</x:v>
      </x:c>
      <x:c r="I52" s="20" t="n">
        <x:v>45729.5</x:v>
      </x:c>
    </x:row>
    <x:row r="53" ht="15" hidden="0" customHeight="1">
      <x:c r="A53" s="18" t="str">
        <x:v>CR00052</x:v>
      </x:c>
      <x:c r="B53" s="18" t="str">
        <x:v>REV0013</x:v>
      </x:c>
      <x:c r="C53" s="18" t="str">
        <x:v>EMP013</x:v>
      </x:c>
      <x:c r="D53" s="18" t="str">
        <x:v>CY2025Q1</x:v>
      </x:c>
      <x:c r="E53" s="18" t="str">
        <x:v>COMP_CAREER</x:v>
      </x:c>
      <x:c r="F53" s="18" t="n">
        <x:v>5</x:v>
      </x:c>
      <x:c r="G53" s="18" t="str">
        <x:v>Significantly exceeds expectations</x:v>
      </x:c>
      <x:c r="H53" s="18" t="str">
        <x:v>MGR005</x:v>
      </x:c>
      <x:c r="I53" s="20" t="n">
        <x:v>45729.5</x:v>
      </x:c>
    </x:row>
    <x:row r="54" ht="15" hidden="0" customHeight="1">
      <x:c r="A54" s="18" t="str">
        <x:v>CR00053</x:v>
      </x:c>
      <x:c r="B54" s="18" t="str">
        <x:v>REV0014</x:v>
      </x:c>
      <x:c r="C54" s="18" t="str">
        <x:v>EMP014</x:v>
      </x:c>
      <x:c r="D54" s="18" t="str">
        <x:v>CY2025Q1</x:v>
      </x:c>
      <x:c r="E54" s="18" t="str">
        <x:v>COMP_STRATEGY</x:v>
      </x:c>
      <x:c r="F54" s="18" t="n">
        <x:v>2</x:v>
      </x:c>
      <x:c r="G54" s="18" t="str">
        <x:v>Partially meets expectations</x:v>
      </x:c>
      <x:c r="H54" s="18" t="str">
        <x:v>MGR006</x:v>
      </x:c>
      <x:c r="I54" s="20" t="n">
        <x:v>45730.5</x:v>
      </x:c>
    </x:row>
    <x:row r="55" ht="15" hidden="0" customHeight="1">
      <x:c r="A55" s="18" t="str">
        <x:v>CR00054</x:v>
      </x:c>
      <x:c r="B55" s="18" t="str">
        <x:v>REV0014</x:v>
      </x:c>
      <x:c r="C55" s="18" t="str">
        <x:v>EMP014</x:v>
      </x:c>
      <x:c r="D55" s="18" t="str">
        <x:v>CY2025Q1</x:v>
      </x:c>
      <x:c r="E55" s="18" t="str">
        <x:v>COMP_COMM</x:v>
      </x:c>
      <x:c r="F55" s="18" t="n">
        <x:v>2</x:v>
      </x:c>
      <x:c r="G55" s="18" t="str">
        <x:v>Partially meets expectations</x:v>
      </x:c>
      <x:c r="H55" s="18" t="str">
        <x:v>MGR006</x:v>
      </x:c>
      <x:c r="I55" s="20" t="n">
        <x:v>45730.5</x:v>
      </x:c>
    </x:row>
    <x:row r="56" ht="15" hidden="0" customHeight="1">
      <x:c r="A56" s="18" t="str">
        <x:v>CR00055</x:v>
      </x:c>
      <x:c r="B56" s="18" t="str">
        <x:v>REV0014</x:v>
      </x:c>
      <x:c r="C56" s="18" t="str">
        <x:v>EMP014</x:v>
      </x:c>
      <x:c r="D56" s="18" t="str">
        <x:v>CY2025Q1</x:v>
      </x:c>
      <x:c r="E56" s="18" t="str">
        <x:v>COMP_DOMAIN</x:v>
      </x:c>
      <x:c r="F56" s="18" t="n">
        <x:v>2</x:v>
      </x:c>
      <x:c r="G56" s="18" t="str">
        <x:v>Partially meets expectations</x:v>
      </x:c>
      <x:c r="H56" s="18" t="str">
        <x:v>MGR006</x:v>
      </x:c>
      <x:c r="I56" s="20" t="n">
        <x:v>45730.5</x:v>
      </x:c>
    </x:row>
    <x:row r="57" ht="15" hidden="0" customHeight="1">
      <x:c r="A57" s="18" t="str">
        <x:v>CR00056</x:v>
      </x:c>
      <x:c r="B57" s="18" t="str">
        <x:v>REV0014</x:v>
      </x:c>
      <x:c r="C57" s="18" t="str">
        <x:v>EMP014</x:v>
      </x:c>
      <x:c r="D57" s="18" t="str">
        <x:v>CY2025Q1</x:v>
      </x:c>
      <x:c r="E57" s="18" t="str">
        <x:v>COMP_CAREER</x:v>
      </x:c>
      <x:c r="F57" s="18" t="n">
        <x:v>2</x:v>
      </x:c>
      <x:c r="G57" s="18" t="str">
        <x:v>Partially meets expectations</x:v>
      </x:c>
      <x:c r="H57" s="18" t="str">
        <x:v>MGR006</x:v>
      </x:c>
      <x:c r="I57" s="20" t="n">
        <x:v>45730.5</x:v>
      </x:c>
    </x:row>
    <x:row r="58" ht="15" hidden="0" customHeight="1">
      <x:c r="A58" s="18" t="str">
        <x:v>CR00057</x:v>
      </x:c>
      <x:c r="B58" s="18" t="str">
        <x:v>REV0015</x:v>
      </x:c>
      <x:c r="C58" s="18" t="str">
        <x:v>EMP015</x:v>
      </x:c>
      <x:c r="D58" s="18" t="str">
        <x:v>CY2025Q1</x:v>
      </x:c>
      <x:c r="E58" s="18" t="str">
        <x:v>COMP_STRATEGY</x:v>
      </x:c>
      <x:c r="F58" s="18" t="n">
        <x:v>1</x:v>
      </x:c>
      <x:c r="G58" s="18" t="str">
        <x:v>Improvement required</x:v>
      </x:c>
      <x:c r="H58" s="18" t="str">
        <x:v>MGR006</x:v>
      </x:c>
      <x:c r="I58" s="20" t="n">
        <x:v>45731.5</x:v>
      </x:c>
    </x:row>
    <x:row r="59" ht="15" hidden="0" customHeight="1">
      <x:c r="A59" s="18" t="str">
        <x:v>CR00058</x:v>
      </x:c>
      <x:c r="B59" s="18" t="str">
        <x:v>REV0015</x:v>
      </x:c>
      <x:c r="C59" s="18" t="str">
        <x:v>EMP015</x:v>
      </x:c>
      <x:c r="D59" s="18" t="str">
        <x:v>CY2025Q1</x:v>
      </x:c>
      <x:c r="E59" s="18" t="str">
        <x:v>COMP_COMM</x:v>
      </x:c>
      <x:c r="F59" s="18" t="n">
        <x:v>1</x:v>
      </x:c>
      <x:c r="G59" s="18" t="str">
        <x:v>Improvement required</x:v>
      </x:c>
      <x:c r="H59" s="18" t="str">
        <x:v>MGR006</x:v>
      </x:c>
      <x:c r="I59" s="20" t="n">
        <x:v>45731.5</x:v>
      </x:c>
    </x:row>
    <x:row r="60" ht="15" hidden="0" customHeight="1">
      <x:c r="A60" s="18" t="str">
        <x:v>CR00059</x:v>
      </x:c>
      <x:c r="B60" s="18" t="str">
        <x:v>REV0015</x:v>
      </x:c>
      <x:c r="C60" s="18" t="str">
        <x:v>EMP015</x:v>
      </x:c>
      <x:c r="D60" s="18" t="str">
        <x:v>CY2025Q1</x:v>
      </x:c>
      <x:c r="E60" s="18" t="str">
        <x:v>COMP_DOMAIN</x:v>
      </x:c>
      <x:c r="F60" s="18" t="n">
        <x:v>2</x:v>
      </x:c>
      <x:c r="G60" s="18" t="str">
        <x:v>Partially meets expectations</x:v>
      </x:c>
      <x:c r="H60" s="18" t="str">
        <x:v>MGR006</x:v>
      </x:c>
      <x:c r="I60" s="20" t="n">
        <x:v>45731.5</x:v>
      </x:c>
    </x:row>
    <x:row r="61" ht="15" hidden="0" customHeight="1">
      <x:c r="A61" s="18" t="str">
        <x:v>CR00060</x:v>
      </x:c>
      <x:c r="B61" s="18" t="str">
        <x:v>REV0015</x:v>
      </x:c>
      <x:c r="C61" s="18" t="str">
        <x:v>EMP015</x:v>
      </x:c>
      <x:c r="D61" s="18" t="str">
        <x:v>CY2025Q1</x:v>
      </x:c>
      <x:c r="E61" s="18" t="str">
        <x:v>COMP_CAREER</x:v>
      </x:c>
      <x:c r="F61" s="18" t="n">
        <x:v>1</x:v>
      </x:c>
      <x:c r="G61" s="18" t="str">
        <x:v>Improvement required</x:v>
      </x:c>
      <x:c r="H61" s="18" t="str">
        <x:v>MGR006</x:v>
      </x:c>
      <x:c r="I61" s="20" t="n">
        <x:v>45731.5</x:v>
      </x:c>
    </x:row>
    <x:row r="62" ht="15" hidden="0" customHeight="1">
      <x:c r="A62" s="18" t="str">
        <x:v>CR00061</x:v>
      </x:c>
      <x:c r="B62" s="18" t="str">
        <x:v>REV0016</x:v>
      </x:c>
      <x:c r="C62" s="18" t="str">
        <x:v>EMP001</x:v>
      </x:c>
      <x:c r="D62" s="18" t="str">
        <x:v>CY2025Q2</x:v>
      </x:c>
      <x:c r="E62" s="18" t="str">
        <x:v>COMP_STRATEGY</x:v>
      </x:c>
      <x:c r="F62" s="18" t="n">
        <x:v>5</x:v>
      </x:c>
      <x:c r="G62" s="18" t="str">
        <x:v>Significantly exceeds expectations</x:v>
      </x:c>
      <x:c r="H62" s="18" t="str">
        <x:v>MGR001</x:v>
      </x:c>
      <x:c r="I62" s="20" t="n">
        <x:v>45820.5</x:v>
      </x:c>
    </x:row>
    <x:row r="63" ht="15" hidden="0" customHeight="1">
      <x:c r="A63" s="18" t="str">
        <x:v>CR00062</x:v>
      </x:c>
      <x:c r="B63" s="18" t="str">
        <x:v>REV0016</x:v>
      </x:c>
      <x:c r="C63" s="18" t="str">
        <x:v>EMP001</x:v>
      </x:c>
      <x:c r="D63" s="18" t="str">
        <x:v>CY2025Q2</x:v>
      </x:c>
      <x:c r="E63" s="18" t="str">
        <x:v>COMP_COMM</x:v>
      </x:c>
      <x:c r="F63" s="18" t="n">
        <x:v>5</x:v>
      </x:c>
      <x:c r="G63" s="18" t="str">
        <x:v>Significantly exceeds expectations</x:v>
      </x:c>
      <x:c r="H63" s="18" t="str">
        <x:v>MGR001</x:v>
      </x:c>
      <x:c r="I63" s="20" t="n">
        <x:v>45820.5</x:v>
      </x:c>
    </x:row>
    <x:row r="64" ht="15" hidden="0" customHeight="1">
      <x:c r="A64" s="18" t="str">
        <x:v>CR00063</x:v>
      </x:c>
      <x:c r="B64" s="18" t="str">
        <x:v>REV0016</x:v>
      </x:c>
      <x:c r="C64" s="18" t="str">
        <x:v>EMP001</x:v>
      </x:c>
      <x:c r="D64" s="18" t="str">
        <x:v>CY2025Q2</x:v>
      </x:c>
      <x:c r="E64" s="18" t="str">
        <x:v>COMP_DOMAIN</x:v>
      </x:c>
      <x:c r="F64" s="18" t="n">
        <x:v>5</x:v>
      </x:c>
      <x:c r="G64" s="18" t="str">
        <x:v>Significantly exceeds expectations</x:v>
      </x:c>
      <x:c r="H64" s="18" t="str">
        <x:v>MGR001</x:v>
      </x:c>
      <x:c r="I64" s="20" t="n">
        <x:v>45820.5</x:v>
      </x:c>
    </x:row>
    <x:row r="65" ht="15" hidden="0" customHeight="1">
      <x:c r="A65" s="18" t="str">
        <x:v>CR00064</x:v>
      </x:c>
      <x:c r="B65" s="18" t="str">
        <x:v>REV0016</x:v>
      </x:c>
      <x:c r="C65" s="18" t="str">
        <x:v>EMP001</x:v>
      </x:c>
      <x:c r="D65" s="18" t="str">
        <x:v>CY2025Q2</x:v>
      </x:c>
      <x:c r="E65" s="18" t="str">
        <x:v>COMP_CAREER</x:v>
      </x:c>
      <x:c r="F65" s="18" t="n">
        <x:v>5</x:v>
      </x:c>
      <x:c r="G65" s="18" t="str">
        <x:v>Significantly exceeds expectations</x:v>
      </x:c>
      <x:c r="H65" s="18" t="str">
        <x:v>MGR001</x:v>
      </x:c>
      <x:c r="I65" s="20" t="n">
        <x:v>45820.5</x:v>
      </x:c>
    </x:row>
    <x:row r="66" ht="15" hidden="0" customHeight="1">
      <x:c r="A66" s="18" t="str">
        <x:v>CR00065</x:v>
      </x:c>
      <x:c r="B66" s="18" t="str">
        <x:v>REV0017</x:v>
      </x:c>
      <x:c r="C66" s="18" t="str">
        <x:v>EMP002</x:v>
      </x:c>
      <x:c r="D66" s="18" t="str">
        <x:v>CY2025Q2</x:v>
      </x:c>
      <x:c r="E66" s="18" t="str">
        <x:v>COMP_STRATEGY</x:v>
      </x:c>
      <x:c r="F66" s="18" t="n">
        <x:v>4</x:v>
      </x:c>
      <x:c r="G66" s="18" t="str">
        <x:v>Exceeds expectations</x:v>
      </x:c>
      <x:c r="H66" s="18" t="str">
        <x:v>MGR001</x:v>
      </x:c>
      <x:c r="I66" s="20" t="n">
        <x:v>45821.5</x:v>
      </x:c>
    </x:row>
    <x:row r="67" ht="15" hidden="0" customHeight="1">
      <x:c r="A67" s="18" t="str">
        <x:v>CR00066</x:v>
      </x:c>
      <x:c r="B67" s="18" t="str">
        <x:v>REV0017</x:v>
      </x:c>
      <x:c r="C67" s="18" t="str">
        <x:v>EMP002</x:v>
      </x:c>
      <x:c r="D67" s="18" t="str">
        <x:v>CY2025Q2</x:v>
      </x:c>
      <x:c r="E67" s="18" t="str">
        <x:v>COMP_COMM</x:v>
      </x:c>
      <x:c r="F67" s="18" t="n">
        <x:v>4</x:v>
      </x:c>
      <x:c r="G67" s="18" t="str">
        <x:v>Exceeds expectations</x:v>
      </x:c>
      <x:c r="H67" s="18" t="str">
        <x:v>MGR001</x:v>
      </x:c>
      <x:c r="I67" s="20" t="n">
        <x:v>45821.5</x:v>
      </x:c>
    </x:row>
    <x:row r="68" ht="15" hidden="0" customHeight="1">
      <x:c r="A68" s="18" t="str">
        <x:v>CR00067</x:v>
      </x:c>
      <x:c r="B68" s="18" t="str">
        <x:v>REV0017</x:v>
      </x:c>
      <x:c r="C68" s="18" t="str">
        <x:v>EMP002</x:v>
      </x:c>
      <x:c r="D68" s="18" t="str">
        <x:v>CY2025Q2</x:v>
      </x:c>
      <x:c r="E68" s="18" t="str">
        <x:v>COMP_DOMAIN</x:v>
      </x:c>
      <x:c r="F68" s="18" t="n">
        <x:v>4</x:v>
      </x:c>
      <x:c r="G68" s="18" t="str">
        <x:v>Exceeds expectations</x:v>
      </x:c>
      <x:c r="H68" s="18" t="str">
        <x:v>MGR001</x:v>
      </x:c>
      <x:c r="I68" s="20" t="n">
        <x:v>45821.5</x:v>
      </x:c>
    </x:row>
    <x:row r="69" ht="15" hidden="0" customHeight="1">
      <x:c r="A69" s="18" t="str">
        <x:v>CR00068</x:v>
      </x:c>
      <x:c r="B69" s="18" t="str">
        <x:v>REV0017</x:v>
      </x:c>
      <x:c r="C69" s="18" t="str">
        <x:v>EMP002</x:v>
      </x:c>
      <x:c r="D69" s="18" t="str">
        <x:v>CY2025Q2</x:v>
      </x:c>
      <x:c r="E69" s="18" t="str">
        <x:v>COMP_CAREER</x:v>
      </x:c>
      <x:c r="F69" s="18" t="n">
        <x:v>5</x:v>
      </x:c>
      <x:c r="G69" s="18" t="str">
        <x:v>Significantly exceeds expectations</x:v>
      </x:c>
      <x:c r="H69" s="18" t="str">
        <x:v>MGR001</x:v>
      </x:c>
      <x:c r="I69" s="20" t="n">
        <x:v>45821.5</x:v>
      </x:c>
    </x:row>
    <x:row r="70" ht="15" hidden="0" customHeight="1">
      <x:c r="A70" s="18" t="str">
        <x:v>CR00069</x:v>
      </x:c>
      <x:c r="B70" s="18" t="str">
        <x:v>REV0018</x:v>
      </x:c>
      <x:c r="C70" s="18" t="str">
        <x:v>EMP003</x:v>
      </x:c>
      <x:c r="D70" s="18" t="str">
        <x:v>CY2025Q2</x:v>
      </x:c>
      <x:c r="E70" s="18" t="str">
        <x:v>COMP_STRATEGY</x:v>
      </x:c>
      <x:c r="F70" s="18" t="n">
        <x:v>2</x:v>
      </x:c>
      <x:c r="G70" s="18" t="str">
        <x:v>Partially meets expectations</x:v>
      </x:c>
      <x:c r="H70" s="18" t="str">
        <x:v>MGR001</x:v>
      </x:c>
      <x:c r="I70" s="20" t="n">
        <x:v>45822.5</x:v>
      </x:c>
    </x:row>
    <x:row r="71" ht="15" hidden="0" customHeight="1">
      <x:c r="A71" s="18" t="str">
        <x:v>CR00070</x:v>
      </x:c>
      <x:c r="B71" s="18" t="str">
        <x:v>REV0018</x:v>
      </x:c>
      <x:c r="C71" s="18" t="str">
        <x:v>EMP003</x:v>
      </x:c>
      <x:c r="D71" s="18" t="str">
        <x:v>CY2025Q2</x:v>
      </x:c>
      <x:c r="E71" s="18" t="str">
        <x:v>COMP_COMM</x:v>
      </x:c>
      <x:c r="F71" s="18" t="n">
        <x:v>2</x:v>
      </x:c>
      <x:c r="G71" s="18" t="str">
        <x:v>Partially meets expectations</x:v>
      </x:c>
      <x:c r="H71" s="18" t="str">
        <x:v>MGR001</x:v>
      </x:c>
      <x:c r="I71" s="20" t="n">
        <x:v>45822.5</x:v>
      </x:c>
    </x:row>
    <x:row r="72" ht="15" hidden="0" customHeight="1">
      <x:c r="A72" s="18" t="str">
        <x:v>CR00071</x:v>
      </x:c>
      <x:c r="B72" s="18" t="str">
        <x:v>REV0018</x:v>
      </x:c>
      <x:c r="C72" s="18" t="str">
        <x:v>EMP003</x:v>
      </x:c>
      <x:c r="D72" s="18" t="str">
        <x:v>CY2025Q2</x:v>
      </x:c>
      <x:c r="E72" s="18" t="str">
        <x:v>COMP_DOMAIN</x:v>
      </x:c>
      <x:c r="F72" s="18" t="n">
        <x:v>2</x:v>
      </x:c>
      <x:c r="G72" s="18" t="str">
        <x:v>Partially meets expectations</x:v>
      </x:c>
      <x:c r="H72" s="18" t="str">
        <x:v>MGR001</x:v>
      </x:c>
      <x:c r="I72" s="20" t="n">
        <x:v>45822.5</x:v>
      </x:c>
    </x:row>
    <x:row r="73" ht="15" hidden="0" customHeight="1">
      <x:c r="A73" s="18" t="str">
        <x:v>CR00072</x:v>
      </x:c>
      <x:c r="B73" s="18" t="str">
        <x:v>REV0018</x:v>
      </x:c>
      <x:c r="C73" s="18" t="str">
        <x:v>EMP003</x:v>
      </x:c>
      <x:c r="D73" s="18" t="str">
        <x:v>CY2025Q2</x:v>
      </x:c>
      <x:c r="E73" s="18" t="str">
        <x:v>COMP_CAREER</x:v>
      </x:c>
      <x:c r="F73" s="18" t="n">
        <x:v>2</x:v>
      </x:c>
      <x:c r="G73" s="18" t="str">
        <x:v>Partially meets expectations</x:v>
      </x:c>
      <x:c r="H73" s="18" t="str">
        <x:v>MGR001</x:v>
      </x:c>
      <x:c r="I73" s="20" t="n">
        <x:v>45822.5</x:v>
      </x:c>
    </x:row>
    <x:row r="74" ht="15" hidden="0" customHeight="1">
      <x:c r="A74" s="18" t="str">
        <x:v>CR00073</x:v>
      </x:c>
      <x:c r="B74" s="18" t="str">
        <x:v>REV0019</x:v>
      </x:c>
      <x:c r="C74" s="18" t="str">
        <x:v>EMP004</x:v>
      </x:c>
      <x:c r="D74" s="18" t="str">
        <x:v>CY2025Q2</x:v>
      </x:c>
      <x:c r="E74" s="18" t="str">
        <x:v>COMP_STRATEGY</x:v>
      </x:c>
      <x:c r="F74" s="18" t="n">
        <x:v>2</x:v>
      </x:c>
      <x:c r="G74" s="18" t="str">
        <x:v>Partially meets expectations</x:v>
      </x:c>
      <x:c r="H74" s="18" t="str">
        <x:v>MGR002</x:v>
      </x:c>
      <x:c r="I74" s="20" t="n">
        <x:v>45823.5</x:v>
      </x:c>
    </x:row>
    <x:row r="75" ht="15" hidden="0" customHeight="1">
      <x:c r="A75" s="18" t="str">
        <x:v>CR00074</x:v>
      </x:c>
      <x:c r="B75" s="18" t="str">
        <x:v>REV0019</x:v>
      </x:c>
      <x:c r="C75" s="18" t="str">
        <x:v>EMP004</x:v>
      </x:c>
      <x:c r="D75" s="18" t="str">
        <x:v>CY2025Q2</x:v>
      </x:c>
      <x:c r="E75" s="18" t="str">
        <x:v>COMP_COMM</x:v>
      </x:c>
      <x:c r="F75" s="18" t="n">
        <x:v>1</x:v>
      </x:c>
      <x:c r="G75" s="18" t="str">
        <x:v>Improvement required</x:v>
      </x:c>
      <x:c r="H75" s="18" t="str">
        <x:v>MGR002</x:v>
      </x:c>
      <x:c r="I75" s="20" t="n">
        <x:v>45823.5</x:v>
      </x:c>
    </x:row>
    <x:row r="76" ht="15" hidden="0" customHeight="1">
      <x:c r="A76" s="18" t="str">
        <x:v>CR00075</x:v>
      </x:c>
      <x:c r="B76" s="18" t="str">
        <x:v>REV0019</x:v>
      </x:c>
      <x:c r="C76" s="18" t="str">
        <x:v>EMP004</x:v>
      </x:c>
      <x:c r="D76" s="18" t="str">
        <x:v>CY2025Q2</x:v>
      </x:c>
      <x:c r="E76" s="18" t="str">
        <x:v>COMP_DOMAIN</x:v>
      </x:c>
      <x:c r="F76" s="18" t="n">
        <x:v>2</x:v>
      </x:c>
      <x:c r="G76" s="18" t="str">
        <x:v>Partially meets expectations</x:v>
      </x:c>
      <x:c r="H76" s="18" t="str">
        <x:v>MGR002</x:v>
      </x:c>
      <x:c r="I76" s="20" t="n">
        <x:v>45823.5</x:v>
      </x:c>
    </x:row>
    <x:row r="77" ht="15" hidden="0" customHeight="1">
      <x:c r="A77" s="18" t="str">
        <x:v>CR00076</x:v>
      </x:c>
      <x:c r="B77" s="18" t="str">
        <x:v>REV0019</x:v>
      </x:c>
      <x:c r="C77" s="18" t="str">
        <x:v>EMP004</x:v>
      </x:c>
      <x:c r="D77" s="18" t="str">
        <x:v>CY2025Q2</x:v>
      </x:c>
      <x:c r="E77" s="18" t="str">
        <x:v>COMP_CAREER</x:v>
      </x:c>
      <x:c r="F77" s="18" t="n">
        <x:v>2</x:v>
      </x:c>
      <x:c r="G77" s="18" t="str">
        <x:v>Partially meets expectations</x:v>
      </x:c>
      <x:c r="H77" s="18" t="str">
        <x:v>MGR002</x:v>
      </x:c>
      <x:c r="I77" s="20" t="n">
        <x:v>45823.5</x:v>
      </x:c>
    </x:row>
    <x:row r="78" ht="15" hidden="0" customHeight="1">
      <x:c r="A78" s="18" t="str">
        <x:v>CR00077</x:v>
      </x:c>
      <x:c r="B78" s="18" t="str">
        <x:v>REV0020</x:v>
      </x:c>
      <x:c r="C78" s="18" t="str">
        <x:v>EMP005</x:v>
      </x:c>
      <x:c r="D78" s="18" t="str">
        <x:v>CY2025Q2</x:v>
      </x:c>
      <x:c r="E78" s="18" t="str">
        <x:v>COMP_STRATEGY</x:v>
      </x:c>
      <x:c r="F78" s="18" t="n">
        <x:v>4</x:v>
      </x:c>
      <x:c r="G78" s="18" t="str">
        <x:v>Exceeds expectations</x:v>
      </x:c>
      <x:c r="H78" s="18" t="str">
        <x:v>MGR002</x:v>
      </x:c>
      <x:c r="I78" s="20" t="n">
        <x:v>45824.5</x:v>
      </x:c>
    </x:row>
    <x:row r="79" ht="15" hidden="0" customHeight="1">
      <x:c r="A79" s="18" t="str">
        <x:v>CR00078</x:v>
      </x:c>
      <x:c r="B79" s="18" t="str">
        <x:v>REV0020</x:v>
      </x:c>
      <x:c r="C79" s="18" t="str">
        <x:v>EMP005</x:v>
      </x:c>
      <x:c r="D79" s="18" t="str">
        <x:v>CY2025Q2</x:v>
      </x:c>
      <x:c r="E79" s="18" t="str">
        <x:v>COMP_COMM</x:v>
      </x:c>
      <x:c r="F79" s="18" t="n">
        <x:v>4</x:v>
      </x:c>
      <x:c r="G79" s="18" t="str">
        <x:v>Exceeds expectations</x:v>
      </x:c>
      <x:c r="H79" s="18" t="str">
        <x:v>MGR002</x:v>
      </x:c>
      <x:c r="I79" s="20" t="n">
        <x:v>45824.5</x:v>
      </x:c>
    </x:row>
    <x:row r="80" ht="15" hidden="0" customHeight="1">
      <x:c r="A80" s="18" t="str">
        <x:v>CR00079</x:v>
      </x:c>
      <x:c r="B80" s="18" t="str">
        <x:v>REV0020</x:v>
      </x:c>
      <x:c r="C80" s="18" t="str">
        <x:v>EMP005</x:v>
      </x:c>
      <x:c r="D80" s="18" t="str">
        <x:v>CY2025Q2</x:v>
      </x:c>
      <x:c r="E80" s="18" t="str">
        <x:v>COMP_DOMAIN</x:v>
      </x:c>
      <x:c r="F80" s="18" t="n">
        <x:v>4</x:v>
      </x:c>
      <x:c r="G80" s="18" t="str">
        <x:v>Exceeds expectations</x:v>
      </x:c>
      <x:c r="H80" s="18" t="str">
        <x:v>MGR002</x:v>
      </x:c>
      <x:c r="I80" s="20" t="n">
        <x:v>45824.5</x:v>
      </x:c>
    </x:row>
    <x:row r="81" ht="15" hidden="0" customHeight="1">
      <x:c r="A81" s="18" t="str">
        <x:v>CR00080</x:v>
      </x:c>
      <x:c r="B81" s="18" t="str">
        <x:v>REV0020</x:v>
      </x:c>
      <x:c r="C81" s="18" t="str">
        <x:v>EMP005</x:v>
      </x:c>
      <x:c r="D81" s="18" t="str">
        <x:v>CY2025Q2</x:v>
      </x:c>
      <x:c r="E81" s="18" t="str">
        <x:v>COMP_CAREER</x:v>
      </x:c>
      <x:c r="F81" s="18" t="n">
        <x:v>4</x:v>
      </x:c>
      <x:c r="G81" s="18" t="str">
        <x:v>Exceeds expectations</x:v>
      </x:c>
      <x:c r="H81" s="18" t="str">
        <x:v>MGR002</x:v>
      </x:c>
      <x:c r="I81" s="20" t="n">
        <x:v>45824.5</x:v>
      </x:c>
    </x:row>
    <x:row r="82" ht="15" hidden="0" customHeight="1">
      <x:c r="A82" s="18" t="str">
        <x:v>CR00081</x:v>
      </x:c>
      <x:c r="B82" s="18" t="str">
        <x:v>REV0021</x:v>
      </x:c>
      <x:c r="C82" s="18" t="str">
        <x:v>EMP006</x:v>
      </x:c>
      <x:c r="D82" s="18" t="str">
        <x:v>CY2025Q2</x:v>
      </x:c>
      <x:c r="E82" s="18" t="str">
        <x:v>COMP_STRATEGY</x:v>
      </x:c>
      <x:c r="F82" s="18" t="n">
        <x:v>3</x:v>
      </x:c>
      <x:c r="G82" s="18" t="str">
        <x:v>Meets expectations</x:v>
      </x:c>
      <x:c r="H82" s="18" t="str">
        <x:v>MGR002</x:v>
      </x:c>
      <x:c r="I82" s="20" t="n">
        <x:v>45825.5</x:v>
      </x:c>
    </x:row>
    <x:row r="83" ht="15" hidden="0" customHeight="1">
      <x:c r="A83" s="18" t="str">
        <x:v>CR00082</x:v>
      </x:c>
      <x:c r="B83" s="18" t="str">
        <x:v>REV0021</x:v>
      </x:c>
      <x:c r="C83" s="18" t="str">
        <x:v>EMP006</x:v>
      </x:c>
      <x:c r="D83" s="18" t="str">
        <x:v>CY2025Q2</x:v>
      </x:c>
      <x:c r="E83" s="18" t="str">
        <x:v>COMP_COMM</x:v>
      </x:c>
      <x:c r="F83" s="18" t="n">
        <x:v>3</x:v>
      </x:c>
      <x:c r="G83" s="18" t="str">
        <x:v>Meets expectations</x:v>
      </x:c>
      <x:c r="H83" s="18" t="str">
        <x:v>MGR002</x:v>
      </x:c>
      <x:c r="I83" s="20" t="n">
        <x:v>45825.5</x:v>
      </x:c>
    </x:row>
    <x:row r="84" ht="15" hidden="0" customHeight="1">
      <x:c r="A84" s="18" t="str">
        <x:v>CR00083</x:v>
      </x:c>
      <x:c r="B84" s="18" t="str">
        <x:v>REV0021</x:v>
      </x:c>
      <x:c r="C84" s="18" t="str">
        <x:v>EMP006</x:v>
      </x:c>
      <x:c r="D84" s="18" t="str">
        <x:v>CY2025Q2</x:v>
      </x:c>
      <x:c r="E84" s="18" t="str">
        <x:v>COMP_DOMAIN</x:v>
      </x:c>
      <x:c r="F84" s="18" t="n">
        <x:v>3</x:v>
      </x:c>
      <x:c r="G84" s="18" t="str">
        <x:v>Meets expectations</x:v>
      </x:c>
      <x:c r="H84" s="18" t="str">
        <x:v>MGR002</x:v>
      </x:c>
      <x:c r="I84" s="20" t="n">
        <x:v>45825.5</x:v>
      </x:c>
    </x:row>
    <x:row r="85" ht="15" hidden="0" customHeight="1">
      <x:c r="A85" s="18" t="str">
        <x:v>CR00084</x:v>
      </x:c>
      <x:c r="B85" s="18" t="str">
        <x:v>REV0021</x:v>
      </x:c>
      <x:c r="C85" s="18" t="str">
        <x:v>EMP006</x:v>
      </x:c>
      <x:c r="D85" s="18" t="str">
        <x:v>CY2025Q2</x:v>
      </x:c>
      <x:c r="E85" s="18" t="str">
        <x:v>COMP_CAREER</x:v>
      </x:c>
      <x:c r="F85" s="18" t="n">
        <x:v>3</x:v>
      </x:c>
      <x:c r="G85" s="18" t="str">
        <x:v>Meets expectations</x:v>
      </x:c>
      <x:c r="H85" s="18" t="str">
        <x:v>MGR002</x:v>
      </x:c>
      <x:c r="I85" s="20" t="n">
        <x:v>45825.5</x:v>
      </x:c>
    </x:row>
    <x:row r="86" ht="15" hidden="0" customHeight="1">
      <x:c r="A86" s="18" t="str">
        <x:v>CR00085</x:v>
      </x:c>
      <x:c r="B86" s="18" t="str">
        <x:v>REV0022</x:v>
      </x:c>
      <x:c r="C86" s="18" t="str">
        <x:v>EMP007</x:v>
      </x:c>
      <x:c r="D86" s="18" t="str">
        <x:v>CY2025Q2</x:v>
      </x:c>
      <x:c r="E86" s="18" t="str">
        <x:v>COMP_STRATEGY</x:v>
      </x:c>
      <x:c r="F86" s="18" t="n">
        <x:v>2</x:v>
      </x:c>
      <x:c r="G86" s="18" t="str">
        <x:v>Partially meets expectations</x:v>
      </x:c>
      <x:c r="H86" s="18" t="str">
        <x:v>MGR003</x:v>
      </x:c>
      <x:c r="I86" s="20" t="n">
        <x:v>45826.5</x:v>
      </x:c>
    </x:row>
    <x:row r="87" ht="15" hidden="0" customHeight="1">
      <x:c r="A87" s="18" t="str">
        <x:v>CR00086</x:v>
      </x:c>
      <x:c r="B87" s="18" t="str">
        <x:v>REV0022</x:v>
      </x:c>
      <x:c r="C87" s="18" t="str">
        <x:v>EMP007</x:v>
      </x:c>
      <x:c r="D87" s="18" t="str">
        <x:v>CY2025Q2</x:v>
      </x:c>
      <x:c r="E87" s="18" t="str">
        <x:v>COMP_COMM</x:v>
      </x:c>
      <x:c r="F87" s="18" t="n">
        <x:v>2</x:v>
      </x:c>
      <x:c r="G87" s="18" t="str">
        <x:v>Partially meets expectations</x:v>
      </x:c>
      <x:c r="H87" s="18" t="str">
        <x:v>MGR003</x:v>
      </x:c>
      <x:c r="I87" s="20" t="n">
        <x:v>45826.5</x:v>
      </x:c>
    </x:row>
    <x:row r="88" ht="15" hidden="0" customHeight="1">
      <x:c r="A88" s="18" t="str">
        <x:v>CR00087</x:v>
      </x:c>
      <x:c r="B88" s="18" t="str">
        <x:v>REV0022</x:v>
      </x:c>
      <x:c r="C88" s="18" t="str">
        <x:v>EMP007</x:v>
      </x:c>
      <x:c r="D88" s="18" t="str">
        <x:v>CY2025Q2</x:v>
      </x:c>
      <x:c r="E88" s="18" t="str">
        <x:v>COMP_DOMAIN</x:v>
      </x:c>
      <x:c r="F88" s="18" t="n">
        <x:v>2</x:v>
      </x:c>
      <x:c r="G88" s="18" t="str">
        <x:v>Partially meets expectations</x:v>
      </x:c>
      <x:c r="H88" s="18" t="str">
        <x:v>MGR003</x:v>
      </x:c>
      <x:c r="I88" s="20" t="n">
        <x:v>45826.5</x:v>
      </x:c>
    </x:row>
    <x:row r="89" ht="15" hidden="0" customHeight="1">
      <x:c r="A89" s="18" t="str">
        <x:v>CR00088</x:v>
      </x:c>
      <x:c r="B89" s="18" t="str">
        <x:v>REV0022</x:v>
      </x:c>
      <x:c r="C89" s="18" t="str">
        <x:v>EMP007</x:v>
      </x:c>
      <x:c r="D89" s="18" t="str">
        <x:v>CY2025Q2</x:v>
      </x:c>
      <x:c r="E89" s="18" t="str">
        <x:v>COMP_CAREER</x:v>
      </x:c>
      <x:c r="F89" s="18" t="n">
        <x:v>3</x:v>
      </x:c>
      <x:c r="G89" s="18" t="str">
        <x:v>Meets expectations</x:v>
      </x:c>
      <x:c r="H89" s="18" t="str">
        <x:v>MGR003</x:v>
      </x:c>
      <x:c r="I89" s="20" t="n">
        <x:v>45826.5</x:v>
      </x:c>
    </x:row>
    <x:row r="90" ht="15" hidden="0" customHeight="1">
      <x:c r="A90" s="18" t="str">
        <x:v>CR00089</x:v>
      </x:c>
      <x:c r="B90" s="18" t="str">
        <x:v>REV0023</x:v>
      </x:c>
      <x:c r="C90" s="18" t="str">
        <x:v>EMP008</x:v>
      </x:c>
      <x:c r="D90" s="18" t="str">
        <x:v>CY2025Q2</x:v>
      </x:c>
      <x:c r="E90" s="18" t="str">
        <x:v>COMP_STRATEGY</x:v>
      </x:c>
      <x:c r="F90" s="18" t="n">
        <x:v>1</x:v>
      </x:c>
      <x:c r="G90" s="18" t="str">
        <x:v>Improvement required</x:v>
      </x:c>
      <x:c r="H90" s="18" t="str">
        <x:v>MGR003</x:v>
      </x:c>
      <x:c r="I90" s="20" t="n">
        <x:v>45827.5</x:v>
      </x:c>
    </x:row>
    <x:row r="91" ht="15" hidden="0" customHeight="1">
      <x:c r="A91" s="18" t="str">
        <x:v>CR00090</x:v>
      </x:c>
      <x:c r="B91" s="18" t="str">
        <x:v>REV0023</x:v>
      </x:c>
      <x:c r="C91" s="18" t="str">
        <x:v>EMP008</x:v>
      </x:c>
      <x:c r="D91" s="18" t="str">
        <x:v>CY2025Q2</x:v>
      </x:c>
      <x:c r="E91" s="18" t="str">
        <x:v>COMP_COMM</x:v>
      </x:c>
      <x:c r="F91" s="18" t="n">
        <x:v>1</x:v>
      </x:c>
      <x:c r="G91" s="18" t="str">
        <x:v>Improvement required</x:v>
      </x:c>
      <x:c r="H91" s="18" t="str">
        <x:v>MGR003</x:v>
      </x:c>
      <x:c r="I91" s="20" t="n">
        <x:v>45827.5</x:v>
      </x:c>
    </x:row>
    <x:row r="92" ht="15" hidden="0" customHeight="1">
      <x:c r="A92" s="18" t="str">
        <x:v>CR00091</x:v>
      </x:c>
      <x:c r="B92" s="18" t="str">
        <x:v>REV0023</x:v>
      </x:c>
      <x:c r="C92" s="18" t="str">
        <x:v>EMP008</x:v>
      </x:c>
      <x:c r="D92" s="18" t="str">
        <x:v>CY2025Q2</x:v>
      </x:c>
      <x:c r="E92" s="18" t="str">
        <x:v>COMP_DOMAIN</x:v>
      </x:c>
      <x:c r="F92" s="18" t="n">
        <x:v>2</x:v>
      </x:c>
      <x:c r="G92" s="18" t="str">
        <x:v>Partially meets expectations</x:v>
      </x:c>
      <x:c r="H92" s="18" t="str">
        <x:v>MGR003</x:v>
      </x:c>
      <x:c r="I92" s="20" t="n">
        <x:v>45827.5</x:v>
      </x:c>
    </x:row>
    <x:row r="93" ht="15" hidden="0" customHeight="1">
      <x:c r="A93" s="18" t="str">
        <x:v>CR00092</x:v>
      </x:c>
      <x:c r="B93" s="18" t="str">
        <x:v>REV0023</x:v>
      </x:c>
      <x:c r="C93" s="18" t="str">
        <x:v>EMP008</x:v>
      </x:c>
      <x:c r="D93" s="18" t="str">
        <x:v>CY2025Q2</x:v>
      </x:c>
      <x:c r="E93" s="18" t="str">
        <x:v>COMP_CAREER</x:v>
      </x:c>
      <x:c r="F93" s="18" t="n">
        <x:v>1</x:v>
      </x:c>
      <x:c r="G93" s="18" t="str">
        <x:v>Improvement required</x:v>
      </x:c>
      <x:c r="H93" s="18" t="str">
        <x:v>MGR003</x:v>
      </x:c>
      <x:c r="I93" s="20" t="n">
        <x:v>45827.5</x:v>
      </x:c>
    </x:row>
    <x:row r="94" ht="15" hidden="0" customHeight="1">
      <x:c r="A94" s="18" t="str">
        <x:v>CR00093</x:v>
      </x:c>
      <x:c r="B94" s="18" t="str">
        <x:v>REV0024</x:v>
      </x:c>
      <x:c r="C94" s="18" t="str">
        <x:v>EMP009</x:v>
      </x:c>
      <x:c r="D94" s="18" t="str">
        <x:v>CY2025Q2</x:v>
      </x:c>
      <x:c r="E94" s="18" t="str">
        <x:v>COMP_STRATEGY</x:v>
      </x:c>
      <x:c r="F94" s="18" t="n">
        <x:v>5</x:v>
      </x:c>
      <x:c r="G94" s="18" t="str">
        <x:v>Significantly exceeds expectations</x:v>
      </x:c>
      <x:c r="H94" s="18" t="str">
        <x:v>MGR004</x:v>
      </x:c>
      <x:c r="I94" s="20" t="n">
        <x:v>45828.5</x:v>
      </x:c>
    </x:row>
    <x:row r="95" ht="15" hidden="0" customHeight="1">
      <x:c r="A95" s="18" t="str">
        <x:v>CR00094</x:v>
      </x:c>
      <x:c r="B95" s="18" t="str">
        <x:v>REV0024</x:v>
      </x:c>
      <x:c r="C95" s="18" t="str">
        <x:v>EMP009</x:v>
      </x:c>
      <x:c r="D95" s="18" t="str">
        <x:v>CY2025Q2</x:v>
      </x:c>
      <x:c r="E95" s="18" t="str">
        <x:v>COMP_COMM</x:v>
      </x:c>
      <x:c r="F95" s="18" t="n">
        <x:v>5</x:v>
      </x:c>
      <x:c r="G95" s="18" t="str">
        <x:v>Significantly exceeds expectations</x:v>
      </x:c>
      <x:c r="H95" s="18" t="str">
        <x:v>MGR004</x:v>
      </x:c>
      <x:c r="I95" s="20" t="n">
        <x:v>45828.5</x:v>
      </x:c>
    </x:row>
    <x:row r="96" ht="15" hidden="0" customHeight="1">
      <x:c r="A96" s="18" t="str">
        <x:v>CR00095</x:v>
      </x:c>
      <x:c r="B96" s="18" t="str">
        <x:v>REV0024</x:v>
      </x:c>
      <x:c r="C96" s="18" t="str">
        <x:v>EMP009</x:v>
      </x:c>
      <x:c r="D96" s="18" t="str">
        <x:v>CY2025Q2</x:v>
      </x:c>
      <x:c r="E96" s="18" t="str">
        <x:v>COMP_DOMAIN</x:v>
      </x:c>
      <x:c r="F96" s="18" t="n">
        <x:v>5</x:v>
      </x:c>
      <x:c r="G96" s="18" t="str">
        <x:v>Significantly exceeds expectations</x:v>
      </x:c>
      <x:c r="H96" s="18" t="str">
        <x:v>MGR004</x:v>
      </x:c>
      <x:c r="I96" s="20" t="n">
        <x:v>45828.5</x:v>
      </x:c>
    </x:row>
    <x:row r="97" ht="15" hidden="0" customHeight="1">
      <x:c r="A97" s="18" t="str">
        <x:v>CR00096</x:v>
      </x:c>
      <x:c r="B97" s="18" t="str">
        <x:v>REV0024</x:v>
      </x:c>
      <x:c r="C97" s="18" t="str">
        <x:v>EMP009</x:v>
      </x:c>
      <x:c r="D97" s="18" t="str">
        <x:v>CY2025Q2</x:v>
      </x:c>
      <x:c r="E97" s="18" t="str">
        <x:v>COMP_CAREER</x:v>
      </x:c>
      <x:c r="F97" s="18" t="n">
        <x:v>5</x:v>
      </x:c>
      <x:c r="G97" s="18" t="str">
        <x:v>Significantly exceeds expectations</x:v>
      </x:c>
      <x:c r="H97" s="18" t="str">
        <x:v>MGR004</x:v>
      </x:c>
      <x:c r="I97" s="20" t="n">
        <x:v>45828.5</x:v>
      </x:c>
    </x:row>
    <x:row r="98" ht="15" hidden="0" customHeight="1">
      <x:c r="A98" s="18" t="str">
        <x:v>CR00097</x:v>
      </x:c>
      <x:c r="B98" s="18" t="str">
        <x:v>REV0025</x:v>
      </x:c>
      <x:c r="C98" s="18" t="str">
        <x:v>EMP010</x:v>
      </x:c>
      <x:c r="D98" s="18" t="str">
        <x:v>CY2025Q2</x:v>
      </x:c>
      <x:c r="E98" s="18" t="str">
        <x:v>COMP_STRATEGY</x:v>
      </x:c>
      <x:c r="F98" s="18" t="n">
        <x:v>3</x:v>
      </x:c>
      <x:c r="G98" s="18" t="str">
        <x:v>Meets expectations</x:v>
      </x:c>
      <x:c r="H98" s="18" t="str">
        <x:v>MGR004</x:v>
      </x:c>
      <x:c r="I98" s="20" t="n">
        <x:v>45829.5</x:v>
      </x:c>
    </x:row>
    <x:row r="99" ht="15" hidden="0" customHeight="1">
      <x:c r="A99" s="18" t="str">
        <x:v>CR00098</x:v>
      </x:c>
      <x:c r="B99" s="18" t="str">
        <x:v>REV0025</x:v>
      </x:c>
      <x:c r="C99" s="18" t="str">
        <x:v>EMP010</x:v>
      </x:c>
      <x:c r="D99" s="18" t="str">
        <x:v>CY2025Q2</x:v>
      </x:c>
      <x:c r="E99" s="18" t="str">
        <x:v>COMP_COMM</x:v>
      </x:c>
      <x:c r="F99" s="18" t="n">
        <x:v>3</x:v>
      </x:c>
      <x:c r="G99" s="18" t="str">
        <x:v>Meets expectations</x:v>
      </x:c>
      <x:c r="H99" s="18" t="str">
        <x:v>MGR004</x:v>
      </x:c>
      <x:c r="I99" s="20" t="n">
        <x:v>45829.5</x:v>
      </x:c>
    </x:row>
    <x:row r="100" ht="15" hidden="0" customHeight="1">
      <x:c r="A100" s="18" t="str">
        <x:v>CR00099</x:v>
      </x:c>
      <x:c r="B100" s="18" t="str">
        <x:v>REV0025</x:v>
      </x:c>
      <x:c r="C100" s="18" t="str">
        <x:v>EMP010</x:v>
      </x:c>
      <x:c r="D100" s="18" t="str">
        <x:v>CY2025Q2</x:v>
      </x:c>
      <x:c r="E100" s="18" t="str">
        <x:v>COMP_DOMAIN</x:v>
      </x:c>
      <x:c r="F100" s="18" t="n">
        <x:v>3</x:v>
      </x:c>
      <x:c r="G100" s="18" t="str">
        <x:v>Meets expectations</x:v>
      </x:c>
      <x:c r="H100" s="18" t="str">
        <x:v>MGR004</x:v>
      </x:c>
      <x:c r="I100" s="20" t="n">
        <x:v>45829.5</x:v>
      </x:c>
    </x:row>
    <x:row r="101" ht="15" hidden="0" customHeight="1">
      <x:c r="A101" s="18" t="str">
        <x:v>CR00100</x:v>
      </x:c>
      <x:c r="B101" s="18" t="str">
        <x:v>REV0025</x:v>
      </x:c>
      <x:c r="C101" s="18" t="str">
        <x:v>EMP010</x:v>
      </x:c>
      <x:c r="D101" s="18" t="str">
        <x:v>CY2025Q2</x:v>
      </x:c>
      <x:c r="E101" s="18" t="str">
        <x:v>COMP_CAREER</x:v>
      </x:c>
      <x:c r="F101" s="18" t="n">
        <x:v>3</x:v>
      </x:c>
      <x:c r="G101" s="18" t="str">
        <x:v>Meets expectations</x:v>
      </x:c>
      <x:c r="H101" s="18" t="str">
        <x:v>MGR004</x:v>
      </x:c>
      <x:c r="I101" s="20" t="n">
        <x:v>45829.5</x:v>
      </x:c>
    </x:row>
    <x:row r="102" ht="15" hidden="0" customHeight="1">
      <x:c r="A102" s="18" t="str">
        <x:v>CR00101</x:v>
      </x:c>
      <x:c r="B102" s="18" t="str">
        <x:v>REV0026</x:v>
      </x:c>
      <x:c r="C102" s="18" t="str">
        <x:v>EMP011</x:v>
      </x:c>
      <x:c r="D102" s="18" t="str">
        <x:v>CY2025Q2</x:v>
      </x:c>
      <x:c r="E102" s="18" t="str">
        <x:v>COMP_STRATEGY</x:v>
      </x:c>
      <x:c r="F102" s="18" t="n">
        <x:v>4</x:v>
      </x:c>
      <x:c r="G102" s="18" t="str">
        <x:v>Exceeds expectations</x:v>
      </x:c>
      <x:c r="H102" s="18" t="str">
        <x:v>MGR004</x:v>
      </x:c>
      <x:c r="I102" s="20" t="n">
        <x:v>45830.5</x:v>
      </x:c>
    </x:row>
    <x:row r="103" ht="15" hidden="0" customHeight="1">
      <x:c r="A103" s="18" t="str">
        <x:v>CR00102</x:v>
      </x:c>
      <x:c r="B103" s="18" t="str">
        <x:v>REV0026</x:v>
      </x:c>
      <x:c r="C103" s="18" t="str">
        <x:v>EMP011</x:v>
      </x:c>
      <x:c r="D103" s="18" t="str">
        <x:v>CY2025Q2</x:v>
      </x:c>
      <x:c r="E103" s="18" t="str">
        <x:v>COMP_COMM</x:v>
      </x:c>
      <x:c r="F103" s="18" t="n">
        <x:v>4</x:v>
      </x:c>
      <x:c r="G103" s="18" t="str">
        <x:v>Exceeds expectations</x:v>
      </x:c>
      <x:c r="H103" s="18" t="str">
        <x:v>MGR004</x:v>
      </x:c>
      <x:c r="I103" s="20" t="n">
        <x:v>45830.5</x:v>
      </x:c>
    </x:row>
    <x:row r="104" ht="15" hidden="0" customHeight="1">
      <x:c r="A104" s="18" t="str">
        <x:v>CR00103</x:v>
      </x:c>
      <x:c r="B104" s="18" t="str">
        <x:v>REV0026</x:v>
      </x:c>
      <x:c r="C104" s="18" t="str">
        <x:v>EMP011</x:v>
      </x:c>
      <x:c r="D104" s="18" t="str">
        <x:v>CY2025Q2</x:v>
      </x:c>
      <x:c r="E104" s="18" t="str">
        <x:v>COMP_DOMAIN</x:v>
      </x:c>
      <x:c r="F104" s="18" t="n">
        <x:v>4</x:v>
      </x:c>
      <x:c r="G104" s="18" t="str">
        <x:v>Exceeds expectations</x:v>
      </x:c>
      <x:c r="H104" s="18" t="str">
        <x:v>MGR004</x:v>
      </x:c>
      <x:c r="I104" s="20" t="n">
        <x:v>45830.5</x:v>
      </x:c>
    </x:row>
    <x:row r="105" ht="15" hidden="0" customHeight="1">
      <x:c r="A105" s="18" t="str">
        <x:v>CR00104</x:v>
      </x:c>
      <x:c r="B105" s="18" t="str">
        <x:v>REV0026</x:v>
      </x:c>
      <x:c r="C105" s="18" t="str">
        <x:v>EMP011</x:v>
      </x:c>
      <x:c r="D105" s="18" t="str">
        <x:v>CY2025Q2</x:v>
      </x:c>
      <x:c r="E105" s="18" t="str">
        <x:v>COMP_CAREER</x:v>
      </x:c>
      <x:c r="F105" s="18" t="n">
        <x:v>4</x:v>
      </x:c>
      <x:c r="G105" s="18" t="str">
        <x:v>Exceeds expectations</x:v>
      </x:c>
      <x:c r="H105" s="18" t="str">
        <x:v>MGR004</x:v>
      </x:c>
      <x:c r="I105" s="20" t="n">
        <x:v>45830.5</x:v>
      </x:c>
    </x:row>
    <x:row r="106" ht="15" hidden="0" customHeight="1">
      <x:c r="A106" s="18" t="str">
        <x:v>CR00105</x:v>
      </x:c>
      <x:c r="B106" s="18" t="str">
        <x:v>REV0027</x:v>
      </x:c>
      <x:c r="C106" s="18" t="str">
        <x:v>EMP012</x:v>
      </x:c>
      <x:c r="D106" s="18" t="str">
        <x:v>CY2025Q2</x:v>
      </x:c>
      <x:c r="E106" s="18" t="str">
        <x:v>COMP_STRATEGY</x:v>
      </x:c>
      <x:c r="F106" s="18" t="n">
        <x:v>2</x:v>
      </x:c>
      <x:c r="G106" s="18" t="str">
        <x:v>Partially meets expectations</x:v>
      </x:c>
      <x:c r="H106" s="18" t="str">
        <x:v>MGR005</x:v>
      </x:c>
      <x:c r="I106" s="20" t="n">
        <x:v>45831.5</x:v>
      </x:c>
    </x:row>
    <x:row r="107" ht="15" hidden="0" customHeight="1">
      <x:c r="A107" s="18" t="str">
        <x:v>CR00106</x:v>
      </x:c>
      <x:c r="B107" s="18" t="str">
        <x:v>REV0027</x:v>
      </x:c>
      <x:c r="C107" s="18" t="str">
        <x:v>EMP012</x:v>
      </x:c>
      <x:c r="D107" s="18" t="str">
        <x:v>CY2025Q2</x:v>
      </x:c>
      <x:c r="E107" s="18" t="str">
        <x:v>COMP_COMM</x:v>
      </x:c>
      <x:c r="F107" s="18" t="n">
        <x:v>2</x:v>
      </x:c>
      <x:c r="G107" s="18" t="str">
        <x:v>Partially meets expectations</x:v>
      </x:c>
      <x:c r="H107" s="18" t="str">
        <x:v>MGR005</x:v>
      </x:c>
      <x:c r="I107" s="20" t="n">
        <x:v>45831.5</x:v>
      </x:c>
    </x:row>
    <x:row r="108" ht="15" hidden="0" customHeight="1">
      <x:c r="A108" s="18" t="str">
        <x:v>CR00107</x:v>
      </x:c>
      <x:c r="B108" s="18" t="str">
        <x:v>REV0027</x:v>
      </x:c>
      <x:c r="C108" s="18" t="str">
        <x:v>EMP012</x:v>
      </x:c>
      <x:c r="D108" s="18" t="str">
        <x:v>CY2025Q2</x:v>
      </x:c>
      <x:c r="E108" s="18" t="str">
        <x:v>COMP_DOMAIN</x:v>
      </x:c>
      <x:c r="F108" s="18" t="n">
        <x:v>2</x:v>
      </x:c>
      <x:c r="G108" s="18" t="str">
        <x:v>Partially meets expectations</x:v>
      </x:c>
      <x:c r="H108" s="18" t="str">
        <x:v>MGR005</x:v>
      </x:c>
      <x:c r="I108" s="20" t="n">
        <x:v>45831.5</x:v>
      </x:c>
    </x:row>
    <x:row r="109" ht="15" hidden="0" customHeight="1">
      <x:c r="A109" s="18" t="str">
        <x:v>CR00108</x:v>
      </x:c>
      <x:c r="B109" s="18" t="str">
        <x:v>REV0027</x:v>
      </x:c>
      <x:c r="C109" s="18" t="str">
        <x:v>EMP012</x:v>
      </x:c>
      <x:c r="D109" s="18" t="str">
        <x:v>CY2025Q2</x:v>
      </x:c>
      <x:c r="E109" s="18" t="str">
        <x:v>COMP_CAREER</x:v>
      </x:c>
      <x:c r="F109" s="18" t="n">
        <x:v>3</x:v>
      </x:c>
      <x:c r="G109" s="18" t="str">
        <x:v>Meets expectations</x:v>
      </x:c>
      <x:c r="H109" s="18" t="str">
        <x:v>MGR005</x:v>
      </x:c>
      <x:c r="I109" s="20" t="n">
        <x:v>45831.5</x:v>
      </x:c>
    </x:row>
    <x:row r="110" ht="15" hidden="0" customHeight="1">
      <x:c r="A110" s="18" t="str">
        <x:v>CR00109</x:v>
      </x:c>
      <x:c r="B110" s="18" t="str">
        <x:v>REV0028</x:v>
      </x:c>
      <x:c r="C110" s="18" t="str">
        <x:v>EMP013</x:v>
      </x:c>
      <x:c r="D110" s="18" t="str">
        <x:v>CY2025Q2</x:v>
      </x:c>
      <x:c r="E110" s="18" t="str">
        <x:v>COMP_STRATEGY</x:v>
      </x:c>
      <x:c r="F110" s="18" t="n">
        <x:v>4</x:v>
      </x:c>
      <x:c r="G110" s="18" t="str">
        <x:v>Exceeds expectations</x:v>
      </x:c>
      <x:c r="H110" s="18" t="str">
        <x:v>MGR005</x:v>
      </x:c>
      <x:c r="I110" s="20" t="n">
        <x:v>45820.5</x:v>
      </x:c>
    </x:row>
    <x:row r="111" ht="15" hidden="0" customHeight="1">
      <x:c r="A111" s="18" t="str">
        <x:v>CR00110</x:v>
      </x:c>
      <x:c r="B111" s="18" t="str">
        <x:v>REV0028</x:v>
      </x:c>
      <x:c r="C111" s="18" t="str">
        <x:v>EMP013</x:v>
      </x:c>
      <x:c r="D111" s="18" t="str">
        <x:v>CY2025Q2</x:v>
      </x:c>
      <x:c r="E111" s="18" t="str">
        <x:v>COMP_COMM</x:v>
      </x:c>
      <x:c r="F111" s="18" t="n">
        <x:v>4</x:v>
      </x:c>
      <x:c r="G111" s="18" t="str">
        <x:v>Exceeds expectations</x:v>
      </x:c>
      <x:c r="H111" s="18" t="str">
        <x:v>MGR005</x:v>
      </x:c>
      <x:c r="I111" s="20" t="n">
        <x:v>45820.5</x:v>
      </x:c>
    </x:row>
    <x:row r="112" ht="15" hidden="0" customHeight="1">
      <x:c r="A112" s="18" t="str">
        <x:v>CR00111</x:v>
      </x:c>
      <x:c r="B112" s="18" t="str">
        <x:v>REV0028</x:v>
      </x:c>
      <x:c r="C112" s="18" t="str">
        <x:v>EMP013</x:v>
      </x:c>
      <x:c r="D112" s="18" t="str">
        <x:v>CY2025Q2</x:v>
      </x:c>
      <x:c r="E112" s="18" t="str">
        <x:v>COMP_DOMAIN</x:v>
      </x:c>
      <x:c r="F112" s="18" t="n">
        <x:v>4</x:v>
      </x:c>
      <x:c r="G112" s="18" t="str">
        <x:v>Exceeds expectations</x:v>
      </x:c>
      <x:c r="H112" s="18" t="str">
        <x:v>MGR005</x:v>
      </x:c>
      <x:c r="I112" s="20" t="n">
        <x:v>45820.5</x:v>
      </x:c>
    </x:row>
    <x:row r="113" ht="15" hidden="0" customHeight="1">
      <x:c r="A113" s="18" t="str">
        <x:v>CR00112</x:v>
      </x:c>
      <x:c r="B113" s="18" t="str">
        <x:v>REV0028</x:v>
      </x:c>
      <x:c r="C113" s="18" t="str">
        <x:v>EMP013</x:v>
      </x:c>
      <x:c r="D113" s="18" t="str">
        <x:v>CY2025Q2</x:v>
      </x:c>
      <x:c r="E113" s="18" t="str">
        <x:v>COMP_CAREER</x:v>
      </x:c>
      <x:c r="F113" s="18" t="n">
        <x:v>4</x:v>
      </x:c>
      <x:c r="G113" s="18" t="str">
        <x:v>Exceeds expectations</x:v>
      </x:c>
      <x:c r="H113" s="18" t="str">
        <x:v>MGR005</x:v>
      </x:c>
      <x:c r="I113" s="20" t="n">
        <x:v>45820.5</x:v>
      </x:c>
    </x:row>
    <x:row r="114" ht="15" hidden="0" customHeight="1">
      <x:c r="A114" s="18" t="str">
        <x:v>CR00113</x:v>
      </x:c>
      <x:c r="B114" s="18" t="str">
        <x:v>REV0029</x:v>
      </x:c>
      <x:c r="C114" s="18" t="str">
        <x:v>EMP014</x:v>
      </x:c>
      <x:c r="D114" s="18" t="str">
        <x:v>CY2025Q2</x:v>
      </x:c>
      <x:c r="E114" s="18" t="str">
        <x:v>COMP_STRATEGY</x:v>
      </x:c>
      <x:c r="F114" s="18" t="n">
        <x:v>3</x:v>
      </x:c>
      <x:c r="G114" s="18" t="str">
        <x:v>Meets expectations</x:v>
      </x:c>
      <x:c r="H114" s="18" t="str">
        <x:v>MGR006</x:v>
      </x:c>
      <x:c r="I114" s="20" t="n">
        <x:v>45821.5</x:v>
      </x:c>
    </x:row>
    <x:row r="115" ht="15" hidden="0" customHeight="1">
      <x:c r="A115" s="18" t="str">
        <x:v>CR00114</x:v>
      </x:c>
      <x:c r="B115" s="18" t="str">
        <x:v>REV0029</x:v>
      </x:c>
      <x:c r="C115" s="18" t="str">
        <x:v>EMP014</x:v>
      </x:c>
      <x:c r="D115" s="18" t="str">
        <x:v>CY2025Q2</x:v>
      </x:c>
      <x:c r="E115" s="18" t="str">
        <x:v>COMP_COMM</x:v>
      </x:c>
      <x:c r="F115" s="18" t="n">
        <x:v>2</x:v>
      </x:c>
      <x:c r="G115" s="18" t="str">
        <x:v>Partially meets expectations</x:v>
      </x:c>
      <x:c r="H115" s="18" t="str">
        <x:v>MGR006</x:v>
      </x:c>
      <x:c r="I115" s="20" t="n">
        <x:v>45821.5</x:v>
      </x:c>
    </x:row>
    <x:row r="116" ht="15" hidden="0" customHeight="1">
      <x:c r="A116" s="18" t="str">
        <x:v>CR00115</x:v>
      </x:c>
      <x:c r="B116" s="18" t="str">
        <x:v>REV0029</x:v>
      </x:c>
      <x:c r="C116" s="18" t="str">
        <x:v>EMP014</x:v>
      </x:c>
      <x:c r="D116" s="18" t="str">
        <x:v>CY2025Q2</x:v>
      </x:c>
      <x:c r="E116" s="18" t="str">
        <x:v>COMP_DOMAIN</x:v>
      </x:c>
      <x:c r="F116" s="18" t="n">
        <x:v>3</x:v>
      </x:c>
      <x:c r="G116" s="18" t="str">
        <x:v>Meets expectations</x:v>
      </x:c>
      <x:c r="H116" s="18" t="str">
        <x:v>MGR006</x:v>
      </x:c>
      <x:c r="I116" s="20" t="n">
        <x:v>45821.5</x:v>
      </x:c>
    </x:row>
    <x:row r="117" ht="15" hidden="0" customHeight="1">
      <x:c r="A117" s="18" t="str">
        <x:v>CR00116</x:v>
      </x:c>
      <x:c r="B117" s="18" t="str">
        <x:v>REV0029</x:v>
      </x:c>
      <x:c r="C117" s="18" t="str">
        <x:v>EMP014</x:v>
      </x:c>
      <x:c r="D117" s="18" t="str">
        <x:v>CY2025Q2</x:v>
      </x:c>
      <x:c r="E117" s="18" t="str">
        <x:v>COMP_CAREER</x:v>
      </x:c>
      <x:c r="F117" s="18" t="n">
        <x:v>3</x:v>
      </x:c>
      <x:c r="G117" s="18" t="str">
        <x:v>Meets expectations</x:v>
      </x:c>
      <x:c r="H117" s="18" t="str">
        <x:v>MGR006</x:v>
      </x:c>
      <x:c r="I117" s="20" t="n">
        <x:v>45821.5</x:v>
      </x:c>
    </x:row>
    <x:row r="118" ht="15" hidden="0" customHeight="1">
      <x:c r="A118" s="18" t="str">
        <x:v>CR00117</x:v>
      </x:c>
      <x:c r="B118" s="18" t="str">
        <x:v>REV0030</x:v>
      </x:c>
      <x:c r="C118" s="18" t="str">
        <x:v>EMP015</x:v>
      </x:c>
      <x:c r="D118" s="18" t="str">
        <x:v>CY2025Q2</x:v>
      </x:c>
      <x:c r="E118" s="18" t="str">
        <x:v>COMP_STRATEGY</x:v>
      </x:c>
      <x:c r="F118" s="18" t="n">
        <x:v>1</x:v>
      </x:c>
      <x:c r="G118" s="18" t="str">
        <x:v>Improvement required</x:v>
      </x:c>
      <x:c r="H118" s="18" t="str">
        <x:v>MGR006</x:v>
      </x:c>
      <x:c r="I118" s="20" t="n">
        <x:v>45822.5</x:v>
      </x:c>
    </x:row>
    <x:row r="119" ht="15" hidden="0" customHeight="1">
      <x:c r="A119" s="18" t="str">
        <x:v>CR00118</x:v>
      </x:c>
      <x:c r="B119" s="18" t="str">
        <x:v>REV0030</x:v>
      </x:c>
      <x:c r="C119" s="18" t="str">
        <x:v>EMP015</x:v>
      </x:c>
      <x:c r="D119" s="18" t="str">
        <x:v>CY2025Q2</x:v>
      </x:c>
      <x:c r="E119" s="18" t="str">
        <x:v>COMP_COMM</x:v>
      </x:c>
      <x:c r="F119" s="18" t="n">
        <x:v>1</x:v>
      </x:c>
      <x:c r="G119" s="18" t="str">
        <x:v>Improvement required</x:v>
      </x:c>
      <x:c r="H119" s="18" t="str">
        <x:v>MGR006</x:v>
      </x:c>
      <x:c r="I119" s="20" t="n">
        <x:v>45822.5</x:v>
      </x:c>
    </x:row>
    <x:row r="120" ht="15" hidden="0" customHeight="1">
      <x:c r="A120" s="18" t="str">
        <x:v>CR00119</x:v>
      </x:c>
      <x:c r="B120" s="18" t="str">
        <x:v>REV0030</x:v>
      </x:c>
      <x:c r="C120" s="18" t="str">
        <x:v>EMP015</x:v>
      </x:c>
      <x:c r="D120" s="18" t="str">
        <x:v>CY2025Q2</x:v>
      </x:c>
      <x:c r="E120" s="18" t="str">
        <x:v>COMP_DOMAIN</x:v>
      </x:c>
      <x:c r="F120" s="18" t="n">
        <x:v>2</x:v>
      </x:c>
      <x:c r="G120" s="18" t="str">
        <x:v>Partially meets expectations</x:v>
      </x:c>
      <x:c r="H120" s="18" t="str">
        <x:v>MGR006</x:v>
      </x:c>
      <x:c r="I120" s="20" t="n">
        <x:v>45822.5</x:v>
      </x:c>
    </x:row>
    <x:row r="121" ht="15" hidden="0" customHeight="1">
      <x:c r="A121" s="18" t="str">
        <x:v>CR00120</x:v>
      </x:c>
      <x:c r="B121" s="18" t="str">
        <x:v>REV0030</x:v>
      </x:c>
      <x:c r="C121" s="18" t="str">
        <x:v>EMP015</x:v>
      </x:c>
      <x:c r="D121" s="18" t="str">
        <x:v>CY2025Q2</x:v>
      </x:c>
      <x:c r="E121" s="18" t="str">
        <x:v>COMP_CAREER</x:v>
      </x:c>
      <x:c r="F121" s="18" t="n">
        <x:v>1</x:v>
      </x:c>
      <x:c r="G121" s="18" t="str">
        <x:v>Improvement required</x:v>
      </x:c>
      <x:c r="H121" s="18" t="str">
        <x:v>MGR006</x:v>
      </x:c>
      <x:c r="I121" s="20" t="n">
        <x:v>45822.5</x:v>
      </x:c>
    </x:row>
    <x:row r="122" ht="15" hidden="0" customHeight="1">
      <x:c r="A122" s="18" t="str">
        <x:v>CR00121</x:v>
      </x:c>
      <x:c r="B122" s="18" t="str">
        <x:v>REV0031</x:v>
      </x:c>
      <x:c r="C122" s="18" t="str">
        <x:v>EMP001</x:v>
      </x:c>
      <x:c r="D122" s="18" t="str">
        <x:v>CY2025Q3</x:v>
      </x:c>
      <x:c r="E122" s="18" t="str">
        <x:v>COMP_STRATEGY</x:v>
      </x:c>
      <x:c r="F122" s="18" t="n">
        <x:v>5</x:v>
      </x:c>
      <x:c r="G122" s="18" t="str">
        <x:v>Significantly exceeds expectations</x:v>
      </x:c>
      <x:c r="H122" s="18" t="str">
        <x:v>MGR001</x:v>
      </x:c>
      <x:c r="I122" s="20" t="n">
        <x:v>45912.5</x:v>
      </x:c>
    </x:row>
    <x:row r="123" ht="15" hidden="0" customHeight="1">
      <x:c r="A123" s="18" t="str">
        <x:v>CR00122</x:v>
      </x:c>
      <x:c r="B123" s="18" t="str">
        <x:v>REV0031</x:v>
      </x:c>
      <x:c r="C123" s="18" t="str">
        <x:v>EMP001</x:v>
      </x:c>
      <x:c r="D123" s="18" t="str">
        <x:v>CY2025Q3</x:v>
      </x:c>
      <x:c r="E123" s="18" t="str">
        <x:v>COMP_COMM</x:v>
      </x:c>
      <x:c r="F123" s="18" t="n">
        <x:v>5</x:v>
      </x:c>
      <x:c r="G123" s="18" t="str">
        <x:v>Significantly exceeds expectations</x:v>
      </x:c>
      <x:c r="H123" s="18" t="str">
        <x:v>MGR001</x:v>
      </x:c>
      <x:c r="I123" s="20" t="n">
        <x:v>45912.5</x:v>
      </x:c>
    </x:row>
    <x:row r="124" ht="15" hidden="0" customHeight="1">
      <x:c r="A124" s="18" t="str">
        <x:v>CR00123</x:v>
      </x:c>
      <x:c r="B124" s="18" t="str">
        <x:v>REV0031</x:v>
      </x:c>
      <x:c r="C124" s="18" t="str">
        <x:v>EMP001</x:v>
      </x:c>
      <x:c r="D124" s="18" t="str">
        <x:v>CY2025Q3</x:v>
      </x:c>
      <x:c r="E124" s="18" t="str">
        <x:v>COMP_DOMAIN</x:v>
      </x:c>
      <x:c r="F124" s="18" t="n">
        <x:v>5</x:v>
      </x:c>
      <x:c r="G124" s="18" t="str">
        <x:v>Significantly exceeds expectations</x:v>
      </x:c>
      <x:c r="H124" s="18" t="str">
        <x:v>MGR001</x:v>
      </x:c>
      <x:c r="I124" s="20" t="n">
        <x:v>45912.5</x:v>
      </x:c>
    </x:row>
    <x:row r="125" ht="15" hidden="0" customHeight="1">
      <x:c r="A125" s="18" t="str">
        <x:v>CR00124</x:v>
      </x:c>
      <x:c r="B125" s="18" t="str">
        <x:v>REV0031</x:v>
      </x:c>
      <x:c r="C125" s="18" t="str">
        <x:v>EMP001</x:v>
      </x:c>
      <x:c r="D125" s="18" t="str">
        <x:v>CY2025Q3</x:v>
      </x:c>
      <x:c r="E125" s="18" t="str">
        <x:v>COMP_CAREER</x:v>
      </x:c>
      <x:c r="F125" s="18" t="n">
        <x:v>5</x:v>
      </x:c>
      <x:c r="G125" s="18" t="str">
        <x:v>Significantly exceeds expectations</x:v>
      </x:c>
      <x:c r="H125" s="18" t="str">
        <x:v>MGR001</x:v>
      </x:c>
      <x:c r="I125" s="20" t="n">
        <x:v>45912.5</x:v>
      </x:c>
    </x:row>
    <x:row r="126" ht="15" hidden="0" customHeight="1">
      <x:c r="A126" s="18" t="str">
        <x:v>CR00125</x:v>
      </x:c>
      <x:c r="B126" s="18" t="str">
        <x:v>REV0032</x:v>
      </x:c>
      <x:c r="C126" s="18" t="str">
        <x:v>EMP002</x:v>
      </x:c>
      <x:c r="D126" s="18" t="str">
        <x:v>CY2025Q3</x:v>
      </x:c>
      <x:c r="E126" s="18" t="str">
        <x:v>COMP_STRATEGY</x:v>
      </x:c>
      <x:c r="F126" s="18" t="n">
        <x:v>4</x:v>
      </x:c>
      <x:c r="G126" s="18" t="str">
        <x:v>Exceeds expectations</x:v>
      </x:c>
      <x:c r="H126" s="18" t="str">
        <x:v>MGR001</x:v>
      </x:c>
      <x:c r="I126" s="20" t="n">
        <x:v>45913.5</x:v>
      </x:c>
    </x:row>
    <x:row r="127" ht="15" hidden="0" customHeight="1">
      <x:c r="A127" s="18" t="str">
        <x:v>CR00126</x:v>
      </x:c>
      <x:c r="B127" s="18" t="str">
        <x:v>REV0032</x:v>
      </x:c>
      <x:c r="C127" s="18" t="str">
        <x:v>EMP002</x:v>
      </x:c>
      <x:c r="D127" s="18" t="str">
        <x:v>CY2025Q3</x:v>
      </x:c>
      <x:c r="E127" s="18" t="str">
        <x:v>COMP_COMM</x:v>
      </x:c>
      <x:c r="F127" s="18" t="n">
        <x:v>4</x:v>
      </x:c>
      <x:c r="G127" s="18" t="str">
        <x:v>Exceeds expectations</x:v>
      </x:c>
      <x:c r="H127" s="18" t="str">
        <x:v>MGR001</x:v>
      </x:c>
      <x:c r="I127" s="20" t="n">
        <x:v>45913.5</x:v>
      </x:c>
    </x:row>
    <x:row r="128" ht="15" hidden="0" customHeight="1">
      <x:c r="A128" s="18" t="str">
        <x:v>CR00127</x:v>
      </x:c>
      <x:c r="B128" s="18" t="str">
        <x:v>REV0032</x:v>
      </x:c>
      <x:c r="C128" s="18" t="str">
        <x:v>EMP002</x:v>
      </x:c>
      <x:c r="D128" s="18" t="str">
        <x:v>CY2025Q3</x:v>
      </x:c>
      <x:c r="E128" s="18" t="str">
        <x:v>COMP_DOMAIN</x:v>
      </x:c>
      <x:c r="F128" s="18" t="n">
        <x:v>4</x:v>
      </x:c>
      <x:c r="G128" s="18" t="str">
        <x:v>Exceeds expectations</x:v>
      </x:c>
      <x:c r="H128" s="18" t="str">
        <x:v>MGR001</x:v>
      </x:c>
      <x:c r="I128" s="20" t="n">
        <x:v>45913.5</x:v>
      </x:c>
    </x:row>
    <x:row r="129" ht="15" hidden="0" customHeight="1">
      <x:c r="A129" s="18" t="str">
        <x:v>CR00128</x:v>
      </x:c>
      <x:c r="B129" s="18" t="str">
        <x:v>REV0032</x:v>
      </x:c>
      <x:c r="C129" s="18" t="str">
        <x:v>EMP002</x:v>
      </x:c>
      <x:c r="D129" s="18" t="str">
        <x:v>CY2025Q3</x:v>
      </x:c>
      <x:c r="E129" s="18" t="str">
        <x:v>COMP_CAREER</x:v>
      </x:c>
      <x:c r="F129" s="18" t="n">
        <x:v>4</x:v>
      </x:c>
      <x:c r="G129" s="18" t="str">
        <x:v>Exceeds expectations</x:v>
      </x:c>
      <x:c r="H129" s="18" t="str">
        <x:v>MGR001</x:v>
      </x:c>
      <x:c r="I129" s="20" t="n">
        <x:v>45913.5</x:v>
      </x:c>
    </x:row>
    <x:row r="130" ht="15" hidden="0" customHeight="1">
      <x:c r="A130" s="18" t="str">
        <x:v>CR00129</x:v>
      </x:c>
      <x:c r="B130" s="18" t="str">
        <x:v>REV0033</x:v>
      </x:c>
      <x:c r="C130" s="18" t="str">
        <x:v>EMP003</x:v>
      </x:c>
      <x:c r="D130" s="18" t="str">
        <x:v>CY2025Q3</x:v>
      </x:c>
      <x:c r="E130" s="18" t="str">
        <x:v>COMP_STRATEGY</x:v>
      </x:c>
      <x:c r="F130" s="18" t="n">
        <x:v>3</x:v>
      </x:c>
      <x:c r="G130" s="18" t="str">
        <x:v>Meets expectations</x:v>
      </x:c>
      <x:c r="H130" s="18" t="str">
        <x:v>MGR001</x:v>
      </x:c>
      <x:c r="I130" s="20" t="n">
        <x:v>45914.5</x:v>
      </x:c>
    </x:row>
    <x:row r="131" ht="15" hidden="0" customHeight="1">
      <x:c r="A131" s="18" t="str">
        <x:v>CR00130</x:v>
      </x:c>
      <x:c r="B131" s="18" t="str">
        <x:v>REV0033</x:v>
      </x:c>
      <x:c r="C131" s="18" t="str">
        <x:v>EMP003</x:v>
      </x:c>
      <x:c r="D131" s="18" t="str">
        <x:v>CY2025Q3</x:v>
      </x:c>
      <x:c r="E131" s="18" t="str">
        <x:v>COMP_COMM</x:v>
      </x:c>
      <x:c r="F131" s="18" t="n">
        <x:v>2</x:v>
      </x:c>
      <x:c r="G131" s="18" t="str">
        <x:v>Partially meets expectations</x:v>
      </x:c>
      <x:c r="H131" s="18" t="str">
        <x:v>MGR001</x:v>
      </x:c>
      <x:c r="I131" s="20" t="n">
        <x:v>45914.5</x:v>
      </x:c>
    </x:row>
    <x:row r="132" ht="15" hidden="0" customHeight="1">
      <x:c r="A132" s="18" t="str">
        <x:v>CR00131</x:v>
      </x:c>
      <x:c r="B132" s="18" t="str">
        <x:v>REV0033</x:v>
      </x:c>
      <x:c r="C132" s="18" t="str">
        <x:v>EMP003</x:v>
      </x:c>
      <x:c r="D132" s="18" t="str">
        <x:v>CY2025Q3</x:v>
      </x:c>
      <x:c r="E132" s="18" t="str">
        <x:v>COMP_DOMAIN</x:v>
      </x:c>
      <x:c r="F132" s="18" t="n">
        <x:v>3</x:v>
      </x:c>
      <x:c r="G132" s="18" t="str">
        <x:v>Meets expectations</x:v>
      </x:c>
      <x:c r="H132" s="18" t="str">
        <x:v>MGR001</x:v>
      </x:c>
      <x:c r="I132" s="20" t="n">
        <x:v>45914.5</x:v>
      </x:c>
    </x:row>
    <x:row r="133" ht="15" hidden="0" customHeight="1">
      <x:c r="A133" s="18" t="str">
        <x:v>CR00132</x:v>
      </x:c>
      <x:c r="B133" s="18" t="str">
        <x:v>REV0033</x:v>
      </x:c>
      <x:c r="C133" s="18" t="str">
        <x:v>EMP003</x:v>
      </x:c>
      <x:c r="D133" s="18" t="str">
        <x:v>CY2025Q3</x:v>
      </x:c>
      <x:c r="E133" s="18" t="str">
        <x:v>COMP_CAREER</x:v>
      </x:c>
      <x:c r="F133" s="18" t="n">
        <x:v>3</x:v>
      </x:c>
      <x:c r="G133" s="18" t="str">
        <x:v>Meets expectations</x:v>
      </x:c>
      <x:c r="H133" s="18" t="str">
        <x:v>MGR001</x:v>
      </x:c>
      <x:c r="I133" s="20" t="n">
        <x:v>45914.5</x:v>
      </x:c>
    </x:row>
    <x:row r="134" ht="15" hidden="0" customHeight="1">
      <x:c r="A134" s="18" t="str">
        <x:v>CR00133</x:v>
      </x:c>
      <x:c r="B134" s="18" t="str">
        <x:v>REV0034</x:v>
      </x:c>
      <x:c r="C134" s="18" t="str">
        <x:v>EMP004</x:v>
      </x:c>
      <x:c r="D134" s="18" t="str">
        <x:v>CY2025Q3</x:v>
      </x:c>
      <x:c r="E134" s="18" t="str">
        <x:v>COMP_STRATEGY</x:v>
      </x:c>
      <x:c r="F134" s="18" t="n">
        <x:v>3</x:v>
      </x:c>
      <x:c r="G134" s="18" t="str">
        <x:v>Meets expectations</x:v>
      </x:c>
      <x:c r="H134" s="18" t="str">
        <x:v>MGR002</x:v>
      </x:c>
      <x:c r="I134" s="20" t="n">
        <x:v>45915.5</x:v>
      </x:c>
    </x:row>
    <x:row r="135" ht="15" hidden="0" customHeight="1">
      <x:c r="A135" s="18" t="str">
        <x:v>CR00134</x:v>
      </x:c>
      <x:c r="B135" s="18" t="str">
        <x:v>REV0034</x:v>
      </x:c>
      <x:c r="C135" s="18" t="str">
        <x:v>EMP004</x:v>
      </x:c>
      <x:c r="D135" s="18" t="str">
        <x:v>CY2025Q3</x:v>
      </x:c>
      <x:c r="E135" s="18" t="str">
        <x:v>COMP_COMM</x:v>
      </x:c>
      <x:c r="F135" s="18" t="n">
        <x:v>3</x:v>
      </x:c>
      <x:c r="G135" s="18" t="str">
        <x:v>Meets expectations</x:v>
      </x:c>
      <x:c r="H135" s="18" t="str">
        <x:v>MGR002</x:v>
      </x:c>
      <x:c r="I135" s="20" t="n">
        <x:v>45915.5</x:v>
      </x:c>
    </x:row>
    <x:row r="136" ht="15" hidden="0" customHeight="1">
      <x:c r="A136" s="18" t="str">
        <x:v>CR00135</x:v>
      </x:c>
      <x:c r="B136" s="18" t="str">
        <x:v>REV0034</x:v>
      </x:c>
      <x:c r="C136" s="18" t="str">
        <x:v>EMP004</x:v>
      </x:c>
      <x:c r="D136" s="18" t="str">
        <x:v>CY2025Q3</x:v>
      </x:c>
      <x:c r="E136" s="18" t="str">
        <x:v>COMP_DOMAIN</x:v>
      </x:c>
      <x:c r="F136" s="18" t="n">
        <x:v>3</x:v>
      </x:c>
      <x:c r="G136" s="18" t="str">
        <x:v>Meets expectations</x:v>
      </x:c>
      <x:c r="H136" s="18" t="str">
        <x:v>MGR002</x:v>
      </x:c>
      <x:c r="I136" s="20" t="n">
        <x:v>45915.5</x:v>
      </x:c>
    </x:row>
    <x:row r="137" ht="15" hidden="0" customHeight="1">
      <x:c r="A137" s="18" t="str">
        <x:v>CR00136</x:v>
      </x:c>
      <x:c r="B137" s="18" t="str">
        <x:v>REV0034</x:v>
      </x:c>
      <x:c r="C137" s="18" t="str">
        <x:v>EMP004</x:v>
      </x:c>
      <x:c r="D137" s="18" t="str">
        <x:v>CY2025Q3</x:v>
      </x:c>
      <x:c r="E137" s="18" t="str">
        <x:v>COMP_CAREER</x:v>
      </x:c>
      <x:c r="F137" s="18" t="n">
        <x:v>3</x:v>
      </x:c>
      <x:c r="G137" s="18" t="str">
        <x:v>Meets expectations</x:v>
      </x:c>
      <x:c r="H137" s="18" t="str">
        <x:v>MGR002</x:v>
      </x:c>
      <x:c r="I137" s="20" t="n">
        <x:v>45915.5</x:v>
      </x:c>
    </x:row>
    <x:row r="138" ht="15" hidden="0" customHeight="1">
      <x:c r="A138" s="18" t="str">
        <x:v>CR00137</x:v>
      </x:c>
      <x:c r="B138" s="18" t="str">
        <x:v>REV0035</x:v>
      </x:c>
      <x:c r="C138" s="18" t="str">
        <x:v>EMP005</x:v>
      </x:c>
      <x:c r="D138" s="18" t="str">
        <x:v>CY2025Q3</x:v>
      </x:c>
      <x:c r="E138" s="18" t="str">
        <x:v>COMP_STRATEGY</x:v>
      </x:c>
      <x:c r="F138" s="18" t="n">
        <x:v>4</x:v>
      </x:c>
      <x:c r="G138" s="18" t="str">
        <x:v>Exceeds expectations</x:v>
      </x:c>
      <x:c r="H138" s="18" t="str">
        <x:v>MGR002</x:v>
      </x:c>
      <x:c r="I138" s="20" t="n">
        <x:v>45916.5</x:v>
      </x:c>
    </x:row>
    <x:row r="139" ht="15" hidden="0" customHeight="1">
      <x:c r="A139" s="18" t="str">
        <x:v>CR00138</x:v>
      </x:c>
      <x:c r="B139" s="18" t="str">
        <x:v>REV0035</x:v>
      </x:c>
      <x:c r="C139" s="18" t="str">
        <x:v>EMP005</x:v>
      </x:c>
      <x:c r="D139" s="18" t="str">
        <x:v>CY2025Q3</x:v>
      </x:c>
      <x:c r="E139" s="18" t="str">
        <x:v>COMP_COMM</x:v>
      </x:c>
      <x:c r="F139" s="18" t="n">
        <x:v>4</x:v>
      </x:c>
      <x:c r="G139" s="18" t="str">
        <x:v>Exceeds expectations</x:v>
      </x:c>
      <x:c r="H139" s="18" t="str">
        <x:v>MGR002</x:v>
      </x:c>
      <x:c r="I139" s="20" t="n">
        <x:v>45916.5</x:v>
      </x:c>
    </x:row>
    <x:row r="140" ht="15" hidden="0" customHeight="1">
      <x:c r="A140" s="18" t="str">
        <x:v>CR00139</x:v>
      </x:c>
      <x:c r="B140" s="18" t="str">
        <x:v>REV0035</x:v>
      </x:c>
      <x:c r="C140" s="18" t="str">
        <x:v>EMP005</x:v>
      </x:c>
      <x:c r="D140" s="18" t="str">
        <x:v>CY2025Q3</x:v>
      </x:c>
      <x:c r="E140" s="18" t="str">
        <x:v>COMP_DOMAIN</x:v>
      </x:c>
      <x:c r="F140" s="18" t="n">
        <x:v>4</x:v>
      </x:c>
      <x:c r="G140" s="18" t="str">
        <x:v>Exceeds expectations</x:v>
      </x:c>
      <x:c r="H140" s="18" t="str">
        <x:v>MGR002</x:v>
      </x:c>
      <x:c r="I140" s="20" t="n">
        <x:v>45916.5</x:v>
      </x:c>
    </x:row>
    <x:row r="141" ht="15" hidden="0" customHeight="1">
      <x:c r="A141" s="18" t="str">
        <x:v>CR00140</x:v>
      </x:c>
      <x:c r="B141" s="18" t="str">
        <x:v>REV0035</x:v>
      </x:c>
      <x:c r="C141" s="18" t="str">
        <x:v>EMP005</x:v>
      </x:c>
      <x:c r="D141" s="18" t="str">
        <x:v>CY2025Q3</x:v>
      </x:c>
      <x:c r="E141" s="18" t="str">
        <x:v>COMP_CAREER</x:v>
      </x:c>
      <x:c r="F141" s="18" t="n">
        <x:v>4</x:v>
      </x:c>
      <x:c r="G141" s="18" t="str">
        <x:v>Exceeds expectations</x:v>
      </x:c>
      <x:c r="H141" s="18" t="str">
        <x:v>MGR002</x:v>
      </x:c>
      <x:c r="I141" s="20" t="n">
        <x:v>45916.5</x:v>
      </x:c>
    </x:row>
    <x:row r="142" ht="15" hidden="0" customHeight="1">
      <x:c r="A142" s="18" t="str">
        <x:v>CR00141</x:v>
      </x:c>
      <x:c r="B142" s="18" t="str">
        <x:v>REV0036</x:v>
      </x:c>
      <x:c r="C142" s="18" t="str">
        <x:v>EMP006</x:v>
      </x:c>
      <x:c r="D142" s="18" t="str">
        <x:v>CY2025Q3</x:v>
      </x:c>
      <x:c r="E142" s="18" t="str">
        <x:v>COMP_STRATEGY</x:v>
      </x:c>
      <x:c r="F142" s="18" t="n">
        <x:v>2</x:v>
      </x:c>
      <x:c r="G142" s="18" t="str">
        <x:v>Partially meets expectations</x:v>
      </x:c>
      <x:c r="H142" s="18" t="str">
        <x:v>MGR002</x:v>
      </x:c>
      <x:c r="I142" s="20" t="n">
        <x:v>45917.5</x:v>
      </x:c>
    </x:row>
    <x:row r="143" ht="15" hidden="0" customHeight="1">
      <x:c r="A143" s="18" t="str">
        <x:v>CR00142</x:v>
      </x:c>
      <x:c r="B143" s="18" t="str">
        <x:v>REV0036</x:v>
      </x:c>
      <x:c r="C143" s="18" t="str">
        <x:v>EMP006</x:v>
      </x:c>
      <x:c r="D143" s="18" t="str">
        <x:v>CY2025Q3</x:v>
      </x:c>
      <x:c r="E143" s="18" t="str">
        <x:v>COMP_COMM</x:v>
      </x:c>
      <x:c r="F143" s="18" t="n">
        <x:v>2</x:v>
      </x:c>
      <x:c r="G143" s="18" t="str">
        <x:v>Partially meets expectations</x:v>
      </x:c>
      <x:c r="H143" s="18" t="str">
        <x:v>MGR002</x:v>
      </x:c>
      <x:c r="I143" s="20" t="n">
        <x:v>45917.5</x:v>
      </x:c>
    </x:row>
    <x:row r="144" ht="15" hidden="0" customHeight="1">
      <x:c r="A144" s="18" t="str">
        <x:v>CR00143</x:v>
      </x:c>
      <x:c r="B144" s="18" t="str">
        <x:v>REV0036</x:v>
      </x:c>
      <x:c r="C144" s="18" t="str">
        <x:v>EMP006</x:v>
      </x:c>
      <x:c r="D144" s="18" t="str">
        <x:v>CY2025Q3</x:v>
      </x:c>
      <x:c r="E144" s="18" t="str">
        <x:v>COMP_DOMAIN</x:v>
      </x:c>
      <x:c r="F144" s="18" t="n">
        <x:v>2</x:v>
      </x:c>
      <x:c r="G144" s="18" t="str">
        <x:v>Partially meets expectations</x:v>
      </x:c>
      <x:c r="H144" s="18" t="str">
        <x:v>MGR002</x:v>
      </x:c>
      <x:c r="I144" s="20" t="n">
        <x:v>45917.5</x:v>
      </x:c>
    </x:row>
    <x:row r="145" ht="15" hidden="0" customHeight="1">
      <x:c r="A145" s="18" t="str">
        <x:v>CR00144</x:v>
      </x:c>
      <x:c r="B145" s="18" t="str">
        <x:v>REV0036</x:v>
      </x:c>
      <x:c r="C145" s="18" t="str">
        <x:v>EMP006</x:v>
      </x:c>
      <x:c r="D145" s="18" t="str">
        <x:v>CY2025Q3</x:v>
      </x:c>
      <x:c r="E145" s="18" t="str">
        <x:v>COMP_CAREER</x:v>
      </x:c>
      <x:c r="F145" s="18" t="n">
        <x:v>3</x:v>
      </x:c>
      <x:c r="G145" s="18" t="str">
        <x:v>Meets expectations</x:v>
      </x:c>
      <x:c r="H145" s="18" t="str">
        <x:v>MGR002</x:v>
      </x:c>
      <x:c r="I145" s="20" t="n">
        <x:v>45917.5</x:v>
      </x:c>
    </x:row>
    <x:row r="146" ht="15" hidden="0" customHeight="1">
      <x:c r="A146" s="18" t="str">
        <x:v>CR00145</x:v>
      </x:c>
      <x:c r="B146" s="18" t="str">
        <x:v>REV0037</x:v>
      </x:c>
      <x:c r="C146" s="18" t="str">
        <x:v>EMP007</x:v>
      </x:c>
      <x:c r="D146" s="18" t="str">
        <x:v>CY2025Q3</x:v>
      </x:c>
      <x:c r="E146" s="18" t="str">
        <x:v>COMP_STRATEGY</x:v>
      </x:c>
      <x:c r="F146" s="18" t="n">
        <x:v>2</x:v>
      </x:c>
      <x:c r="G146" s="18" t="str">
        <x:v>Partially meets expectations</x:v>
      </x:c>
      <x:c r="H146" s="18" t="str">
        <x:v>MGR003</x:v>
      </x:c>
      <x:c r="I146" s="20" t="n">
        <x:v>45918.5</x:v>
      </x:c>
    </x:row>
    <x:row r="147" ht="15" hidden="0" customHeight="1">
      <x:c r="A147" s="18" t="str">
        <x:v>CR00146</x:v>
      </x:c>
      <x:c r="B147" s="18" t="str">
        <x:v>REV0037</x:v>
      </x:c>
      <x:c r="C147" s="18" t="str">
        <x:v>EMP007</x:v>
      </x:c>
      <x:c r="D147" s="18" t="str">
        <x:v>CY2025Q3</x:v>
      </x:c>
      <x:c r="E147" s="18" t="str">
        <x:v>COMP_COMM</x:v>
      </x:c>
      <x:c r="F147" s="18" t="n">
        <x:v>2</x:v>
      </x:c>
      <x:c r="G147" s="18" t="str">
        <x:v>Partially meets expectations</x:v>
      </x:c>
      <x:c r="H147" s="18" t="str">
        <x:v>MGR003</x:v>
      </x:c>
      <x:c r="I147" s="20" t="n">
        <x:v>45918.5</x:v>
      </x:c>
    </x:row>
    <x:row r="148" ht="15" hidden="0" customHeight="1">
      <x:c r="A148" s="18" t="str">
        <x:v>CR00147</x:v>
      </x:c>
      <x:c r="B148" s="18" t="str">
        <x:v>REV0037</x:v>
      </x:c>
      <x:c r="C148" s="18" t="str">
        <x:v>EMP007</x:v>
      </x:c>
      <x:c r="D148" s="18" t="str">
        <x:v>CY2025Q3</x:v>
      </x:c>
      <x:c r="E148" s="18" t="str">
        <x:v>COMP_DOMAIN</x:v>
      </x:c>
      <x:c r="F148" s="18" t="n">
        <x:v>2</x:v>
      </x:c>
      <x:c r="G148" s="18" t="str">
        <x:v>Partially meets expectations</x:v>
      </x:c>
      <x:c r="H148" s="18" t="str">
        <x:v>MGR003</x:v>
      </x:c>
      <x:c r="I148" s="20" t="n">
        <x:v>45918.5</x:v>
      </x:c>
    </x:row>
    <x:row r="149" ht="15" hidden="0" customHeight="1">
      <x:c r="A149" s="18" t="str">
        <x:v>CR00148</x:v>
      </x:c>
      <x:c r="B149" s="18" t="str">
        <x:v>REV0037</x:v>
      </x:c>
      <x:c r="C149" s="18" t="str">
        <x:v>EMP007</x:v>
      </x:c>
      <x:c r="D149" s="18" t="str">
        <x:v>CY2025Q3</x:v>
      </x:c>
      <x:c r="E149" s="18" t="str">
        <x:v>COMP_CAREER</x:v>
      </x:c>
      <x:c r="F149" s="18" t="n">
        <x:v>2</x:v>
      </x:c>
      <x:c r="G149" s="18" t="str">
        <x:v>Partially meets expectations</x:v>
      </x:c>
      <x:c r="H149" s="18" t="str">
        <x:v>MGR003</x:v>
      </x:c>
      <x:c r="I149" s="20" t="n">
        <x:v>45918.5</x:v>
      </x:c>
    </x:row>
    <x:row r="150" ht="15" hidden="0" customHeight="1">
      <x:c r="A150" s="18" t="str">
        <x:v>CR00149</x:v>
      </x:c>
      <x:c r="B150" s="18" t="str">
        <x:v>REV0038</x:v>
      </x:c>
      <x:c r="C150" s="18" t="str">
        <x:v>EMP008</x:v>
      </x:c>
      <x:c r="D150" s="18" t="str">
        <x:v>CY2025Q3</x:v>
      </x:c>
      <x:c r="E150" s="18" t="str">
        <x:v>COMP_STRATEGY</x:v>
      </x:c>
      <x:c r="F150" s="18" t="n">
        <x:v>1</x:v>
      </x:c>
      <x:c r="G150" s="18" t="str">
        <x:v>Improvement required</x:v>
      </x:c>
      <x:c r="H150" s="18" t="str">
        <x:v>MGR003</x:v>
      </x:c>
      <x:c r="I150" s="20" t="n">
        <x:v>45919.5</x:v>
      </x:c>
    </x:row>
    <x:row r="151" ht="15" hidden="0" customHeight="1">
      <x:c r="A151" s="18" t="str">
        <x:v>CR00150</x:v>
      </x:c>
      <x:c r="B151" s="18" t="str">
        <x:v>REV0038</x:v>
      </x:c>
      <x:c r="C151" s="18" t="str">
        <x:v>EMP008</x:v>
      </x:c>
      <x:c r="D151" s="18" t="str">
        <x:v>CY2025Q3</x:v>
      </x:c>
      <x:c r="E151" s="18" t="str">
        <x:v>COMP_COMM</x:v>
      </x:c>
      <x:c r="F151" s="18" t="n">
        <x:v>1</x:v>
      </x:c>
      <x:c r="G151" s="18" t="str">
        <x:v>Improvement required</x:v>
      </x:c>
      <x:c r="H151" s="18" t="str">
        <x:v>MGR003</x:v>
      </x:c>
      <x:c r="I151" s="20" t="n">
        <x:v>45919.5</x:v>
      </x:c>
    </x:row>
    <x:row r="152" ht="15" hidden="0" customHeight="1">
      <x:c r="A152" s="18" t="str">
        <x:v>CR00151</x:v>
      </x:c>
      <x:c r="B152" s="18" t="str">
        <x:v>REV0038</x:v>
      </x:c>
      <x:c r="C152" s="18" t="str">
        <x:v>EMP008</x:v>
      </x:c>
      <x:c r="D152" s="18" t="str">
        <x:v>CY2025Q3</x:v>
      </x:c>
      <x:c r="E152" s="18" t="str">
        <x:v>COMP_DOMAIN</x:v>
      </x:c>
      <x:c r="F152" s="18" t="n">
        <x:v>2</x:v>
      </x:c>
      <x:c r="G152" s="18" t="str">
        <x:v>Partially meets expectations</x:v>
      </x:c>
      <x:c r="H152" s="18" t="str">
        <x:v>MGR003</x:v>
      </x:c>
      <x:c r="I152" s="20" t="n">
        <x:v>45919.5</x:v>
      </x:c>
    </x:row>
    <x:row r="153" ht="15" hidden="0" customHeight="1">
      <x:c r="A153" s="18" t="str">
        <x:v>CR00152</x:v>
      </x:c>
      <x:c r="B153" s="18" t="str">
        <x:v>REV0038</x:v>
      </x:c>
      <x:c r="C153" s="18" t="str">
        <x:v>EMP008</x:v>
      </x:c>
      <x:c r="D153" s="18" t="str">
        <x:v>CY2025Q3</x:v>
      </x:c>
      <x:c r="E153" s="18" t="str">
        <x:v>COMP_CAREER</x:v>
      </x:c>
      <x:c r="F153" s="18" t="n">
        <x:v>1</x:v>
      </x:c>
      <x:c r="G153" s="18" t="str">
        <x:v>Improvement required</x:v>
      </x:c>
      <x:c r="H153" s="18" t="str">
        <x:v>MGR003</x:v>
      </x:c>
      <x:c r="I153" s="20" t="n">
        <x:v>45919.5</x:v>
      </x:c>
    </x:row>
    <x:row r="154" ht="15" hidden="0" customHeight="1">
      <x:c r="A154" s="18" t="str">
        <x:v>CR00153</x:v>
      </x:c>
      <x:c r="B154" s="18" t="str">
        <x:v>REV0039</x:v>
      </x:c>
      <x:c r="C154" s="18" t="str">
        <x:v>EMP009</x:v>
      </x:c>
      <x:c r="D154" s="18" t="str">
        <x:v>CY2025Q3</x:v>
      </x:c>
      <x:c r="E154" s="18" t="str">
        <x:v>COMP_STRATEGY</x:v>
      </x:c>
      <x:c r="F154" s="18" t="n">
        <x:v>5</x:v>
      </x:c>
      <x:c r="G154" s="18" t="str">
        <x:v>Significantly exceeds expectations</x:v>
      </x:c>
      <x:c r="H154" s="18" t="str">
        <x:v>MGR004</x:v>
      </x:c>
      <x:c r="I154" s="20" t="n">
        <x:v>45920.5</x:v>
      </x:c>
    </x:row>
    <x:row r="155" ht="15" hidden="0" customHeight="1">
      <x:c r="A155" s="18" t="str">
        <x:v>CR00154</x:v>
      </x:c>
      <x:c r="B155" s="18" t="str">
        <x:v>REV0039</x:v>
      </x:c>
      <x:c r="C155" s="18" t="str">
        <x:v>EMP009</x:v>
      </x:c>
      <x:c r="D155" s="18" t="str">
        <x:v>CY2025Q3</x:v>
      </x:c>
      <x:c r="E155" s="18" t="str">
        <x:v>COMP_COMM</x:v>
      </x:c>
      <x:c r="F155" s="18" t="n">
        <x:v>5</x:v>
      </x:c>
      <x:c r="G155" s="18" t="str">
        <x:v>Significantly exceeds expectations</x:v>
      </x:c>
      <x:c r="H155" s="18" t="str">
        <x:v>MGR004</x:v>
      </x:c>
      <x:c r="I155" s="20" t="n">
        <x:v>45920.5</x:v>
      </x:c>
    </x:row>
    <x:row r="156" ht="15" hidden="0" customHeight="1">
      <x:c r="A156" s="18" t="str">
        <x:v>CR00155</x:v>
      </x:c>
      <x:c r="B156" s="18" t="str">
        <x:v>REV0039</x:v>
      </x:c>
      <x:c r="C156" s="18" t="str">
        <x:v>EMP009</x:v>
      </x:c>
      <x:c r="D156" s="18" t="str">
        <x:v>CY2025Q3</x:v>
      </x:c>
      <x:c r="E156" s="18" t="str">
        <x:v>COMP_DOMAIN</x:v>
      </x:c>
      <x:c r="F156" s="18" t="n">
        <x:v>5</x:v>
      </x:c>
      <x:c r="G156" s="18" t="str">
        <x:v>Significantly exceeds expectations</x:v>
      </x:c>
      <x:c r="H156" s="18" t="str">
        <x:v>MGR004</x:v>
      </x:c>
      <x:c r="I156" s="20" t="n">
        <x:v>45920.5</x:v>
      </x:c>
    </x:row>
    <x:row r="157" ht="15" hidden="0" customHeight="1">
      <x:c r="A157" s="18" t="str">
        <x:v>CR00156</x:v>
      </x:c>
      <x:c r="B157" s="18" t="str">
        <x:v>REV0039</x:v>
      </x:c>
      <x:c r="C157" s="18" t="str">
        <x:v>EMP009</x:v>
      </x:c>
      <x:c r="D157" s="18" t="str">
        <x:v>CY2025Q3</x:v>
      </x:c>
      <x:c r="E157" s="18" t="str">
        <x:v>COMP_CAREER</x:v>
      </x:c>
      <x:c r="F157" s="18" t="n">
        <x:v>5</x:v>
      </x:c>
      <x:c r="G157" s="18" t="str">
        <x:v>Significantly exceeds expectations</x:v>
      </x:c>
      <x:c r="H157" s="18" t="str">
        <x:v>MGR004</x:v>
      </x:c>
      <x:c r="I157" s="20" t="n">
        <x:v>45920.5</x:v>
      </x:c>
    </x:row>
    <x:row r="158" ht="15" hidden="0" customHeight="1">
      <x:c r="A158" s="18" t="str">
        <x:v>CR00157</x:v>
      </x:c>
      <x:c r="B158" s="18" t="str">
        <x:v>REV0040</x:v>
      </x:c>
      <x:c r="C158" s="18" t="str">
        <x:v>EMP010</x:v>
      </x:c>
      <x:c r="D158" s="18" t="str">
        <x:v>CY2025Q3</x:v>
      </x:c>
      <x:c r="E158" s="18" t="str">
        <x:v>COMP_STRATEGY</x:v>
      </x:c>
      <x:c r="F158" s="18" t="n">
        <x:v>4</x:v>
      </x:c>
      <x:c r="G158" s="18" t="str">
        <x:v>Exceeds expectations</x:v>
      </x:c>
      <x:c r="H158" s="18" t="str">
        <x:v>MGR004</x:v>
      </x:c>
      <x:c r="I158" s="20" t="n">
        <x:v>45921.5</x:v>
      </x:c>
    </x:row>
    <x:row r="159" ht="15" hidden="0" customHeight="1">
      <x:c r="A159" s="18" t="str">
        <x:v>CR00158</x:v>
      </x:c>
      <x:c r="B159" s="18" t="str">
        <x:v>REV0040</x:v>
      </x:c>
      <x:c r="C159" s="18" t="str">
        <x:v>EMP010</x:v>
      </x:c>
      <x:c r="D159" s="18" t="str">
        <x:v>CY2025Q3</x:v>
      </x:c>
      <x:c r="E159" s="18" t="str">
        <x:v>COMP_COMM</x:v>
      </x:c>
      <x:c r="F159" s="18" t="n">
        <x:v>4</x:v>
      </x:c>
      <x:c r="G159" s="18" t="str">
        <x:v>Exceeds expectations</x:v>
      </x:c>
      <x:c r="H159" s="18" t="str">
        <x:v>MGR004</x:v>
      </x:c>
      <x:c r="I159" s="20" t="n">
        <x:v>45921.5</x:v>
      </x:c>
    </x:row>
    <x:row r="160" ht="15" hidden="0" customHeight="1">
      <x:c r="A160" s="18" t="str">
        <x:v>CR00159</x:v>
      </x:c>
      <x:c r="B160" s="18" t="str">
        <x:v>REV0040</x:v>
      </x:c>
      <x:c r="C160" s="18" t="str">
        <x:v>EMP010</x:v>
      </x:c>
      <x:c r="D160" s="18" t="str">
        <x:v>CY2025Q3</x:v>
      </x:c>
      <x:c r="E160" s="18" t="str">
        <x:v>COMP_DOMAIN</x:v>
      </x:c>
      <x:c r="F160" s="18" t="n">
        <x:v>4</x:v>
      </x:c>
      <x:c r="G160" s="18" t="str">
        <x:v>Exceeds expectations</x:v>
      </x:c>
      <x:c r="H160" s="18" t="str">
        <x:v>MGR004</x:v>
      </x:c>
      <x:c r="I160" s="20" t="n">
        <x:v>45921.5</x:v>
      </x:c>
    </x:row>
    <x:row r="161" ht="15" hidden="0" customHeight="1">
      <x:c r="A161" s="18" t="str">
        <x:v>CR00160</x:v>
      </x:c>
      <x:c r="B161" s="18" t="str">
        <x:v>REV0040</x:v>
      </x:c>
      <x:c r="C161" s="18" t="str">
        <x:v>EMP010</x:v>
      </x:c>
      <x:c r="D161" s="18" t="str">
        <x:v>CY2025Q3</x:v>
      </x:c>
      <x:c r="E161" s="18" t="str">
        <x:v>COMP_CAREER</x:v>
      </x:c>
      <x:c r="F161" s="18" t="n">
        <x:v>4</x:v>
      </x:c>
      <x:c r="G161" s="18" t="str">
        <x:v>Exceeds expectations</x:v>
      </x:c>
      <x:c r="H161" s="18" t="str">
        <x:v>MGR004</x:v>
      </x:c>
      <x:c r="I161" s="20" t="n">
        <x:v>45921.5</x:v>
      </x:c>
    </x:row>
    <x:row r="162" ht="15" hidden="0" customHeight="1">
      <x:c r="A162" s="18" t="str">
        <x:v>CR00161</x:v>
      </x:c>
      <x:c r="B162" s="18" t="str">
        <x:v>REV0041</x:v>
      </x:c>
      <x:c r="C162" s="18" t="str">
        <x:v>EMP011</x:v>
      </x:c>
      <x:c r="D162" s="18" t="str">
        <x:v>CY2025Q3</x:v>
      </x:c>
      <x:c r="E162" s="18" t="str">
        <x:v>COMP_STRATEGY</x:v>
      </x:c>
      <x:c r="F162" s="18" t="n">
        <x:v>3</x:v>
      </x:c>
      <x:c r="G162" s="18" t="str">
        <x:v>Meets expectations</x:v>
      </x:c>
      <x:c r="H162" s="18" t="str">
        <x:v>MGR004</x:v>
      </x:c>
      <x:c r="I162" s="20" t="n">
        <x:v>45922.5</x:v>
      </x:c>
    </x:row>
    <x:row r="163" ht="15" hidden="0" customHeight="1">
      <x:c r="A163" s="18" t="str">
        <x:v>CR00162</x:v>
      </x:c>
      <x:c r="B163" s="18" t="str">
        <x:v>REV0041</x:v>
      </x:c>
      <x:c r="C163" s="18" t="str">
        <x:v>EMP011</x:v>
      </x:c>
      <x:c r="D163" s="18" t="str">
        <x:v>CY2025Q3</x:v>
      </x:c>
      <x:c r="E163" s="18" t="str">
        <x:v>COMP_COMM</x:v>
      </x:c>
      <x:c r="F163" s="18" t="n">
        <x:v>3</x:v>
      </x:c>
      <x:c r="G163" s="18" t="str">
        <x:v>Meets expectations</x:v>
      </x:c>
      <x:c r="H163" s="18" t="str">
        <x:v>MGR004</x:v>
      </x:c>
      <x:c r="I163" s="20" t="n">
        <x:v>45922.5</x:v>
      </x:c>
    </x:row>
    <x:row r="164" ht="15" hidden="0" customHeight="1">
      <x:c r="A164" s="18" t="str">
        <x:v>CR00163</x:v>
      </x:c>
      <x:c r="B164" s="18" t="str">
        <x:v>REV0041</x:v>
      </x:c>
      <x:c r="C164" s="18" t="str">
        <x:v>EMP011</x:v>
      </x:c>
      <x:c r="D164" s="18" t="str">
        <x:v>CY2025Q3</x:v>
      </x:c>
      <x:c r="E164" s="18" t="str">
        <x:v>COMP_DOMAIN</x:v>
      </x:c>
      <x:c r="F164" s="18" t="n">
        <x:v>3</x:v>
      </x:c>
      <x:c r="G164" s="18" t="str">
        <x:v>Meets expectations</x:v>
      </x:c>
      <x:c r="H164" s="18" t="str">
        <x:v>MGR004</x:v>
      </x:c>
      <x:c r="I164" s="20" t="n">
        <x:v>45922.5</x:v>
      </x:c>
    </x:row>
    <x:row r="165" ht="15" hidden="0" customHeight="1">
      <x:c r="A165" s="18" t="str">
        <x:v>CR00164</x:v>
      </x:c>
      <x:c r="B165" s="18" t="str">
        <x:v>REV0041</x:v>
      </x:c>
      <x:c r="C165" s="18" t="str">
        <x:v>EMP011</x:v>
      </x:c>
      <x:c r="D165" s="18" t="str">
        <x:v>CY2025Q3</x:v>
      </x:c>
      <x:c r="E165" s="18" t="str">
        <x:v>COMP_CAREER</x:v>
      </x:c>
      <x:c r="F165" s="18" t="n">
        <x:v>4</x:v>
      </x:c>
      <x:c r="G165" s="18" t="str">
        <x:v>Exceeds expectations</x:v>
      </x:c>
      <x:c r="H165" s="18" t="str">
        <x:v>MGR004</x:v>
      </x:c>
      <x:c r="I165" s="20" t="n">
        <x:v>45922.5</x:v>
      </x:c>
    </x:row>
    <x:row r="166" ht="15" hidden="0" customHeight="1">
      <x:c r="A166" s="18" t="str">
        <x:v>CR00165</x:v>
      </x:c>
      <x:c r="B166" s="18" t="str">
        <x:v>REV0042</x:v>
      </x:c>
      <x:c r="C166" s="18" t="str">
        <x:v>EMP012</x:v>
      </x:c>
      <x:c r="D166" s="18" t="str">
        <x:v>CY2025Q3</x:v>
      </x:c>
      <x:c r="E166" s="18" t="str">
        <x:v>COMP_STRATEGY</x:v>
      </x:c>
      <x:c r="F166" s="18" t="n">
        <x:v>2</x:v>
      </x:c>
      <x:c r="G166" s="18" t="str">
        <x:v>Partially meets expectations</x:v>
      </x:c>
      <x:c r="H166" s="18" t="str">
        <x:v>MGR005</x:v>
      </x:c>
      <x:c r="I166" s="20" t="n">
        <x:v>45923.5</x:v>
      </x:c>
    </x:row>
    <x:row r="167" ht="15" hidden="0" customHeight="1">
      <x:c r="A167" s="18" t="str">
        <x:v>CR00166</x:v>
      </x:c>
      <x:c r="B167" s="18" t="str">
        <x:v>REV0042</x:v>
      </x:c>
      <x:c r="C167" s="18" t="str">
        <x:v>EMP012</x:v>
      </x:c>
      <x:c r="D167" s="18" t="str">
        <x:v>CY2025Q3</x:v>
      </x:c>
      <x:c r="E167" s="18" t="str">
        <x:v>COMP_COMM</x:v>
      </x:c>
      <x:c r="F167" s="18" t="n">
        <x:v>2</x:v>
      </x:c>
      <x:c r="G167" s="18" t="str">
        <x:v>Partially meets expectations</x:v>
      </x:c>
      <x:c r="H167" s="18" t="str">
        <x:v>MGR005</x:v>
      </x:c>
      <x:c r="I167" s="20" t="n">
        <x:v>45923.5</x:v>
      </x:c>
    </x:row>
    <x:row r="168" ht="15" hidden="0" customHeight="1">
      <x:c r="A168" s="18" t="str">
        <x:v>CR00167</x:v>
      </x:c>
      <x:c r="B168" s="18" t="str">
        <x:v>REV0042</x:v>
      </x:c>
      <x:c r="C168" s="18" t="str">
        <x:v>EMP012</x:v>
      </x:c>
      <x:c r="D168" s="18" t="str">
        <x:v>CY2025Q3</x:v>
      </x:c>
      <x:c r="E168" s="18" t="str">
        <x:v>COMP_DOMAIN</x:v>
      </x:c>
      <x:c r="F168" s="18" t="n">
        <x:v>2</x:v>
      </x:c>
      <x:c r="G168" s="18" t="str">
        <x:v>Partially meets expectations</x:v>
      </x:c>
      <x:c r="H168" s="18" t="str">
        <x:v>MGR005</x:v>
      </x:c>
      <x:c r="I168" s="20" t="n">
        <x:v>45923.5</x:v>
      </x:c>
    </x:row>
    <x:row r="169" ht="15" hidden="0" customHeight="1">
      <x:c r="A169" s="18" t="str">
        <x:v>CR00168</x:v>
      </x:c>
      <x:c r="B169" s="18" t="str">
        <x:v>REV0042</x:v>
      </x:c>
      <x:c r="C169" s="18" t="str">
        <x:v>EMP012</x:v>
      </x:c>
      <x:c r="D169" s="18" t="str">
        <x:v>CY2025Q3</x:v>
      </x:c>
      <x:c r="E169" s="18" t="str">
        <x:v>COMP_CAREER</x:v>
      </x:c>
      <x:c r="F169" s="18" t="n">
        <x:v>2</x:v>
      </x:c>
      <x:c r="G169" s="18" t="str">
        <x:v>Partially meets expectations</x:v>
      </x:c>
      <x:c r="H169" s="18" t="str">
        <x:v>MGR005</x:v>
      </x:c>
      <x:c r="I169" s="20" t="n">
        <x:v>45923.5</x:v>
      </x:c>
    </x:row>
    <x:row r="170" ht="15" hidden="0" customHeight="1">
      <x:c r="A170" s="18" t="str">
        <x:v>CR00169</x:v>
      </x:c>
      <x:c r="B170" s="18" t="str">
        <x:v>REV0043</x:v>
      </x:c>
      <x:c r="C170" s="18" t="str">
        <x:v>EMP013</x:v>
      </x:c>
      <x:c r="D170" s="18" t="str">
        <x:v>CY2025Q3</x:v>
      </x:c>
      <x:c r="E170" s="18" t="str">
        <x:v>COMP_STRATEGY</x:v>
      </x:c>
      <x:c r="F170" s="18" t="n">
        <x:v>3</x:v>
      </x:c>
      <x:c r="G170" s="18" t="str">
        <x:v>Meets expectations</x:v>
      </x:c>
      <x:c r="H170" s="18" t="str">
        <x:v>MGR005</x:v>
      </x:c>
      <x:c r="I170" s="20" t="n">
        <x:v>45912.5</x:v>
      </x:c>
    </x:row>
    <x:row r="171" ht="15" hidden="0" customHeight="1">
      <x:c r="A171" s="18" t="str">
        <x:v>CR00170</x:v>
      </x:c>
      <x:c r="B171" s="18" t="str">
        <x:v>REV0043</x:v>
      </x:c>
      <x:c r="C171" s="18" t="str">
        <x:v>EMP013</x:v>
      </x:c>
      <x:c r="D171" s="18" t="str">
        <x:v>CY2025Q3</x:v>
      </x:c>
      <x:c r="E171" s="18" t="str">
        <x:v>COMP_COMM</x:v>
      </x:c>
      <x:c r="F171" s="18" t="n">
        <x:v>2</x:v>
      </x:c>
      <x:c r="G171" s="18" t="str">
        <x:v>Partially meets expectations</x:v>
      </x:c>
      <x:c r="H171" s="18" t="str">
        <x:v>MGR005</x:v>
      </x:c>
      <x:c r="I171" s="20" t="n">
        <x:v>45912.5</x:v>
      </x:c>
    </x:row>
    <x:row r="172" ht="15" hidden="0" customHeight="1">
      <x:c r="A172" s="18" t="str">
        <x:v>CR00171</x:v>
      </x:c>
      <x:c r="B172" s="18" t="str">
        <x:v>REV0043</x:v>
      </x:c>
      <x:c r="C172" s="18" t="str">
        <x:v>EMP013</x:v>
      </x:c>
      <x:c r="D172" s="18" t="str">
        <x:v>CY2025Q3</x:v>
      </x:c>
      <x:c r="E172" s="18" t="str">
        <x:v>COMP_DOMAIN</x:v>
      </x:c>
      <x:c r="F172" s="18" t="n">
        <x:v>3</x:v>
      </x:c>
      <x:c r="G172" s="18" t="str">
        <x:v>Meets expectations</x:v>
      </x:c>
      <x:c r="H172" s="18" t="str">
        <x:v>MGR005</x:v>
      </x:c>
      <x:c r="I172" s="20" t="n">
        <x:v>45912.5</x:v>
      </x:c>
    </x:row>
    <x:row r="173" ht="15" hidden="0" customHeight="1">
      <x:c r="A173" s="18" t="str">
        <x:v>CR00172</x:v>
      </x:c>
      <x:c r="B173" s="18" t="str">
        <x:v>REV0043</x:v>
      </x:c>
      <x:c r="C173" s="18" t="str">
        <x:v>EMP013</x:v>
      </x:c>
      <x:c r="D173" s="18" t="str">
        <x:v>CY2025Q3</x:v>
      </x:c>
      <x:c r="E173" s="18" t="str">
        <x:v>COMP_CAREER</x:v>
      </x:c>
      <x:c r="F173" s="18" t="n">
        <x:v>3</x:v>
      </x:c>
      <x:c r="G173" s="18" t="str">
        <x:v>Meets expectations</x:v>
      </x:c>
      <x:c r="H173" s="18" t="str">
        <x:v>MGR005</x:v>
      </x:c>
      <x:c r="I173" s="20" t="n">
        <x:v>45912.5</x:v>
      </x:c>
    </x:row>
    <x:row r="174" ht="15" hidden="0" customHeight="1">
      <x:c r="A174" s="18" t="str">
        <x:v>CR00173</x:v>
      </x:c>
      <x:c r="B174" s="18" t="str">
        <x:v>REV0044</x:v>
      </x:c>
      <x:c r="C174" s="18" t="str">
        <x:v>EMP014</x:v>
      </x:c>
      <x:c r="D174" s="18" t="str">
        <x:v>CY2025Q3</x:v>
      </x:c>
      <x:c r="E174" s="18" t="str">
        <x:v>COMP_STRATEGY</x:v>
      </x:c>
      <x:c r="F174" s="18" t="n">
        <x:v>3</x:v>
      </x:c>
      <x:c r="G174" s="18" t="str">
        <x:v>Meets expectations</x:v>
      </x:c>
      <x:c r="H174" s="18" t="str">
        <x:v>MGR006</x:v>
      </x:c>
      <x:c r="I174" s="20" t="n">
        <x:v>45913.5</x:v>
      </x:c>
    </x:row>
    <x:row r="175" ht="15" hidden="0" customHeight="1">
      <x:c r="A175" s="18" t="str">
        <x:v>CR00174</x:v>
      </x:c>
      <x:c r="B175" s="18" t="str">
        <x:v>REV0044</x:v>
      </x:c>
      <x:c r="C175" s="18" t="str">
        <x:v>EMP014</x:v>
      </x:c>
      <x:c r="D175" s="18" t="str">
        <x:v>CY2025Q3</x:v>
      </x:c>
      <x:c r="E175" s="18" t="str">
        <x:v>COMP_COMM</x:v>
      </x:c>
      <x:c r="F175" s="18" t="n">
        <x:v>3</x:v>
      </x:c>
      <x:c r="G175" s="18" t="str">
        <x:v>Meets expectations</x:v>
      </x:c>
      <x:c r="H175" s="18" t="str">
        <x:v>MGR006</x:v>
      </x:c>
      <x:c r="I175" s="20" t="n">
        <x:v>45913.5</x:v>
      </x:c>
    </x:row>
    <x:row r="176" ht="15" hidden="0" customHeight="1">
      <x:c r="A176" s="18" t="str">
        <x:v>CR00175</x:v>
      </x:c>
      <x:c r="B176" s="18" t="str">
        <x:v>REV0044</x:v>
      </x:c>
      <x:c r="C176" s="18" t="str">
        <x:v>EMP014</x:v>
      </x:c>
      <x:c r="D176" s="18" t="str">
        <x:v>CY2025Q3</x:v>
      </x:c>
      <x:c r="E176" s="18" t="str">
        <x:v>COMP_DOMAIN</x:v>
      </x:c>
      <x:c r="F176" s="18" t="n">
        <x:v>3</x:v>
      </x:c>
      <x:c r="G176" s="18" t="str">
        <x:v>Meets expectations</x:v>
      </x:c>
      <x:c r="H176" s="18" t="str">
        <x:v>MGR006</x:v>
      </x:c>
      <x:c r="I176" s="20" t="n">
        <x:v>45913.5</x:v>
      </x:c>
    </x:row>
    <x:row r="177" ht="15" hidden="0" customHeight="1">
      <x:c r="A177" s="18" t="str">
        <x:v>CR00176</x:v>
      </x:c>
      <x:c r="B177" s="18" t="str">
        <x:v>REV0044</x:v>
      </x:c>
      <x:c r="C177" s="18" t="str">
        <x:v>EMP014</x:v>
      </x:c>
      <x:c r="D177" s="18" t="str">
        <x:v>CY2025Q3</x:v>
      </x:c>
      <x:c r="E177" s="18" t="str">
        <x:v>COMP_CAREER</x:v>
      </x:c>
      <x:c r="F177" s="18" t="n">
        <x:v>3</x:v>
      </x:c>
      <x:c r="G177" s="18" t="str">
        <x:v>Meets expectations</x:v>
      </x:c>
      <x:c r="H177" s="18" t="str">
        <x:v>MGR006</x:v>
      </x:c>
      <x:c r="I177" s="20" t="n">
        <x:v>45913.5</x:v>
      </x:c>
    </x:row>
    <x:row r="178" ht="15" hidden="0" customHeight="1">
      <x:c r="A178" s="18" t="str">
        <x:v>CR00177</x:v>
      </x:c>
      <x:c r="B178" s="18" t="str">
        <x:v>REV0045</x:v>
      </x:c>
      <x:c r="C178" s="18" t="str">
        <x:v>EMP015</x:v>
      </x:c>
      <x:c r="D178" s="18" t="str">
        <x:v>CY2025Q3</x:v>
      </x:c>
      <x:c r="E178" s="18" t="str">
        <x:v>COMP_STRATEGY</x:v>
      </x:c>
      <x:c r="F178" s="18" t="n">
        <x:v>1</x:v>
      </x:c>
      <x:c r="G178" s="18" t="str">
        <x:v>Improvement required</x:v>
      </x:c>
      <x:c r="H178" s="18" t="str">
        <x:v>MGR006</x:v>
      </x:c>
      <x:c r="I178" s="20" t="n">
        <x:v>45914.5</x:v>
      </x:c>
    </x:row>
    <x:row r="179" ht="15" hidden="0" customHeight="1">
      <x:c r="A179" s="18" t="str">
        <x:v>CR00178</x:v>
      </x:c>
      <x:c r="B179" s="18" t="str">
        <x:v>REV0045</x:v>
      </x:c>
      <x:c r="C179" s="18" t="str">
        <x:v>EMP015</x:v>
      </x:c>
      <x:c r="D179" s="18" t="str">
        <x:v>CY2025Q3</x:v>
      </x:c>
      <x:c r="E179" s="18" t="str">
        <x:v>COMP_COMM</x:v>
      </x:c>
      <x:c r="F179" s="18" t="n">
        <x:v>1</x:v>
      </x:c>
      <x:c r="G179" s="18" t="str">
        <x:v>Improvement required</x:v>
      </x:c>
      <x:c r="H179" s="18" t="str">
        <x:v>MGR006</x:v>
      </x:c>
      <x:c r="I179" s="20" t="n">
        <x:v>45914.5</x:v>
      </x:c>
    </x:row>
    <x:row r="180" ht="15" hidden="0" customHeight="1">
      <x:c r="A180" s="18" t="str">
        <x:v>CR00179</x:v>
      </x:c>
      <x:c r="B180" s="18" t="str">
        <x:v>REV0045</x:v>
      </x:c>
      <x:c r="C180" s="18" t="str">
        <x:v>EMP015</x:v>
      </x:c>
      <x:c r="D180" s="18" t="str">
        <x:v>CY2025Q3</x:v>
      </x:c>
      <x:c r="E180" s="18" t="str">
        <x:v>COMP_DOMAIN</x:v>
      </x:c>
      <x:c r="F180" s="18" t="n">
        <x:v>2</x:v>
      </x:c>
      <x:c r="G180" s="18" t="str">
        <x:v>Partially meets expectations</x:v>
      </x:c>
      <x:c r="H180" s="18" t="str">
        <x:v>MGR006</x:v>
      </x:c>
      <x:c r="I180" s="20" t="n">
        <x:v>45914.5</x:v>
      </x:c>
    </x:row>
    <x:row r="181" ht="15" hidden="0" customHeight="1">
      <x:c r="A181" s="18" t="str">
        <x:v>CR00180</x:v>
      </x:c>
      <x:c r="B181" s="18" t="str">
        <x:v>REV0045</x:v>
      </x:c>
      <x:c r="C181" s="18" t="str">
        <x:v>EMP015</x:v>
      </x:c>
      <x:c r="D181" s="18" t="str">
        <x:v>CY2025Q3</x:v>
      </x:c>
      <x:c r="E181" s="18" t="str">
        <x:v>COMP_CAREER</x:v>
      </x:c>
      <x:c r="F181" s="18" t="n">
        <x:v>1</x:v>
      </x:c>
      <x:c r="G181" s="18" t="str">
        <x:v>Improvement required</x:v>
      </x:c>
      <x:c r="H181" s="18" t="str">
        <x:v>MGR006</x:v>
      </x:c>
      <x:c r="I181" s="20" t="n">
        <x:v>45914.5</x:v>
      </x:c>
    </x:row>
    <x:row r="182" ht="15" hidden="0" customHeight="1">
      <x:c r="A182" s="18" t="str">
        <x:v>CR00181</x:v>
      </x:c>
      <x:c r="B182" s="18" t="str">
        <x:v>REV0046</x:v>
      </x:c>
      <x:c r="C182" s="18" t="str">
        <x:v>EMP001</x:v>
      </x:c>
      <x:c r="D182" s="18" t="str">
        <x:v>CY2025Q4</x:v>
      </x:c>
      <x:c r="E182" s="18" t="str">
        <x:v>COMP_STRATEGY</x:v>
      </x:c>
      <x:c r="F182" s="18" t="n">
        <x:v>5</x:v>
      </x:c>
      <x:c r="G182" s="18" t="str">
        <x:v>Significantly exceeds expectations</x:v>
      </x:c>
      <x:c r="H182" s="18" t="str">
        <x:v>MGR001</x:v>
      </x:c>
      <x:c r="I182" s="20" t="n">
        <x:v>46004.5</x:v>
      </x:c>
    </x:row>
    <x:row r="183" ht="15" hidden="0" customHeight="1">
      <x:c r="A183" s="18" t="str">
        <x:v>CR00182</x:v>
      </x:c>
      <x:c r="B183" s="18" t="str">
        <x:v>REV0046</x:v>
      </x:c>
      <x:c r="C183" s="18" t="str">
        <x:v>EMP001</x:v>
      </x:c>
      <x:c r="D183" s="18" t="str">
        <x:v>CY2025Q4</x:v>
      </x:c>
      <x:c r="E183" s="18" t="str">
        <x:v>COMP_COMM</x:v>
      </x:c>
      <x:c r="F183" s="18" t="n">
        <x:v>5</x:v>
      </x:c>
      <x:c r="G183" s="18" t="str">
        <x:v>Significantly exceeds expectations</x:v>
      </x:c>
      <x:c r="H183" s="18" t="str">
        <x:v>MGR001</x:v>
      </x:c>
      <x:c r="I183" s="20" t="n">
        <x:v>46004.5</x:v>
      </x:c>
    </x:row>
    <x:row r="184" ht="15" hidden="0" customHeight="1">
      <x:c r="A184" s="18" t="str">
        <x:v>CR00183</x:v>
      </x:c>
      <x:c r="B184" s="18" t="str">
        <x:v>REV0046</x:v>
      </x:c>
      <x:c r="C184" s="18" t="str">
        <x:v>EMP001</x:v>
      </x:c>
      <x:c r="D184" s="18" t="str">
        <x:v>CY2025Q4</x:v>
      </x:c>
      <x:c r="E184" s="18" t="str">
        <x:v>COMP_DOMAIN</x:v>
      </x:c>
      <x:c r="F184" s="18" t="n">
        <x:v>5</x:v>
      </x:c>
      <x:c r="G184" s="18" t="str">
        <x:v>Significantly exceeds expectations</x:v>
      </x:c>
      <x:c r="H184" s="18" t="str">
        <x:v>MGR001</x:v>
      </x:c>
      <x:c r="I184" s="20" t="n">
        <x:v>46004.5</x:v>
      </x:c>
    </x:row>
    <x:row r="185" ht="15" hidden="0" customHeight="1">
      <x:c r="A185" s="18" t="str">
        <x:v>CR00184</x:v>
      </x:c>
      <x:c r="B185" s="18" t="str">
        <x:v>REV0046</x:v>
      </x:c>
      <x:c r="C185" s="18" t="str">
        <x:v>EMP001</x:v>
      </x:c>
      <x:c r="D185" s="18" t="str">
        <x:v>CY2025Q4</x:v>
      </x:c>
      <x:c r="E185" s="18" t="str">
        <x:v>COMP_CAREER</x:v>
      </x:c>
      <x:c r="F185" s="18" t="n">
        <x:v>5</x:v>
      </x:c>
      <x:c r="G185" s="18" t="str">
        <x:v>Significantly exceeds expectations</x:v>
      </x:c>
      <x:c r="H185" s="18" t="str">
        <x:v>MGR001</x:v>
      </x:c>
      <x:c r="I185" s="20" t="n">
        <x:v>46004.5</x:v>
      </x:c>
    </x:row>
    <x:row r="186" ht="15" hidden="0" customHeight="1">
      <x:c r="A186" s="18" t="str">
        <x:v>CR00185</x:v>
      </x:c>
      <x:c r="B186" s="18" t="str">
        <x:v>REV0047</x:v>
      </x:c>
      <x:c r="C186" s="18" t="str">
        <x:v>EMP002</x:v>
      </x:c>
      <x:c r="D186" s="18" t="str">
        <x:v>CY2025Q4</x:v>
      </x:c>
      <x:c r="E186" s="18" t="str">
        <x:v>COMP_STRATEGY</x:v>
      </x:c>
      <x:c r="F186" s="18" t="n">
        <x:v>3</x:v>
      </x:c>
      <x:c r="G186" s="18" t="str">
        <x:v>Meets expectations</x:v>
      </x:c>
      <x:c r="H186" s="18" t="str">
        <x:v>MGR001</x:v>
      </x:c>
      <x:c r="I186" s="20" t="n">
        <x:v>46005.5</x:v>
      </x:c>
    </x:row>
    <x:row r="187" ht="15" hidden="0" customHeight="1">
      <x:c r="A187" s="18" t="str">
        <x:v>CR00186</x:v>
      </x:c>
      <x:c r="B187" s="18" t="str">
        <x:v>REV0047</x:v>
      </x:c>
      <x:c r="C187" s="18" t="str">
        <x:v>EMP002</x:v>
      </x:c>
      <x:c r="D187" s="18" t="str">
        <x:v>CY2025Q4</x:v>
      </x:c>
      <x:c r="E187" s="18" t="str">
        <x:v>COMP_COMM</x:v>
      </x:c>
      <x:c r="F187" s="18" t="n">
        <x:v>2</x:v>
      </x:c>
      <x:c r="G187" s="18" t="str">
        <x:v>Partially meets expectations</x:v>
      </x:c>
      <x:c r="H187" s="18" t="str">
        <x:v>MGR001</x:v>
      </x:c>
      <x:c r="I187" s="20" t="n">
        <x:v>46005.5</x:v>
      </x:c>
    </x:row>
    <x:row r="188" ht="15" hidden="0" customHeight="1">
      <x:c r="A188" s="18" t="str">
        <x:v>CR00187</x:v>
      </x:c>
      <x:c r="B188" s="18" t="str">
        <x:v>REV0047</x:v>
      </x:c>
      <x:c r="C188" s="18" t="str">
        <x:v>EMP002</x:v>
      </x:c>
      <x:c r="D188" s="18" t="str">
        <x:v>CY2025Q4</x:v>
      </x:c>
      <x:c r="E188" s="18" t="str">
        <x:v>COMP_DOMAIN</x:v>
      </x:c>
      <x:c r="F188" s="18" t="n">
        <x:v>3</x:v>
      </x:c>
      <x:c r="G188" s="18" t="str">
        <x:v>Meets expectations</x:v>
      </x:c>
      <x:c r="H188" s="18" t="str">
        <x:v>MGR001</x:v>
      </x:c>
      <x:c r="I188" s="20" t="n">
        <x:v>46005.5</x:v>
      </x:c>
    </x:row>
    <x:row r="189" ht="15" hidden="0" customHeight="1">
      <x:c r="A189" s="18" t="str">
        <x:v>CR00188</x:v>
      </x:c>
      <x:c r="B189" s="18" t="str">
        <x:v>REV0047</x:v>
      </x:c>
      <x:c r="C189" s="18" t="str">
        <x:v>EMP002</x:v>
      </x:c>
      <x:c r="D189" s="18" t="str">
        <x:v>CY2025Q4</x:v>
      </x:c>
      <x:c r="E189" s="18" t="str">
        <x:v>COMP_CAREER</x:v>
      </x:c>
      <x:c r="F189" s="18" t="n">
        <x:v>3</x:v>
      </x:c>
      <x:c r="G189" s="18" t="str">
        <x:v>Meets expectations</x:v>
      </x:c>
      <x:c r="H189" s="18" t="str">
        <x:v>MGR001</x:v>
      </x:c>
      <x:c r="I189" s="20" t="n">
        <x:v>46005.5</x:v>
      </x:c>
    </x:row>
    <x:row r="190" ht="15" hidden="0" customHeight="1">
      <x:c r="A190" s="18" t="str">
        <x:v>CR00189</x:v>
      </x:c>
      <x:c r="B190" s="18" t="str">
        <x:v>REV0048</x:v>
      </x:c>
      <x:c r="C190" s="18" t="str">
        <x:v>EMP003</x:v>
      </x:c>
      <x:c r="D190" s="18" t="str">
        <x:v>CY2025Q4</x:v>
      </x:c>
      <x:c r="E190" s="18" t="str">
        <x:v>COMP_STRATEGY</x:v>
      </x:c>
      <x:c r="F190" s="18" t="n">
        <x:v>4</x:v>
      </x:c>
      <x:c r="G190" s="18" t="str">
        <x:v>Exceeds expectations</x:v>
      </x:c>
      <x:c r="H190" s="18" t="str">
        <x:v>MGR001</x:v>
      </x:c>
      <x:c r="I190" s="20" t="n">
        <x:v>46006.5</x:v>
      </x:c>
    </x:row>
    <x:row r="191" ht="15" hidden="0" customHeight="1">
      <x:c r="A191" s="18" t="str">
        <x:v>CR00190</x:v>
      </x:c>
      <x:c r="B191" s="18" t="str">
        <x:v>REV0048</x:v>
      </x:c>
      <x:c r="C191" s="18" t="str">
        <x:v>EMP003</x:v>
      </x:c>
      <x:c r="D191" s="18" t="str">
        <x:v>CY2025Q4</x:v>
      </x:c>
      <x:c r="E191" s="18" t="str">
        <x:v>COMP_COMM</x:v>
      </x:c>
      <x:c r="F191" s="18" t="n">
        <x:v>4</x:v>
      </x:c>
      <x:c r="G191" s="18" t="str">
        <x:v>Exceeds expectations</x:v>
      </x:c>
      <x:c r="H191" s="18" t="str">
        <x:v>MGR001</x:v>
      </x:c>
      <x:c r="I191" s="20" t="n">
        <x:v>46006.5</x:v>
      </x:c>
    </x:row>
    <x:row r="192" ht="15" hidden="0" customHeight="1">
      <x:c r="A192" s="18" t="str">
        <x:v>CR00191</x:v>
      </x:c>
      <x:c r="B192" s="18" t="str">
        <x:v>REV0048</x:v>
      </x:c>
      <x:c r="C192" s="18" t="str">
        <x:v>EMP003</x:v>
      </x:c>
      <x:c r="D192" s="18" t="str">
        <x:v>CY2025Q4</x:v>
      </x:c>
      <x:c r="E192" s="18" t="str">
        <x:v>COMP_DOMAIN</x:v>
      </x:c>
      <x:c r="F192" s="18" t="n">
        <x:v>4</x:v>
      </x:c>
      <x:c r="G192" s="18" t="str">
        <x:v>Exceeds expectations</x:v>
      </x:c>
      <x:c r="H192" s="18" t="str">
        <x:v>MGR001</x:v>
      </x:c>
      <x:c r="I192" s="20" t="n">
        <x:v>46006.5</x:v>
      </x:c>
    </x:row>
    <x:row r="193" ht="15" hidden="0" customHeight="1">
      <x:c r="A193" s="18" t="str">
        <x:v>CR00192</x:v>
      </x:c>
      <x:c r="B193" s="18" t="str">
        <x:v>REV0048</x:v>
      </x:c>
      <x:c r="C193" s="18" t="str">
        <x:v>EMP003</x:v>
      </x:c>
      <x:c r="D193" s="18" t="str">
        <x:v>CY2025Q4</x:v>
      </x:c>
      <x:c r="E193" s="18" t="str">
        <x:v>COMP_CAREER</x:v>
      </x:c>
      <x:c r="F193" s="18" t="n">
        <x:v>4</x:v>
      </x:c>
      <x:c r="G193" s="18" t="str">
        <x:v>Exceeds expectations</x:v>
      </x:c>
      <x:c r="H193" s="18" t="str">
        <x:v>MGR001</x:v>
      </x:c>
      <x:c r="I193" s="20" t="n">
        <x:v>46006.5</x:v>
      </x:c>
    </x:row>
    <x:row r="194" ht="15" hidden="0" customHeight="1">
      <x:c r="A194" s="18" t="str">
        <x:v>CR00193</x:v>
      </x:c>
      <x:c r="B194" s="18" t="str">
        <x:v>REV0049</x:v>
      </x:c>
      <x:c r="C194" s="18" t="str">
        <x:v>EMP004</x:v>
      </x:c>
      <x:c r="D194" s="18" t="str">
        <x:v>CY2025Q4</x:v>
      </x:c>
      <x:c r="E194" s="18" t="str">
        <x:v>COMP_STRATEGY</x:v>
      </x:c>
      <x:c r="F194" s="18" t="n">
        <x:v>2</x:v>
      </x:c>
      <x:c r="G194" s="18" t="str">
        <x:v>Partially meets expectations</x:v>
      </x:c>
      <x:c r="H194" s="18" t="str">
        <x:v>MGR002</x:v>
      </x:c>
      <x:c r="I194" s="20" t="n">
        <x:v>46007.5</x:v>
      </x:c>
    </x:row>
    <x:row r="195" ht="15" hidden="0" customHeight="1">
      <x:c r="A195" s="18" t="str">
        <x:v>CR00194</x:v>
      </x:c>
      <x:c r="B195" s="18" t="str">
        <x:v>REV0049</x:v>
      </x:c>
      <x:c r="C195" s="18" t="str">
        <x:v>EMP004</x:v>
      </x:c>
      <x:c r="D195" s="18" t="str">
        <x:v>CY2025Q4</x:v>
      </x:c>
      <x:c r="E195" s="18" t="str">
        <x:v>COMP_COMM</x:v>
      </x:c>
      <x:c r="F195" s="18" t="n">
        <x:v>2</x:v>
      </x:c>
      <x:c r="G195" s="18" t="str">
        <x:v>Partially meets expectations</x:v>
      </x:c>
      <x:c r="H195" s="18" t="str">
        <x:v>MGR002</x:v>
      </x:c>
      <x:c r="I195" s="20" t="n">
        <x:v>46007.5</x:v>
      </x:c>
    </x:row>
    <x:row r="196" ht="15" hidden="0" customHeight="1">
      <x:c r="A196" s="18" t="str">
        <x:v>CR00195</x:v>
      </x:c>
      <x:c r="B196" s="18" t="str">
        <x:v>REV0049</x:v>
      </x:c>
      <x:c r="C196" s="18" t="str">
        <x:v>EMP004</x:v>
      </x:c>
      <x:c r="D196" s="18" t="str">
        <x:v>CY2025Q4</x:v>
      </x:c>
      <x:c r="E196" s="18" t="str">
        <x:v>COMP_DOMAIN</x:v>
      </x:c>
      <x:c r="F196" s="18" t="n">
        <x:v>2</x:v>
      </x:c>
      <x:c r="G196" s="18" t="str">
        <x:v>Partially meets expectations</x:v>
      </x:c>
      <x:c r="H196" s="18" t="str">
        <x:v>MGR002</x:v>
      </x:c>
      <x:c r="I196" s="20" t="n">
        <x:v>46007.5</x:v>
      </x:c>
    </x:row>
    <x:row r="197" ht="15" hidden="0" customHeight="1">
      <x:c r="A197" s="18" t="str">
        <x:v>CR00196</x:v>
      </x:c>
      <x:c r="B197" s="18" t="str">
        <x:v>REV0049</x:v>
      </x:c>
      <x:c r="C197" s="18" t="str">
        <x:v>EMP004</x:v>
      </x:c>
      <x:c r="D197" s="18" t="str">
        <x:v>CY2025Q4</x:v>
      </x:c>
      <x:c r="E197" s="18" t="str">
        <x:v>COMP_CAREER</x:v>
      </x:c>
      <x:c r="F197" s="18" t="n">
        <x:v>2</x:v>
      </x:c>
      <x:c r="G197" s="18" t="str">
        <x:v>Partially meets expectations</x:v>
      </x:c>
      <x:c r="H197" s="18" t="str">
        <x:v>MGR002</x:v>
      </x:c>
      <x:c r="I197" s="20" t="n">
        <x:v>46007.5</x:v>
      </x:c>
    </x:row>
    <x:row r="198" ht="15" hidden="0" customHeight="1">
      <x:c r="A198" s="18" t="str">
        <x:v>CR00197</x:v>
      </x:c>
      <x:c r="B198" s="18" t="str">
        <x:v>REV0050</x:v>
      </x:c>
      <x:c r="C198" s="18" t="str">
        <x:v>EMP005</x:v>
      </x:c>
      <x:c r="D198" s="18" t="str">
        <x:v>CY2025Q4</x:v>
      </x:c>
      <x:c r="E198" s="18" t="str">
        <x:v>COMP_STRATEGY</x:v>
      </x:c>
      <x:c r="F198" s="18" t="n">
        <x:v>4</x:v>
      </x:c>
      <x:c r="G198" s="18" t="str">
        <x:v>Exceeds expectations</x:v>
      </x:c>
      <x:c r="H198" s="18" t="str">
        <x:v>MGR002</x:v>
      </x:c>
      <x:c r="I198" s="20" t="n">
        <x:v>46008.5</x:v>
      </x:c>
    </x:row>
    <x:row r="199" ht="15" hidden="0" customHeight="1">
      <x:c r="A199" s="18" t="str">
        <x:v>CR00198</x:v>
      </x:c>
      <x:c r="B199" s="18" t="str">
        <x:v>REV0050</x:v>
      </x:c>
      <x:c r="C199" s="18" t="str">
        <x:v>EMP005</x:v>
      </x:c>
      <x:c r="D199" s="18" t="str">
        <x:v>CY2025Q4</x:v>
      </x:c>
      <x:c r="E199" s="18" t="str">
        <x:v>COMP_COMM</x:v>
      </x:c>
      <x:c r="F199" s="18" t="n">
        <x:v>4</x:v>
      </x:c>
      <x:c r="G199" s="18" t="str">
        <x:v>Exceeds expectations</x:v>
      </x:c>
      <x:c r="H199" s="18" t="str">
        <x:v>MGR002</x:v>
      </x:c>
      <x:c r="I199" s="20" t="n">
        <x:v>46008.5</x:v>
      </x:c>
    </x:row>
    <x:row r="200" ht="15" hidden="0" customHeight="1">
      <x:c r="A200" s="18" t="str">
        <x:v>CR00199</x:v>
      </x:c>
      <x:c r="B200" s="18" t="str">
        <x:v>REV0050</x:v>
      </x:c>
      <x:c r="C200" s="18" t="str">
        <x:v>EMP005</x:v>
      </x:c>
      <x:c r="D200" s="18" t="str">
        <x:v>CY2025Q4</x:v>
      </x:c>
      <x:c r="E200" s="18" t="str">
        <x:v>COMP_DOMAIN</x:v>
      </x:c>
      <x:c r="F200" s="18" t="n">
        <x:v>4</x:v>
      </x:c>
      <x:c r="G200" s="18" t="str">
        <x:v>Exceeds expectations</x:v>
      </x:c>
      <x:c r="H200" s="18" t="str">
        <x:v>MGR002</x:v>
      </x:c>
      <x:c r="I200" s="20" t="n">
        <x:v>46008.5</x:v>
      </x:c>
    </x:row>
    <x:row r="201" ht="15" hidden="0" customHeight="1">
      <x:c r="A201" s="18" t="str">
        <x:v>CR00200</x:v>
      </x:c>
      <x:c r="B201" s="18" t="str">
        <x:v>REV0050</x:v>
      </x:c>
      <x:c r="C201" s="18" t="str">
        <x:v>EMP005</x:v>
      </x:c>
      <x:c r="D201" s="18" t="str">
        <x:v>CY2025Q4</x:v>
      </x:c>
      <x:c r="E201" s="18" t="str">
        <x:v>COMP_CAREER</x:v>
      </x:c>
      <x:c r="F201" s="18" t="n">
        <x:v>5</x:v>
      </x:c>
      <x:c r="G201" s="18" t="str">
        <x:v>Significantly exceeds expectations</x:v>
      </x:c>
      <x:c r="H201" s="18" t="str">
        <x:v>MGR002</x:v>
      </x:c>
      <x:c r="I201" s="20" t="n">
        <x:v>46008.5</x:v>
      </x:c>
    </x:row>
    <x:row r="202" ht="15" hidden="0" customHeight="1">
      <x:c r="A202" s="18" t="str">
        <x:v>CR00201</x:v>
      </x:c>
      <x:c r="B202" s="18" t="str">
        <x:v>REV0051</x:v>
      </x:c>
      <x:c r="C202" s="18" t="str">
        <x:v>EMP006</x:v>
      </x:c>
      <x:c r="D202" s="18" t="str">
        <x:v>CY2025Q4</x:v>
      </x:c>
      <x:c r="E202" s="18" t="str">
        <x:v>COMP_STRATEGY</x:v>
      </x:c>
      <x:c r="F202" s="18" t="n">
        <x:v>3</x:v>
      </x:c>
      <x:c r="G202" s="18" t="str">
        <x:v>Meets expectations</x:v>
      </x:c>
      <x:c r="H202" s="18" t="str">
        <x:v>MGR002</x:v>
      </x:c>
      <x:c r="I202" s="20" t="n">
        <x:v>46009.5</x:v>
      </x:c>
    </x:row>
    <x:row r="203" ht="15" hidden="0" customHeight="1">
      <x:c r="A203" s="18" t="str">
        <x:v>CR00202</x:v>
      </x:c>
      <x:c r="B203" s="18" t="str">
        <x:v>REV0051</x:v>
      </x:c>
      <x:c r="C203" s="18" t="str">
        <x:v>EMP006</x:v>
      </x:c>
      <x:c r="D203" s="18" t="str">
        <x:v>CY2025Q4</x:v>
      </x:c>
      <x:c r="E203" s="18" t="str">
        <x:v>COMP_COMM</x:v>
      </x:c>
      <x:c r="F203" s="18" t="n">
        <x:v>3</x:v>
      </x:c>
      <x:c r="G203" s="18" t="str">
        <x:v>Meets expectations</x:v>
      </x:c>
      <x:c r="H203" s="18" t="str">
        <x:v>MGR002</x:v>
      </x:c>
      <x:c r="I203" s="20" t="n">
        <x:v>46009.5</x:v>
      </x:c>
    </x:row>
    <x:row r="204" ht="15" hidden="0" customHeight="1">
      <x:c r="A204" s="18" t="str">
        <x:v>CR00203</x:v>
      </x:c>
      <x:c r="B204" s="18" t="str">
        <x:v>REV0051</x:v>
      </x:c>
      <x:c r="C204" s="18" t="str">
        <x:v>EMP006</x:v>
      </x:c>
      <x:c r="D204" s="18" t="str">
        <x:v>CY2025Q4</x:v>
      </x:c>
      <x:c r="E204" s="18" t="str">
        <x:v>COMP_DOMAIN</x:v>
      </x:c>
      <x:c r="F204" s="18" t="n">
        <x:v>3</x:v>
      </x:c>
      <x:c r="G204" s="18" t="str">
        <x:v>Meets expectations</x:v>
      </x:c>
      <x:c r="H204" s="18" t="str">
        <x:v>MGR002</x:v>
      </x:c>
      <x:c r="I204" s="20" t="n">
        <x:v>46009.5</x:v>
      </x:c>
    </x:row>
    <x:row r="205" ht="15" hidden="0" customHeight="1">
      <x:c r="A205" s="18" t="str">
        <x:v>CR00204</x:v>
      </x:c>
      <x:c r="B205" s="18" t="str">
        <x:v>REV0051</x:v>
      </x:c>
      <x:c r="C205" s="18" t="str">
        <x:v>EMP006</x:v>
      </x:c>
      <x:c r="D205" s="18" t="str">
        <x:v>CY2025Q4</x:v>
      </x:c>
      <x:c r="E205" s="18" t="str">
        <x:v>COMP_CAREER</x:v>
      </x:c>
      <x:c r="F205" s="18" t="n">
        <x:v>3</x:v>
      </x:c>
      <x:c r="G205" s="18" t="str">
        <x:v>Meets expectations</x:v>
      </x:c>
      <x:c r="H205" s="18" t="str">
        <x:v>MGR002</x:v>
      </x:c>
      <x:c r="I205" s="20" t="n">
        <x:v>46009.5</x:v>
      </x:c>
    </x:row>
    <x:row r="206" ht="15" hidden="0" customHeight="1">
      <x:c r="A206" s="18" t="str">
        <x:v>CR00205</x:v>
      </x:c>
      <x:c r="B206" s="18" t="str">
        <x:v>REV0052</x:v>
      </x:c>
      <x:c r="C206" s="18" t="str">
        <x:v>EMP007</x:v>
      </x:c>
      <x:c r="D206" s="18" t="str">
        <x:v>CY2025Q4</x:v>
      </x:c>
      <x:c r="E206" s="18" t="str">
        <x:v>COMP_STRATEGY</x:v>
      </x:c>
      <x:c r="F206" s="18" t="n">
        <x:v>2</x:v>
      </x:c>
      <x:c r="G206" s="18" t="str">
        <x:v>Partially meets expectations</x:v>
      </x:c>
      <x:c r="H206" s="18" t="str">
        <x:v>MGR003</x:v>
      </x:c>
      <x:c r="I206" s="20" t="n">
        <x:v>46010.5</x:v>
      </x:c>
    </x:row>
    <x:row r="207" ht="15" hidden="0" customHeight="1">
      <x:c r="A207" s="18" t="str">
        <x:v>CR00206</x:v>
      </x:c>
      <x:c r="B207" s="18" t="str">
        <x:v>REV0052</x:v>
      </x:c>
      <x:c r="C207" s="18" t="str">
        <x:v>EMP007</x:v>
      </x:c>
      <x:c r="D207" s="18" t="str">
        <x:v>CY2025Q4</x:v>
      </x:c>
      <x:c r="E207" s="18" t="str">
        <x:v>COMP_COMM</x:v>
      </x:c>
      <x:c r="F207" s="18" t="n">
        <x:v>1</x:v>
      </x:c>
      <x:c r="G207" s="18" t="str">
        <x:v>Improvement required</x:v>
      </x:c>
      <x:c r="H207" s="18" t="str">
        <x:v>MGR003</x:v>
      </x:c>
      <x:c r="I207" s="20" t="n">
        <x:v>46010.5</x:v>
      </x:c>
    </x:row>
    <x:row r="208" ht="15" hidden="0" customHeight="1">
      <x:c r="A208" s="18" t="str">
        <x:v>CR00207</x:v>
      </x:c>
      <x:c r="B208" s="18" t="str">
        <x:v>REV0052</x:v>
      </x:c>
      <x:c r="C208" s="18" t="str">
        <x:v>EMP007</x:v>
      </x:c>
      <x:c r="D208" s="18" t="str">
        <x:v>CY2025Q4</x:v>
      </x:c>
      <x:c r="E208" s="18" t="str">
        <x:v>COMP_DOMAIN</x:v>
      </x:c>
      <x:c r="F208" s="18" t="n">
        <x:v>2</x:v>
      </x:c>
      <x:c r="G208" s="18" t="str">
        <x:v>Partially meets expectations</x:v>
      </x:c>
      <x:c r="H208" s="18" t="str">
        <x:v>MGR003</x:v>
      </x:c>
      <x:c r="I208" s="20" t="n">
        <x:v>46010.5</x:v>
      </x:c>
    </x:row>
    <x:row r="209" ht="15" hidden="0" customHeight="1">
      <x:c r="A209" s="18" t="str">
        <x:v>CR00208</x:v>
      </x:c>
      <x:c r="B209" s="18" t="str">
        <x:v>REV0052</x:v>
      </x:c>
      <x:c r="C209" s="18" t="str">
        <x:v>EMP007</x:v>
      </x:c>
      <x:c r="D209" s="18" t="str">
        <x:v>CY2025Q4</x:v>
      </x:c>
      <x:c r="E209" s="18" t="str">
        <x:v>COMP_CAREER</x:v>
      </x:c>
      <x:c r="F209" s="18" t="n">
        <x:v>2</x:v>
      </x:c>
      <x:c r="G209" s="18" t="str">
        <x:v>Partially meets expectations</x:v>
      </x:c>
      <x:c r="H209" s="18" t="str">
        <x:v>MGR003</x:v>
      </x:c>
      <x:c r="I209" s="20" t="n">
        <x:v>46010.5</x:v>
      </x:c>
    </x:row>
    <x:row r="210" ht="15" hidden="0" customHeight="1">
      <x:c r="A210" s="18" t="str">
        <x:v>CR00209</x:v>
      </x:c>
      <x:c r="B210" s="18" t="str">
        <x:v>REV0053</x:v>
      </x:c>
      <x:c r="C210" s="18" t="str">
        <x:v>EMP008</x:v>
      </x:c>
      <x:c r="D210" s="18" t="str">
        <x:v>CY2025Q4</x:v>
      </x:c>
      <x:c r="E210" s="18" t="str">
        <x:v>COMP_STRATEGY</x:v>
      </x:c>
      <x:c r="F210" s="18" t="n">
        <x:v>1</x:v>
      </x:c>
      <x:c r="G210" s="18" t="str">
        <x:v>Improvement required</x:v>
      </x:c>
      <x:c r="H210" s="18" t="str">
        <x:v>MGR003</x:v>
      </x:c>
      <x:c r="I210" s="20" t="n">
        <x:v>46011.5</x:v>
      </x:c>
    </x:row>
    <x:row r="211" ht="15" hidden="0" customHeight="1">
      <x:c r="A211" s="18" t="str">
        <x:v>CR00210</x:v>
      </x:c>
      <x:c r="B211" s="18" t="str">
        <x:v>REV0053</x:v>
      </x:c>
      <x:c r="C211" s="18" t="str">
        <x:v>EMP008</x:v>
      </x:c>
      <x:c r="D211" s="18" t="str">
        <x:v>CY2025Q4</x:v>
      </x:c>
      <x:c r="E211" s="18" t="str">
        <x:v>COMP_COMM</x:v>
      </x:c>
      <x:c r="F211" s="18" t="n">
        <x:v>1</x:v>
      </x:c>
      <x:c r="G211" s="18" t="str">
        <x:v>Improvement required</x:v>
      </x:c>
      <x:c r="H211" s="18" t="str">
        <x:v>MGR003</x:v>
      </x:c>
      <x:c r="I211" s="20" t="n">
        <x:v>46011.5</x:v>
      </x:c>
    </x:row>
    <x:row r="212" ht="15" hidden="0" customHeight="1">
      <x:c r="A212" s="18" t="str">
        <x:v>CR00211</x:v>
      </x:c>
      <x:c r="B212" s="18" t="str">
        <x:v>REV0053</x:v>
      </x:c>
      <x:c r="C212" s="18" t="str">
        <x:v>EMP008</x:v>
      </x:c>
      <x:c r="D212" s="18" t="str">
        <x:v>CY2025Q4</x:v>
      </x:c>
      <x:c r="E212" s="18" t="str">
        <x:v>COMP_DOMAIN</x:v>
      </x:c>
      <x:c r="F212" s="18" t="n">
        <x:v>2</x:v>
      </x:c>
      <x:c r="G212" s="18" t="str">
        <x:v>Partially meets expectations</x:v>
      </x:c>
      <x:c r="H212" s="18" t="str">
        <x:v>MGR003</x:v>
      </x:c>
      <x:c r="I212" s="20" t="n">
        <x:v>46011.5</x:v>
      </x:c>
    </x:row>
    <x:row r="213" ht="15" hidden="0" customHeight="1">
      <x:c r="A213" s="18" t="str">
        <x:v>CR00212</x:v>
      </x:c>
      <x:c r="B213" s="18" t="str">
        <x:v>REV0053</x:v>
      </x:c>
      <x:c r="C213" s="18" t="str">
        <x:v>EMP008</x:v>
      </x:c>
      <x:c r="D213" s="18" t="str">
        <x:v>CY2025Q4</x:v>
      </x:c>
      <x:c r="E213" s="18" t="str">
        <x:v>COMP_CAREER</x:v>
      </x:c>
      <x:c r="F213" s="18" t="n">
        <x:v>1</x:v>
      </x:c>
      <x:c r="G213" s="18" t="str">
        <x:v>Improvement required</x:v>
      </x:c>
      <x:c r="H213" s="18" t="str">
        <x:v>MGR003</x:v>
      </x:c>
      <x:c r="I213" s="20" t="n">
        <x:v>46011.5</x:v>
      </x:c>
    </x:row>
    <x:row r="214" ht="15" hidden="0" customHeight="1">
      <x:c r="A214" s="18" t="str">
        <x:v>CR00213</x:v>
      </x:c>
      <x:c r="B214" s="18" t="str">
        <x:v>REV0054</x:v>
      </x:c>
      <x:c r="C214" s="18" t="str">
        <x:v>EMP009</x:v>
      </x:c>
      <x:c r="D214" s="18" t="str">
        <x:v>CY2025Q4</x:v>
      </x:c>
      <x:c r="E214" s="18" t="str">
        <x:v>COMP_STRATEGY</x:v>
      </x:c>
      <x:c r="F214" s="18" t="n">
        <x:v>5</x:v>
      </x:c>
      <x:c r="G214" s="18" t="str">
        <x:v>Significantly exceeds expectations</x:v>
      </x:c>
      <x:c r="H214" s="18" t="str">
        <x:v>MGR004</x:v>
      </x:c>
      <x:c r="I214" s="20" t="n">
        <x:v>46012.5</x:v>
      </x:c>
    </x:row>
    <x:row r="215" ht="15" hidden="0" customHeight="1">
      <x:c r="A215" s="18" t="str">
        <x:v>CR00214</x:v>
      </x:c>
      <x:c r="B215" s="18" t="str">
        <x:v>REV0054</x:v>
      </x:c>
      <x:c r="C215" s="18" t="str">
        <x:v>EMP009</x:v>
      </x:c>
      <x:c r="D215" s="18" t="str">
        <x:v>CY2025Q4</x:v>
      </x:c>
      <x:c r="E215" s="18" t="str">
        <x:v>COMP_COMM</x:v>
      </x:c>
      <x:c r="F215" s="18" t="n">
        <x:v>5</x:v>
      </x:c>
      <x:c r="G215" s="18" t="str">
        <x:v>Significantly exceeds expectations</x:v>
      </x:c>
      <x:c r="H215" s="18" t="str">
        <x:v>MGR004</x:v>
      </x:c>
      <x:c r="I215" s="20" t="n">
        <x:v>46012.5</x:v>
      </x:c>
    </x:row>
    <x:row r="216" ht="15" hidden="0" customHeight="1">
      <x:c r="A216" s="18" t="str">
        <x:v>CR00215</x:v>
      </x:c>
      <x:c r="B216" s="18" t="str">
        <x:v>REV0054</x:v>
      </x:c>
      <x:c r="C216" s="18" t="str">
        <x:v>EMP009</x:v>
      </x:c>
      <x:c r="D216" s="18" t="str">
        <x:v>CY2025Q4</x:v>
      </x:c>
      <x:c r="E216" s="18" t="str">
        <x:v>COMP_DOMAIN</x:v>
      </x:c>
      <x:c r="F216" s="18" t="n">
        <x:v>5</x:v>
      </x:c>
      <x:c r="G216" s="18" t="str">
        <x:v>Significantly exceeds expectations</x:v>
      </x:c>
      <x:c r="H216" s="18" t="str">
        <x:v>MGR004</x:v>
      </x:c>
      <x:c r="I216" s="20" t="n">
        <x:v>46012.5</x:v>
      </x:c>
    </x:row>
    <x:row r="217" ht="15" hidden="0" customHeight="1">
      <x:c r="A217" s="18" t="str">
        <x:v>CR00216</x:v>
      </x:c>
      <x:c r="B217" s="18" t="str">
        <x:v>REV0054</x:v>
      </x:c>
      <x:c r="C217" s="18" t="str">
        <x:v>EMP009</x:v>
      </x:c>
      <x:c r="D217" s="18" t="str">
        <x:v>CY2025Q4</x:v>
      </x:c>
      <x:c r="E217" s="18" t="str">
        <x:v>COMP_CAREER</x:v>
      </x:c>
      <x:c r="F217" s="18" t="n">
        <x:v>5</x:v>
      </x:c>
      <x:c r="G217" s="18" t="str">
        <x:v>Significantly exceeds expectations</x:v>
      </x:c>
      <x:c r="H217" s="18" t="str">
        <x:v>MGR004</x:v>
      </x:c>
      <x:c r="I217" s="20" t="n">
        <x:v>46012.5</x:v>
      </x:c>
    </x:row>
    <x:row r="218" ht="15" hidden="0" customHeight="1">
      <x:c r="A218" s="18" t="str">
        <x:v>CR00217</x:v>
      </x:c>
      <x:c r="B218" s="18" t="str">
        <x:v>REV0055</x:v>
      </x:c>
      <x:c r="C218" s="18" t="str">
        <x:v>EMP010</x:v>
      </x:c>
      <x:c r="D218" s="18" t="str">
        <x:v>CY2025Q4</x:v>
      </x:c>
      <x:c r="E218" s="18" t="str">
        <x:v>COMP_STRATEGY</x:v>
      </x:c>
      <x:c r="F218" s="18" t="n">
        <x:v>4</x:v>
      </x:c>
      <x:c r="G218" s="18" t="str">
        <x:v>Exceeds expectations</x:v>
      </x:c>
      <x:c r="H218" s="18" t="str">
        <x:v>MGR004</x:v>
      </x:c>
      <x:c r="I218" s="20" t="n">
        <x:v>46013.5</x:v>
      </x:c>
    </x:row>
    <x:row r="219" ht="15" hidden="0" customHeight="1">
      <x:c r="A219" s="18" t="str">
        <x:v>CR00218</x:v>
      </x:c>
      <x:c r="B219" s="18" t="str">
        <x:v>REV0055</x:v>
      </x:c>
      <x:c r="C219" s="18" t="str">
        <x:v>EMP010</x:v>
      </x:c>
      <x:c r="D219" s="18" t="str">
        <x:v>CY2025Q4</x:v>
      </x:c>
      <x:c r="E219" s="18" t="str">
        <x:v>COMP_COMM</x:v>
      </x:c>
      <x:c r="F219" s="18" t="n">
        <x:v>4</x:v>
      </x:c>
      <x:c r="G219" s="18" t="str">
        <x:v>Exceeds expectations</x:v>
      </x:c>
      <x:c r="H219" s="18" t="str">
        <x:v>MGR004</x:v>
      </x:c>
      <x:c r="I219" s="20" t="n">
        <x:v>46013.5</x:v>
      </x:c>
    </x:row>
    <x:row r="220" ht="15" hidden="0" customHeight="1">
      <x:c r="A220" s="18" t="str">
        <x:v>CR00219</x:v>
      </x:c>
      <x:c r="B220" s="18" t="str">
        <x:v>REV0055</x:v>
      </x:c>
      <x:c r="C220" s="18" t="str">
        <x:v>EMP010</x:v>
      </x:c>
      <x:c r="D220" s="18" t="str">
        <x:v>CY2025Q4</x:v>
      </x:c>
      <x:c r="E220" s="18" t="str">
        <x:v>COMP_DOMAIN</x:v>
      </x:c>
      <x:c r="F220" s="18" t="n">
        <x:v>4</x:v>
      </x:c>
      <x:c r="G220" s="18" t="str">
        <x:v>Exceeds expectations</x:v>
      </x:c>
      <x:c r="H220" s="18" t="str">
        <x:v>MGR004</x:v>
      </x:c>
      <x:c r="I220" s="20" t="n">
        <x:v>46013.5</x:v>
      </x:c>
    </x:row>
    <x:row r="221" ht="15" hidden="0" customHeight="1">
      <x:c r="A221" s="18" t="str">
        <x:v>CR00220</x:v>
      </x:c>
      <x:c r="B221" s="18" t="str">
        <x:v>REV0055</x:v>
      </x:c>
      <x:c r="C221" s="18" t="str">
        <x:v>EMP010</x:v>
      </x:c>
      <x:c r="D221" s="18" t="str">
        <x:v>CY2025Q4</x:v>
      </x:c>
      <x:c r="E221" s="18" t="str">
        <x:v>COMP_CAREER</x:v>
      </x:c>
      <x:c r="F221" s="18" t="n">
        <x:v>5</x:v>
      </x:c>
      <x:c r="G221" s="18" t="str">
        <x:v>Significantly exceeds expectations</x:v>
      </x:c>
      <x:c r="H221" s="18" t="str">
        <x:v>MGR004</x:v>
      </x:c>
      <x:c r="I221" s="20" t="n">
        <x:v>46013.5</x:v>
      </x:c>
    </x:row>
    <x:row r="222" ht="15" hidden="0" customHeight="1">
      <x:c r="A222" s="18" t="str">
        <x:v>CR00221</x:v>
      </x:c>
      <x:c r="B222" s="18" t="str">
        <x:v>REV0056</x:v>
      </x:c>
      <x:c r="C222" s="18" t="str">
        <x:v>EMP011</x:v>
      </x:c>
      <x:c r="D222" s="18" t="str">
        <x:v>CY2025Q4</x:v>
      </x:c>
      <x:c r="E222" s="18" t="str">
        <x:v>COMP_STRATEGY</x:v>
      </x:c>
      <x:c r="F222" s="18" t="n">
        <x:v>3</x:v>
      </x:c>
      <x:c r="G222" s="18" t="str">
        <x:v>Meets expectations</x:v>
      </x:c>
      <x:c r="H222" s="18" t="str">
        <x:v>MGR004</x:v>
      </x:c>
      <x:c r="I222" s="20" t="n">
        <x:v>46014.5</x:v>
      </x:c>
    </x:row>
    <x:row r="223" ht="15" hidden="0" customHeight="1">
      <x:c r="A223" s="18" t="str">
        <x:v>CR00222</x:v>
      </x:c>
      <x:c r="B223" s="18" t="str">
        <x:v>REV0056</x:v>
      </x:c>
      <x:c r="C223" s="18" t="str">
        <x:v>EMP011</x:v>
      </x:c>
      <x:c r="D223" s="18" t="str">
        <x:v>CY2025Q4</x:v>
      </x:c>
      <x:c r="E223" s="18" t="str">
        <x:v>COMP_COMM</x:v>
      </x:c>
      <x:c r="F223" s="18" t="n">
        <x:v>3</x:v>
      </x:c>
      <x:c r="G223" s="18" t="str">
        <x:v>Meets expectations</x:v>
      </x:c>
      <x:c r="H223" s="18" t="str">
        <x:v>MGR004</x:v>
      </x:c>
      <x:c r="I223" s="20" t="n">
        <x:v>46014.5</x:v>
      </x:c>
    </x:row>
    <x:row r="224" ht="15" hidden="0" customHeight="1">
      <x:c r="A224" s="18" t="str">
        <x:v>CR00223</x:v>
      </x:c>
      <x:c r="B224" s="18" t="str">
        <x:v>REV0056</x:v>
      </x:c>
      <x:c r="C224" s="18" t="str">
        <x:v>EMP011</x:v>
      </x:c>
      <x:c r="D224" s="18" t="str">
        <x:v>CY2025Q4</x:v>
      </x:c>
      <x:c r="E224" s="18" t="str">
        <x:v>COMP_DOMAIN</x:v>
      </x:c>
      <x:c r="F224" s="18" t="n">
        <x:v>3</x:v>
      </x:c>
      <x:c r="G224" s="18" t="str">
        <x:v>Meets expectations</x:v>
      </x:c>
      <x:c r="H224" s="18" t="str">
        <x:v>MGR004</x:v>
      </x:c>
      <x:c r="I224" s="20" t="n">
        <x:v>46014.5</x:v>
      </x:c>
    </x:row>
    <x:row r="225" ht="15" hidden="0" customHeight="1">
      <x:c r="A225" s="18" t="str">
        <x:v>CR00224</x:v>
      </x:c>
      <x:c r="B225" s="18" t="str">
        <x:v>REV0056</x:v>
      </x:c>
      <x:c r="C225" s="18" t="str">
        <x:v>EMP011</x:v>
      </x:c>
      <x:c r="D225" s="18" t="str">
        <x:v>CY2025Q4</x:v>
      </x:c>
      <x:c r="E225" s="18" t="str">
        <x:v>COMP_CAREER</x:v>
      </x:c>
      <x:c r="F225" s="18" t="n">
        <x:v>3</x:v>
      </x:c>
      <x:c r="G225" s="18" t="str">
        <x:v>Meets expectations</x:v>
      </x:c>
      <x:c r="H225" s="18" t="str">
        <x:v>MGR004</x:v>
      </x:c>
      <x:c r="I225" s="20" t="n">
        <x:v>46014.5</x:v>
      </x:c>
    </x:row>
    <x:row r="226" ht="15" hidden="0" customHeight="1">
      <x:c r="A226" s="18" t="str">
        <x:v>CR00225</x:v>
      </x:c>
      <x:c r="B226" s="18" t="str">
        <x:v>REV0057</x:v>
      </x:c>
      <x:c r="C226" s="18" t="str">
        <x:v>EMP012</x:v>
      </x:c>
      <x:c r="D226" s="18" t="str">
        <x:v>CY2025Q4</x:v>
      </x:c>
      <x:c r="E226" s="18" t="str">
        <x:v>COMP_STRATEGY</x:v>
      </x:c>
      <x:c r="F226" s="18" t="n">
        <x:v>2</x:v>
      </x:c>
      <x:c r="G226" s="18" t="str">
        <x:v>Partially meets expectations</x:v>
      </x:c>
      <x:c r="H226" s="18" t="str">
        <x:v>MGR005</x:v>
      </x:c>
      <x:c r="I226" s="20" t="n">
        <x:v>46015.5</x:v>
      </x:c>
    </x:row>
    <x:row r="227" ht="15" hidden="0" customHeight="1">
      <x:c r="A227" s="18" t="str">
        <x:v>CR00226</x:v>
      </x:c>
      <x:c r="B227" s="18" t="str">
        <x:v>REV0057</x:v>
      </x:c>
      <x:c r="C227" s="18" t="str">
        <x:v>EMP012</x:v>
      </x:c>
      <x:c r="D227" s="18" t="str">
        <x:v>CY2025Q4</x:v>
      </x:c>
      <x:c r="E227" s="18" t="str">
        <x:v>COMP_COMM</x:v>
      </x:c>
      <x:c r="F227" s="18" t="n">
        <x:v>1</x:v>
      </x:c>
      <x:c r="G227" s="18" t="str">
        <x:v>Improvement required</x:v>
      </x:c>
      <x:c r="H227" s="18" t="str">
        <x:v>MGR005</x:v>
      </x:c>
      <x:c r="I227" s="20" t="n">
        <x:v>46015.5</x:v>
      </x:c>
    </x:row>
    <x:row r="228" ht="15" hidden="0" customHeight="1">
      <x:c r="A228" s="18" t="str">
        <x:v>CR00227</x:v>
      </x:c>
      <x:c r="B228" s="18" t="str">
        <x:v>REV0057</x:v>
      </x:c>
      <x:c r="C228" s="18" t="str">
        <x:v>EMP012</x:v>
      </x:c>
      <x:c r="D228" s="18" t="str">
        <x:v>CY2025Q4</x:v>
      </x:c>
      <x:c r="E228" s="18" t="str">
        <x:v>COMP_DOMAIN</x:v>
      </x:c>
      <x:c r="F228" s="18" t="n">
        <x:v>2</x:v>
      </x:c>
      <x:c r="G228" s="18" t="str">
        <x:v>Partially meets expectations</x:v>
      </x:c>
      <x:c r="H228" s="18" t="str">
        <x:v>MGR005</x:v>
      </x:c>
      <x:c r="I228" s="20" t="n">
        <x:v>46015.5</x:v>
      </x:c>
    </x:row>
    <x:row r="229" ht="15" hidden="0" customHeight="1">
      <x:c r="A229" s="18" t="str">
        <x:v>CR00228</x:v>
      </x:c>
      <x:c r="B229" s="18" t="str">
        <x:v>REV0057</x:v>
      </x:c>
      <x:c r="C229" s="18" t="str">
        <x:v>EMP012</x:v>
      </x:c>
      <x:c r="D229" s="18" t="str">
        <x:v>CY2025Q4</x:v>
      </x:c>
      <x:c r="E229" s="18" t="str">
        <x:v>COMP_CAREER</x:v>
      </x:c>
      <x:c r="F229" s="18" t="n">
        <x:v>2</x:v>
      </x:c>
      <x:c r="G229" s="18" t="str">
        <x:v>Partially meets expectations</x:v>
      </x:c>
      <x:c r="H229" s="18" t="str">
        <x:v>MGR005</x:v>
      </x:c>
      <x:c r="I229" s="20" t="n">
        <x:v>46015.5</x:v>
      </x:c>
    </x:row>
    <x:row r="230" ht="15" hidden="0" customHeight="1">
      <x:c r="A230" s="18" t="str">
        <x:v>CR00229</x:v>
      </x:c>
      <x:c r="B230" s="18" t="str">
        <x:v>REV0058</x:v>
      </x:c>
      <x:c r="C230" s="18" t="str">
        <x:v>EMP013</x:v>
      </x:c>
      <x:c r="D230" s="18" t="str">
        <x:v>CY2025Q4</x:v>
      </x:c>
      <x:c r="E230" s="18" t="str">
        <x:v>COMP_STRATEGY</x:v>
      </x:c>
      <x:c r="F230" s="18" t="n">
        <x:v>4</x:v>
      </x:c>
      <x:c r="G230" s="18" t="str">
        <x:v>Exceeds expectations</x:v>
      </x:c>
      <x:c r="H230" s="18" t="str">
        <x:v>MGR005</x:v>
      </x:c>
      <x:c r="I230" s="20" t="n">
        <x:v>46004.5</x:v>
      </x:c>
    </x:row>
    <x:row r="231" ht="15" hidden="0" customHeight="1">
      <x:c r="A231" s="18" t="str">
        <x:v>CR00230</x:v>
      </x:c>
      <x:c r="B231" s="18" t="str">
        <x:v>REV0058</x:v>
      </x:c>
      <x:c r="C231" s="18" t="str">
        <x:v>EMP013</x:v>
      </x:c>
      <x:c r="D231" s="18" t="str">
        <x:v>CY2025Q4</x:v>
      </x:c>
      <x:c r="E231" s="18" t="str">
        <x:v>COMP_COMM</x:v>
      </x:c>
      <x:c r="F231" s="18" t="n">
        <x:v>4</x:v>
      </x:c>
      <x:c r="G231" s="18" t="str">
        <x:v>Exceeds expectations</x:v>
      </x:c>
      <x:c r="H231" s="18" t="str">
        <x:v>MGR005</x:v>
      </x:c>
      <x:c r="I231" s="20" t="n">
        <x:v>46004.5</x:v>
      </x:c>
    </x:row>
    <x:row r="232" ht="15" hidden="0" customHeight="1">
      <x:c r="A232" s="18" t="str">
        <x:v>CR00231</x:v>
      </x:c>
      <x:c r="B232" s="18" t="str">
        <x:v>REV0058</x:v>
      </x:c>
      <x:c r="C232" s="18" t="str">
        <x:v>EMP013</x:v>
      </x:c>
      <x:c r="D232" s="18" t="str">
        <x:v>CY2025Q4</x:v>
      </x:c>
      <x:c r="E232" s="18" t="str">
        <x:v>COMP_DOMAIN</x:v>
      </x:c>
      <x:c r="F232" s="18" t="n">
        <x:v>4</x:v>
      </x:c>
      <x:c r="G232" s="18" t="str">
        <x:v>Exceeds expectations</x:v>
      </x:c>
      <x:c r="H232" s="18" t="str">
        <x:v>MGR005</x:v>
      </x:c>
      <x:c r="I232" s="20" t="n">
        <x:v>46004.5</x:v>
      </x:c>
    </x:row>
    <x:row r="233" ht="15" hidden="0" customHeight="1">
      <x:c r="A233" s="18" t="str">
        <x:v>CR00232</x:v>
      </x:c>
      <x:c r="B233" s="18" t="str">
        <x:v>REV0058</x:v>
      </x:c>
      <x:c r="C233" s="18" t="str">
        <x:v>EMP013</x:v>
      </x:c>
      <x:c r="D233" s="18" t="str">
        <x:v>CY2025Q4</x:v>
      </x:c>
      <x:c r="E233" s="18" t="str">
        <x:v>COMP_CAREER</x:v>
      </x:c>
      <x:c r="F233" s="18" t="n">
        <x:v>4</x:v>
      </x:c>
      <x:c r="G233" s="18" t="str">
        <x:v>Exceeds expectations</x:v>
      </x:c>
      <x:c r="H233" s="18" t="str">
        <x:v>MGR005</x:v>
      </x:c>
      <x:c r="I233" s="20" t="n">
        <x:v>46004.5</x:v>
      </x:c>
    </x:row>
    <x:row r="234" ht="15" hidden="0" customHeight="1">
      <x:c r="A234" s="18" t="str">
        <x:v>CR00233</x:v>
      </x:c>
      <x:c r="B234" s="18" t="str">
        <x:v>REV0059</x:v>
      </x:c>
      <x:c r="C234" s="18" t="str">
        <x:v>EMP014</x:v>
      </x:c>
      <x:c r="D234" s="18" t="str">
        <x:v>CY2025Q4</x:v>
      </x:c>
      <x:c r="E234" s="18" t="str">
        <x:v>COMP_STRATEGY</x:v>
      </x:c>
      <x:c r="F234" s="18" t="n">
        <x:v>3</x:v>
      </x:c>
      <x:c r="G234" s="18" t="str">
        <x:v>Meets expectations</x:v>
      </x:c>
      <x:c r="H234" s="18" t="str">
        <x:v>MGR006</x:v>
      </x:c>
      <x:c r="I234" s="20" t="n">
        <x:v>46005.5</x:v>
      </x:c>
    </x:row>
    <x:row r="235" ht="15" hidden="0" customHeight="1">
      <x:c r="A235" s="18" t="str">
        <x:v>CR00234</x:v>
      </x:c>
      <x:c r="B235" s="18" t="str">
        <x:v>REV0059</x:v>
      </x:c>
      <x:c r="C235" s="18" t="str">
        <x:v>EMP014</x:v>
      </x:c>
      <x:c r="D235" s="18" t="str">
        <x:v>CY2025Q4</x:v>
      </x:c>
      <x:c r="E235" s="18" t="str">
        <x:v>COMP_COMM</x:v>
      </x:c>
      <x:c r="F235" s="18" t="n">
        <x:v>3</x:v>
      </x:c>
      <x:c r="G235" s="18" t="str">
        <x:v>Meets expectations</x:v>
      </x:c>
      <x:c r="H235" s="18" t="str">
        <x:v>MGR006</x:v>
      </x:c>
      <x:c r="I235" s="20" t="n">
        <x:v>46005.5</x:v>
      </x:c>
    </x:row>
    <x:row r="236" ht="15" hidden="0" customHeight="1">
      <x:c r="A236" s="18" t="str">
        <x:v>CR00235</x:v>
      </x:c>
      <x:c r="B236" s="18" t="str">
        <x:v>REV0059</x:v>
      </x:c>
      <x:c r="C236" s="18" t="str">
        <x:v>EMP014</x:v>
      </x:c>
      <x:c r="D236" s="18" t="str">
        <x:v>CY2025Q4</x:v>
      </x:c>
      <x:c r="E236" s="18" t="str">
        <x:v>COMP_DOMAIN</x:v>
      </x:c>
      <x:c r="F236" s="18" t="n">
        <x:v>3</x:v>
      </x:c>
      <x:c r="G236" s="18" t="str">
        <x:v>Meets expectations</x:v>
      </x:c>
      <x:c r="H236" s="18" t="str">
        <x:v>MGR006</x:v>
      </x:c>
      <x:c r="I236" s="20" t="n">
        <x:v>46005.5</x:v>
      </x:c>
    </x:row>
    <x:row r="237" ht="15" hidden="0" customHeight="1">
      <x:c r="A237" s="18" t="str">
        <x:v>CR00236</x:v>
      </x:c>
      <x:c r="B237" s="18" t="str">
        <x:v>REV0059</x:v>
      </x:c>
      <x:c r="C237" s="18" t="str">
        <x:v>EMP014</x:v>
      </x:c>
      <x:c r="D237" s="18" t="str">
        <x:v>CY2025Q4</x:v>
      </x:c>
      <x:c r="E237" s="18" t="str">
        <x:v>COMP_CAREER</x:v>
      </x:c>
      <x:c r="F237" s="18" t="n">
        <x:v>3</x:v>
      </x:c>
      <x:c r="G237" s="18" t="str">
        <x:v>Meets expectations</x:v>
      </x:c>
      <x:c r="H237" s="18" t="str">
        <x:v>MGR006</x:v>
      </x:c>
      <x:c r="I237" s="20" t="n">
        <x:v>46005.5</x:v>
      </x:c>
    </x:row>
    <x:row r="238" ht="15" hidden="0" customHeight="1">
      <x:c r="A238" s="18" t="str">
        <x:v>CR00237</x:v>
      </x:c>
      <x:c r="B238" s="18" t="str">
        <x:v>REV0060</x:v>
      </x:c>
      <x:c r="C238" s="18" t="str">
        <x:v>EMP015</x:v>
      </x:c>
      <x:c r="D238" s="18" t="str">
        <x:v>CY2025Q4</x:v>
      </x:c>
      <x:c r="E238" s="18" t="str">
        <x:v>COMP_STRATEGY</x:v>
      </x:c>
      <x:c r="F238" s="18" t="n">
        <x:v>1</x:v>
      </x:c>
      <x:c r="G238" s="18" t="str">
        <x:v>Improvement required</x:v>
      </x:c>
      <x:c r="H238" s="18" t="str">
        <x:v>MGR006</x:v>
      </x:c>
      <x:c r="I238" s="20" t="n">
        <x:v>46006.5</x:v>
      </x:c>
    </x:row>
    <x:row r="239" ht="15" hidden="0" customHeight="1">
      <x:c r="A239" s="18" t="str">
        <x:v>CR00238</x:v>
      </x:c>
      <x:c r="B239" s="18" t="str">
        <x:v>REV0060</x:v>
      </x:c>
      <x:c r="C239" s="18" t="str">
        <x:v>EMP015</x:v>
      </x:c>
      <x:c r="D239" s="18" t="str">
        <x:v>CY2025Q4</x:v>
      </x:c>
      <x:c r="E239" s="18" t="str">
        <x:v>COMP_COMM</x:v>
      </x:c>
      <x:c r="F239" s="18" t="n">
        <x:v>1</x:v>
      </x:c>
      <x:c r="G239" s="18" t="str">
        <x:v>Improvement required</x:v>
      </x:c>
      <x:c r="H239" s="18" t="str">
        <x:v>MGR006</x:v>
      </x:c>
      <x:c r="I239" s="20" t="n">
        <x:v>46006.5</x:v>
      </x:c>
    </x:row>
    <x:row r="240" ht="15" hidden="0" customHeight="1">
      <x:c r="A240" s="18" t="str">
        <x:v>CR00239</x:v>
      </x:c>
      <x:c r="B240" s="18" t="str">
        <x:v>REV0060</x:v>
      </x:c>
      <x:c r="C240" s="18" t="str">
        <x:v>EMP015</x:v>
      </x:c>
      <x:c r="D240" s="18" t="str">
        <x:v>CY2025Q4</x:v>
      </x:c>
      <x:c r="E240" s="18" t="str">
        <x:v>COMP_DOMAIN</x:v>
      </x:c>
      <x:c r="F240" s="18" t="n">
        <x:v>2</x:v>
      </x:c>
      <x:c r="G240" s="18" t="str">
        <x:v>Partially meets expectations</x:v>
      </x:c>
      <x:c r="H240" s="18" t="str">
        <x:v>MGR006</x:v>
      </x:c>
      <x:c r="I240" s="20" t="n">
        <x:v>46006.5</x:v>
      </x:c>
    </x:row>
    <x:row r="241" ht="15" hidden="0" customHeight="1">
      <x:c r="A241" s="18" t="str">
        <x:v>CR00240</x:v>
      </x:c>
      <x:c r="B241" s="18" t="str">
        <x:v>REV0060</x:v>
      </x:c>
      <x:c r="C241" s="18" t="str">
        <x:v>EMP015</x:v>
      </x:c>
      <x:c r="D241" s="18" t="str">
        <x:v>CY2025Q4</x:v>
      </x:c>
      <x:c r="E241" s="18" t="str">
        <x:v>COMP_CAREER</x:v>
      </x:c>
      <x:c r="F241" s="18" t="n">
        <x:v>1</x:v>
      </x:c>
      <x:c r="G241" s="18" t="str">
        <x:v>Improvement required</x:v>
      </x:c>
      <x:c r="H241" s="18" t="str">
        <x:v>MGR006</x:v>
      </x:c>
      <x:c r="I241" s="20" t="n">
        <x:v>46006.5</x:v>
      </x:c>
    </x:row>
    <x:row r="242" ht="15" hidden="0" customHeight="1">
      <x:c r="A242" s="18" t="str">
        <x:v>CR00241</x:v>
      </x:c>
      <x:c r="B242" s="18" t="str">
        <x:v>REV0061</x:v>
      </x:c>
      <x:c r="C242" s="18" t="str">
        <x:v>EMP001</x:v>
      </x:c>
      <x:c r="D242" s="18" t="str">
        <x:v>CY2026Q1</x:v>
      </x:c>
      <x:c r="E242" s="18" t="str">
        <x:v>COMP_STRATEGY</x:v>
      </x:c>
      <x:c r="F242" s="18" t="n">
        <x:v>5</x:v>
      </x:c>
      <x:c r="G242" s="18" t="str">
        <x:v>Significantly exceeds expectations</x:v>
      </x:c>
      <x:c r="H242" s="18" t="str">
        <x:v>MGR001</x:v>
      </x:c>
      <x:c r="I242" s="20" t="n">
        <x:v>46094.5</x:v>
      </x:c>
    </x:row>
    <x:row r="243" ht="15" hidden="0" customHeight="1">
      <x:c r="A243" s="18" t="str">
        <x:v>CR00242</x:v>
      </x:c>
      <x:c r="B243" s="18" t="str">
        <x:v>REV0061</x:v>
      </x:c>
      <x:c r="C243" s="18" t="str">
        <x:v>EMP001</x:v>
      </x:c>
      <x:c r="D243" s="18" t="str">
        <x:v>CY2026Q1</x:v>
      </x:c>
      <x:c r="E243" s="18" t="str">
        <x:v>COMP_COMM</x:v>
      </x:c>
      <x:c r="F243" s="18" t="n">
        <x:v>5</x:v>
      </x:c>
      <x:c r="G243" s="18" t="str">
        <x:v>Significantly exceeds expectations</x:v>
      </x:c>
      <x:c r="H243" s="18" t="str">
        <x:v>MGR001</x:v>
      </x:c>
      <x:c r="I243" s="20" t="n">
        <x:v>46094.5</x:v>
      </x:c>
    </x:row>
    <x:row r="244" ht="15" hidden="0" customHeight="1">
      <x:c r="A244" s="18" t="str">
        <x:v>CR00243</x:v>
      </x:c>
      <x:c r="B244" s="18" t="str">
        <x:v>REV0061</x:v>
      </x:c>
      <x:c r="C244" s="18" t="str">
        <x:v>EMP001</x:v>
      </x:c>
      <x:c r="D244" s="18" t="str">
        <x:v>CY2026Q1</x:v>
      </x:c>
      <x:c r="E244" s="18" t="str">
        <x:v>COMP_DOMAIN</x:v>
      </x:c>
      <x:c r="F244" s="18" t="n">
        <x:v>5</x:v>
      </x:c>
      <x:c r="G244" s="18" t="str">
        <x:v>Significantly exceeds expectations</x:v>
      </x:c>
      <x:c r="H244" s="18" t="str">
        <x:v>MGR001</x:v>
      </x:c>
      <x:c r="I244" s="20" t="n">
        <x:v>46094.5</x:v>
      </x:c>
    </x:row>
    <x:row r="245" ht="15" hidden="0" customHeight="1">
      <x:c r="A245" s="18" t="str">
        <x:v>CR00244</x:v>
      </x:c>
      <x:c r="B245" s="18" t="str">
        <x:v>REV0061</x:v>
      </x:c>
      <x:c r="C245" s="18" t="str">
        <x:v>EMP001</x:v>
      </x:c>
      <x:c r="D245" s="18" t="str">
        <x:v>CY2026Q1</x:v>
      </x:c>
      <x:c r="E245" s="18" t="str">
        <x:v>COMP_CAREER</x:v>
      </x:c>
      <x:c r="F245" s="18" t="n">
        <x:v>5</x:v>
      </x:c>
      <x:c r="G245" s="18" t="str">
        <x:v>Significantly exceeds expectations</x:v>
      </x:c>
      <x:c r="H245" s="18" t="str">
        <x:v>MGR001</x:v>
      </x:c>
      <x:c r="I245" s="20" t="n">
        <x:v>46094.5</x:v>
      </x:c>
    </x:row>
    <x:row r="246" ht="15" hidden="0" customHeight="1">
      <x:c r="A246" s="18" t="str">
        <x:v>CR00245</x:v>
      </x:c>
      <x:c r="B246" s="18" t="str">
        <x:v>REV0062</x:v>
      </x:c>
      <x:c r="C246" s="18" t="str">
        <x:v>EMP002</x:v>
      </x:c>
      <x:c r="D246" s="18" t="str">
        <x:v>CY2026Q1</x:v>
      </x:c>
      <x:c r="E246" s="18" t="str">
        <x:v>COMP_STRATEGY</x:v>
      </x:c>
      <x:c r="F246" s="18" t="n">
        <x:v>4</x:v>
      </x:c>
      <x:c r="G246" s="18" t="str">
        <x:v>Exceeds expectations</x:v>
      </x:c>
      <x:c r="H246" s="18" t="str">
        <x:v>MGR001</x:v>
      </x:c>
      <x:c r="I246" s="20" t="n">
        <x:v>46095.5</x:v>
      </x:c>
    </x:row>
    <x:row r="247" ht="15" hidden="0" customHeight="1">
      <x:c r="A247" s="18" t="str">
        <x:v>CR00246</x:v>
      </x:c>
      <x:c r="B247" s="18" t="str">
        <x:v>REV0062</x:v>
      </x:c>
      <x:c r="C247" s="18" t="str">
        <x:v>EMP002</x:v>
      </x:c>
      <x:c r="D247" s="18" t="str">
        <x:v>CY2026Q1</x:v>
      </x:c>
      <x:c r="E247" s="18" t="str">
        <x:v>COMP_COMM</x:v>
      </x:c>
      <x:c r="F247" s="18" t="n">
        <x:v>4</x:v>
      </x:c>
      <x:c r="G247" s="18" t="str">
        <x:v>Exceeds expectations</x:v>
      </x:c>
      <x:c r="H247" s="18" t="str">
        <x:v>MGR001</x:v>
      </x:c>
      <x:c r="I247" s="20" t="n">
        <x:v>46095.5</x:v>
      </x:c>
    </x:row>
    <x:row r="248" ht="15" hidden="0" customHeight="1">
      <x:c r="A248" s="18" t="str">
        <x:v>CR00247</x:v>
      </x:c>
      <x:c r="B248" s="18" t="str">
        <x:v>REV0062</x:v>
      </x:c>
      <x:c r="C248" s="18" t="str">
        <x:v>EMP002</x:v>
      </x:c>
      <x:c r="D248" s="18" t="str">
        <x:v>CY2026Q1</x:v>
      </x:c>
      <x:c r="E248" s="18" t="str">
        <x:v>COMP_DOMAIN</x:v>
      </x:c>
      <x:c r="F248" s="18" t="n">
        <x:v>4</x:v>
      </x:c>
      <x:c r="G248" s="18" t="str">
        <x:v>Exceeds expectations</x:v>
      </x:c>
      <x:c r="H248" s="18" t="str">
        <x:v>MGR001</x:v>
      </x:c>
      <x:c r="I248" s="20" t="n">
        <x:v>46095.5</x:v>
      </x:c>
    </x:row>
    <x:row r="249" ht="15" hidden="0" customHeight="1">
      <x:c r="A249" s="18" t="str">
        <x:v>CR00248</x:v>
      </x:c>
      <x:c r="B249" s="18" t="str">
        <x:v>REV0062</x:v>
      </x:c>
      <x:c r="C249" s="18" t="str">
        <x:v>EMP002</x:v>
      </x:c>
      <x:c r="D249" s="18" t="str">
        <x:v>CY2026Q1</x:v>
      </x:c>
      <x:c r="E249" s="18" t="str">
        <x:v>COMP_CAREER</x:v>
      </x:c>
      <x:c r="F249" s="18" t="n">
        <x:v>4</x:v>
      </x:c>
      <x:c r="G249" s="18" t="str">
        <x:v>Exceeds expectations</x:v>
      </x:c>
      <x:c r="H249" s="18" t="str">
        <x:v>MGR001</x:v>
      </x:c>
      <x:c r="I249" s="20" t="n">
        <x:v>46095.5</x:v>
      </x:c>
    </x:row>
    <x:row r="250" ht="15" hidden="0" customHeight="1">
      <x:c r="A250" s="18" t="str">
        <x:v>CR00249</x:v>
      </x:c>
      <x:c r="B250" s="18" t="str">
        <x:v>REV0063</x:v>
      </x:c>
      <x:c r="C250" s="18" t="str">
        <x:v>EMP003</x:v>
      </x:c>
      <x:c r="D250" s="18" t="str">
        <x:v>CY2026Q1</x:v>
      </x:c>
      <x:c r="E250" s="18" t="str">
        <x:v>COMP_STRATEGY</x:v>
      </x:c>
      <x:c r="F250" s="18" t="n">
        <x:v>3</x:v>
      </x:c>
      <x:c r="G250" s="18" t="str">
        <x:v>Meets expectations</x:v>
      </x:c>
      <x:c r="H250" s="18" t="str">
        <x:v>MGR001</x:v>
      </x:c>
      <x:c r="I250" s="20" t="n">
        <x:v>46096.5</x:v>
      </x:c>
    </x:row>
    <x:row r="251" ht="15" hidden="0" customHeight="1">
      <x:c r="A251" s="18" t="str">
        <x:v>CR00250</x:v>
      </x:c>
      <x:c r="B251" s="18" t="str">
        <x:v>REV0063</x:v>
      </x:c>
      <x:c r="C251" s="18" t="str">
        <x:v>EMP003</x:v>
      </x:c>
      <x:c r="D251" s="18" t="str">
        <x:v>CY2026Q1</x:v>
      </x:c>
      <x:c r="E251" s="18" t="str">
        <x:v>COMP_COMM</x:v>
      </x:c>
      <x:c r="F251" s="18" t="n">
        <x:v>3</x:v>
      </x:c>
      <x:c r="G251" s="18" t="str">
        <x:v>Meets expectations</x:v>
      </x:c>
      <x:c r="H251" s="18" t="str">
        <x:v>MGR001</x:v>
      </x:c>
      <x:c r="I251" s="20" t="n">
        <x:v>46096.5</x:v>
      </x:c>
    </x:row>
    <x:row r="252" ht="15" hidden="0" customHeight="1">
      <x:c r="A252" s="18" t="str">
        <x:v>CR00251</x:v>
      </x:c>
      <x:c r="B252" s="18" t="str">
        <x:v>REV0063</x:v>
      </x:c>
      <x:c r="C252" s="18" t="str">
        <x:v>EMP003</x:v>
      </x:c>
      <x:c r="D252" s="18" t="str">
        <x:v>CY2026Q1</x:v>
      </x:c>
      <x:c r="E252" s="18" t="str">
        <x:v>COMP_DOMAIN</x:v>
      </x:c>
      <x:c r="F252" s="18" t="n">
        <x:v>3</x:v>
      </x:c>
      <x:c r="G252" s="18" t="str">
        <x:v>Meets expectations</x:v>
      </x:c>
      <x:c r="H252" s="18" t="str">
        <x:v>MGR001</x:v>
      </x:c>
      <x:c r="I252" s="20" t="n">
        <x:v>46096.5</x:v>
      </x:c>
    </x:row>
    <x:row r="253" ht="15" hidden="0" customHeight="1">
      <x:c r="A253" s="18" t="str">
        <x:v>CR00252</x:v>
      </x:c>
      <x:c r="B253" s="18" t="str">
        <x:v>REV0063</x:v>
      </x:c>
      <x:c r="C253" s="18" t="str">
        <x:v>EMP003</x:v>
      </x:c>
      <x:c r="D253" s="18" t="str">
        <x:v>CY2026Q1</x:v>
      </x:c>
      <x:c r="E253" s="18" t="str">
        <x:v>COMP_CAREER</x:v>
      </x:c>
      <x:c r="F253" s="18" t="n">
        <x:v>3</x:v>
      </x:c>
      <x:c r="G253" s="18" t="str">
        <x:v>Meets expectations</x:v>
      </x:c>
      <x:c r="H253" s="18" t="str">
        <x:v>MGR001</x:v>
      </x:c>
      <x:c r="I253" s="20" t="n">
        <x:v>46096.5</x:v>
      </x:c>
    </x:row>
    <x:row r="254" ht="15" hidden="0" customHeight="1">
      <x:c r="A254" s="18" t="str">
        <x:v>CR00253</x:v>
      </x:c>
      <x:c r="B254" s="18" t="str">
        <x:v>REV0064</x:v>
      </x:c>
      <x:c r="C254" s="18" t="str">
        <x:v>EMP004</x:v>
      </x:c>
      <x:c r="D254" s="18" t="str">
        <x:v>CY2026Q1</x:v>
      </x:c>
      <x:c r="E254" s="18" t="str">
        <x:v>COMP_STRATEGY</x:v>
      </x:c>
      <x:c r="F254" s="18" t="n">
        <x:v>2</x:v>
      </x:c>
      <x:c r="G254" s="18" t="str">
        <x:v>Partially meets expectations</x:v>
      </x:c>
      <x:c r="H254" s="18" t="str">
        <x:v>MGR002</x:v>
      </x:c>
      <x:c r="I254" s="20" t="n">
        <x:v>46097.5</x:v>
      </x:c>
    </x:row>
    <x:row r="255" ht="15" hidden="0" customHeight="1">
      <x:c r="A255" s="18" t="str">
        <x:v>CR00254</x:v>
      </x:c>
      <x:c r="B255" s="18" t="str">
        <x:v>REV0064</x:v>
      </x:c>
      <x:c r="C255" s="18" t="str">
        <x:v>EMP004</x:v>
      </x:c>
      <x:c r="D255" s="18" t="str">
        <x:v>CY2026Q1</x:v>
      </x:c>
      <x:c r="E255" s="18" t="str">
        <x:v>COMP_COMM</x:v>
      </x:c>
      <x:c r="F255" s="18" t="n">
        <x:v>2</x:v>
      </x:c>
      <x:c r="G255" s="18" t="str">
        <x:v>Partially meets expectations</x:v>
      </x:c>
      <x:c r="H255" s="18" t="str">
        <x:v>MGR002</x:v>
      </x:c>
      <x:c r="I255" s="20" t="n">
        <x:v>46097.5</x:v>
      </x:c>
    </x:row>
    <x:row r="256" ht="15" hidden="0" customHeight="1">
      <x:c r="A256" s="18" t="str">
        <x:v>CR00255</x:v>
      </x:c>
      <x:c r="B256" s="18" t="str">
        <x:v>REV0064</x:v>
      </x:c>
      <x:c r="C256" s="18" t="str">
        <x:v>EMP004</x:v>
      </x:c>
      <x:c r="D256" s="18" t="str">
        <x:v>CY2026Q1</x:v>
      </x:c>
      <x:c r="E256" s="18" t="str">
        <x:v>COMP_DOMAIN</x:v>
      </x:c>
      <x:c r="F256" s="18" t="n">
        <x:v>2</x:v>
      </x:c>
      <x:c r="G256" s="18" t="str">
        <x:v>Partially meets expectations</x:v>
      </x:c>
      <x:c r="H256" s="18" t="str">
        <x:v>MGR002</x:v>
      </x:c>
      <x:c r="I256" s="20" t="n">
        <x:v>46097.5</x:v>
      </x:c>
    </x:row>
    <x:row r="257" ht="15" hidden="0" customHeight="1">
      <x:c r="A257" s="18" t="str">
        <x:v>CR00256</x:v>
      </x:c>
      <x:c r="B257" s="18" t="str">
        <x:v>REV0064</x:v>
      </x:c>
      <x:c r="C257" s="18" t="str">
        <x:v>EMP004</x:v>
      </x:c>
      <x:c r="D257" s="18" t="str">
        <x:v>CY2026Q1</x:v>
      </x:c>
      <x:c r="E257" s="18" t="str">
        <x:v>COMP_CAREER</x:v>
      </x:c>
      <x:c r="F257" s="18" t="n">
        <x:v>3</x:v>
      </x:c>
      <x:c r="G257" s="18" t="str">
        <x:v>Meets expectations</x:v>
      </x:c>
      <x:c r="H257" s="18" t="str">
        <x:v>MGR002</x:v>
      </x:c>
      <x:c r="I257" s="20" t="n">
        <x:v>46097.5</x:v>
      </x:c>
    </x:row>
    <x:row r="258" ht="15" hidden="0" customHeight="1">
      <x:c r="A258" s="18" t="str">
        <x:v>CR00257</x:v>
      </x:c>
      <x:c r="B258" s="18" t="str">
        <x:v>REV0065</x:v>
      </x:c>
      <x:c r="C258" s="18" t="str">
        <x:v>EMP005</x:v>
      </x:c>
      <x:c r="D258" s="18" t="str">
        <x:v>CY2026Q1</x:v>
      </x:c>
      <x:c r="E258" s="18" t="str">
        <x:v>COMP_STRATEGY</x:v>
      </x:c>
      <x:c r="F258" s="18" t="n">
        <x:v>3</x:v>
      </x:c>
      <x:c r="G258" s="18" t="str">
        <x:v>Meets expectations</x:v>
      </x:c>
      <x:c r="H258" s="18" t="str">
        <x:v>MGR002</x:v>
      </x:c>
      <x:c r="I258" s="20" t="n">
        <x:v>46098.5</x:v>
      </x:c>
    </x:row>
    <x:row r="259" ht="15" hidden="0" customHeight="1">
      <x:c r="A259" s="18" t="str">
        <x:v>CR00258</x:v>
      </x:c>
      <x:c r="B259" s="18" t="str">
        <x:v>REV0065</x:v>
      </x:c>
      <x:c r="C259" s="18" t="str">
        <x:v>EMP005</x:v>
      </x:c>
      <x:c r="D259" s="18" t="str">
        <x:v>CY2026Q1</x:v>
      </x:c>
      <x:c r="E259" s="18" t="str">
        <x:v>COMP_COMM</x:v>
      </x:c>
      <x:c r="F259" s="18" t="n">
        <x:v>3</x:v>
      </x:c>
      <x:c r="G259" s="18" t="str">
        <x:v>Meets expectations</x:v>
      </x:c>
      <x:c r="H259" s="18" t="str">
        <x:v>MGR002</x:v>
      </x:c>
      <x:c r="I259" s="20" t="n">
        <x:v>46098.5</x:v>
      </x:c>
    </x:row>
    <x:row r="260" ht="15" hidden="0" customHeight="1">
      <x:c r="A260" s="18" t="str">
        <x:v>CR00259</x:v>
      </x:c>
      <x:c r="B260" s="18" t="str">
        <x:v>REV0065</x:v>
      </x:c>
      <x:c r="C260" s="18" t="str">
        <x:v>EMP005</x:v>
      </x:c>
      <x:c r="D260" s="18" t="str">
        <x:v>CY2026Q1</x:v>
      </x:c>
      <x:c r="E260" s="18" t="str">
        <x:v>COMP_DOMAIN</x:v>
      </x:c>
      <x:c r="F260" s="18" t="n">
        <x:v>3</x:v>
      </x:c>
      <x:c r="G260" s="18" t="str">
        <x:v>Meets expectations</x:v>
      </x:c>
      <x:c r="H260" s="18" t="str">
        <x:v>MGR002</x:v>
      </x:c>
      <x:c r="I260" s="20" t="n">
        <x:v>46098.5</x:v>
      </x:c>
    </x:row>
    <x:row r="261" ht="15" hidden="0" customHeight="1">
      <x:c r="A261" s="18" t="str">
        <x:v>CR00260</x:v>
      </x:c>
      <x:c r="B261" s="18" t="str">
        <x:v>REV0065</x:v>
      </x:c>
      <x:c r="C261" s="18" t="str">
        <x:v>EMP005</x:v>
      </x:c>
      <x:c r="D261" s="18" t="str">
        <x:v>CY2026Q1</x:v>
      </x:c>
      <x:c r="E261" s="18" t="str">
        <x:v>COMP_CAREER</x:v>
      </x:c>
      <x:c r="F261" s="18" t="n">
        <x:v>3</x:v>
      </x:c>
      <x:c r="G261" s="18" t="str">
        <x:v>Meets expectations</x:v>
      </x:c>
      <x:c r="H261" s="18" t="str">
        <x:v>MGR002</x:v>
      </x:c>
      <x:c r="I261" s="20" t="n">
        <x:v>46098.5</x:v>
      </x:c>
    </x:row>
    <x:row r="262" ht="15" hidden="0" customHeight="1">
      <x:c r="A262" s="18" t="str">
        <x:v>CR00261</x:v>
      </x:c>
      <x:c r="B262" s="18" t="str">
        <x:v>REV0066</x:v>
      </x:c>
      <x:c r="C262" s="18" t="str">
        <x:v>EMP006</x:v>
      </x:c>
      <x:c r="D262" s="18" t="str">
        <x:v>CY2026Q1</x:v>
      </x:c>
      <x:c r="E262" s="18" t="str">
        <x:v>COMP_STRATEGY</x:v>
      </x:c>
      <x:c r="F262" s="18" t="n">
        <x:v>3</x:v>
      </x:c>
      <x:c r="G262" s="18" t="str">
        <x:v>Meets expectations</x:v>
      </x:c>
      <x:c r="H262" s="18" t="str">
        <x:v>MGR002</x:v>
      </x:c>
      <x:c r="I262" s="20" t="n">
        <x:v>46099.5</x:v>
      </x:c>
    </x:row>
    <x:row r="263" ht="15" hidden="0" customHeight="1">
      <x:c r="A263" s="18" t="str">
        <x:v>CR00262</x:v>
      </x:c>
      <x:c r="B263" s="18" t="str">
        <x:v>REV0066</x:v>
      </x:c>
      <x:c r="C263" s="18" t="str">
        <x:v>EMP006</x:v>
      </x:c>
      <x:c r="D263" s="18" t="str">
        <x:v>CY2026Q1</x:v>
      </x:c>
      <x:c r="E263" s="18" t="str">
        <x:v>COMP_COMM</x:v>
      </x:c>
      <x:c r="F263" s="18" t="n">
        <x:v>2</x:v>
      </x:c>
      <x:c r="G263" s="18" t="str">
        <x:v>Partially meets expectations</x:v>
      </x:c>
      <x:c r="H263" s="18" t="str">
        <x:v>MGR002</x:v>
      </x:c>
      <x:c r="I263" s="20" t="n">
        <x:v>46099.5</x:v>
      </x:c>
    </x:row>
    <x:row r="264" ht="15" hidden="0" customHeight="1">
      <x:c r="A264" s="18" t="str">
        <x:v>CR00263</x:v>
      </x:c>
      <x:c r="B264" s="18" t="str">
        <x:v>REV0066</x:v>
      </x:c>
      <x:c r="C264" s="18" t="str">
        <x:v>EMP006</x:v>
      </x:c>
      <x:c r="D264" s="18" t="str">
        <x:v>CY2026Q1</x:v>
      </x:c>
      <x:c r="E264" s="18" t="str">
        <x:v>COMP_DOMAIN</x:v>
      </x:c>
      <x:c r="F264" s="18" t="n">
        <x:v>3</x:v>
      </x:c>
      <x:c r="G264" s="18" t="str">
        <x:v>Meets expectations</x:v>
      </x:c>
      <x:c r="H264" s="18" t="str">
        <x:v>MGR002</x:v>
      </x:c>
      <x:c r="I264" s="20" t="n">
        <x:v>46099.5</x:v>
      </x:c>
    </x:row>
    <x:row r="265" ht="15" hidden="0" customHeight="1">
      <x:c r="A265" s="18" t="str">
        <x:v>CR00264</x:v>
      </x:c>
      <x:c r="B265" s="18" t="str">
        <x:v>REV0066</x:v>
      </x:c>
      <x:c r="C265" s="18" t="str">
        <x:v>EMP006</x:v>
      </x:c>
      <x:c r="D265" s="18" t="str">
        <x:v>CY2026Q1</x:v>
      </x:c>
      <x:c r="E265" s="18" t="str">
        <x:v>COMP_CAREER</x:v>
      </x:c>
      <x:c r="F265" s="18" t="n">
        <x:v>3</x:v>
      </x:c>
      <x:c r="G265" s="18" t="str">
        <x:v>Meets expectations</x:v>
      </x:c>
      <x:c r="H265" s="18" t="str">
        <x:v>MGR002</x:v>
      </x:c>
      <x:c r="I265" s="20" t="n">
        <x:v>46099.5</x:v>
      </x:c>
    </x:row>
    <x:row r="266" ht="15" hidden="0" customHeight="1">
      <x:c r="A266" s="18" t="str">
        <x:v>CR00265</x:v>
      </x:c>
      <x:c r="B266" s="18" t="str">
        <x:v>REV0067</x:v>
      </x:c>
      <x:c r="C266" s="18" t="str">
        <x:v>EMP007</x:v>
      </x:c>
      <x:c r="D266" s="18" t="str">
        <x:v>CY2026Q1</x:v>
      </x:c>
      <x:c r="E266" s="18" t="str">
        <x:v>COMP_STRATEGY</x:v>
      </x:c>
      <x:c r="F266" s="18" t="n">
        <x:v>2</x:v>
      </x:c>
      <x:c r="G266" s="18" t="str">
        <x:v>Partially meets expectations</x:v>
      </x:c>
      <x:c r="H266" s="18" t="str">
        <x:v>MGR003</x:v>
      </x:c>
      <x:c r="I266" s="20" t="n">
        <x:v>46100.5</x:v>
      </x:c>
    </x:row>
    <x:row r="267" ht="15" hidden="0" customHeight="1">
      <x:c r="A267" s="18" t="str">
        <x:v>CR00266</x:v>
      </x:c>
      <x:c r="B267" s="18" t="str">
        <x:v>REV0067</x:v>
      </x:c>
      <x:c r="C267" s="18" t="str">
        <x:v>EMP007</x:v>
      </x:c>
      <x:c r="D267" s="18" t="str">
        <x:v>CY2026Q1</x:v>
      </x:c>
      <x:c r="E267" s="18" t="str">
        <x:v>COMP_COMM</x:v>
      </x:c>
      <x:c r="F267" s="18" t="n">
        <x:v>2</x:v>
      </x:c>
      <x:c r="G267" s="18" t="str">
        <x:v>Partially meets expectations</x:v>
      </x:c>
      <x:c r="H267" s="18" t="str">
        <x:v>MGR003</x:v>
      </x:c>
      <x:c r="I267" s="20" t="n">
        <x:v>46100.5</x:v>
      </x:c>
    </x:row>
    <x:row r="268" ht="15" hidden="0" customHeight="1">
      <x:c r="A268" s="18" t="str">
        <x:v>CR00267</x:v>
      </x:c>
      <x:c r="B268" s="18" t="str">
        <x:v>REV0067</x:v>
      </x:c>
      <x:c r="C268" s="18" t="str">
        <x:v>EMP007</x:v>
      </x:c>
      <x:c r="D268" s="18" t="str">
        <x:v>CY2026Q1</x:v>
      </x:c>
      <x:c r="E268" s="18" t="str">
        <x:v>COMP_DOMAIN</x:v>
      </x:c>
      <x:c r="F268" s="18" t="n">
        <x:v>2</x:v>
      </x:c>
      <x:c r="G268" s="18" t="str">
        <x:v>Partially meets expectations</x:v>
      </x:c>
      <x:c r="H268" s="18" t="str">
        <x:v>MGR003</x:v>
      </x:c>
      <x:c r="I268" s="20" t="n">
        <x:v>46100.5</x:v>
      </x:c>
    </x:row>
    <x:row r="269" ht="15" hidden="0" customHeight="1">
      <x:c r="A269" s="18" t="str">
        <x:v>CR00268</x:v>
      </x:c>
      <x:c r="B269" s="18" t="str">
        <x:v>REV0067</x:v>
      </x:c>
      <x:c r="C269" s="18" t="str">
        <x:v>EMP007</x:v>
      </x:c>
      <x:c r="D269" s="18" t="str">
        <x:v>CY2026Q1</x:v>
      </x:c>
      <x:c r="E269" s="18" t="str">
        <x:v>COMP_CAREER</x:v>
      </x:c>
      <x:c r="F269" s="18" t="n">
        <x:v>2</x:v>
      </x:c>
      <x:c r="G269" s="18" t="str">
        <x:v>Partially meets expectations</x:v>
      </x:c>
      <x:c r="H269" s="18" t="str">
        <x:v>MGR003</x:v>
      </x:c>
      <x:c r="I269" s="20" t="n">
        <x:v>46100.5</x:v>
      </x:c>
    </x:row>
    <x:row r="270" ht="15" hidden="0" customHeight="1">
      <x:c r="A270" s="18" t="str">
        <x:v>CR00269</x:v>
      </x:c>
      <x:c r="B270" s="18" t="str">
        <x:v>REV0068</x:v>
      </x:c>
      <x:c r="C270" s="18" t="str">
        <x:v>EMP008</x:v>
      </x:c>
      <x:c r="D270" s="18" t="str">
        <x:v>CY2026Q1</x:v>
      </x:c>
      <x:c r="E270" s="18" t="str">
        <x:v>COMP_STRATEGY</x:v>
      </x:c>
      <x:c r="F270" s="18" t="n">
        <x:v>1</x:v>
      </x:c>
      <x:c r="G270" s="18" t="str">
        <x:v>Improvement required</x:v>
      </x:c>
      <x:c r="H270" s="18" t="str">
        <x:v>MGR003</x:v>
      </x:c>
      <x:c r="I270" s="20" t="n">
        <x:v>46101.5</x:v>
      </x:c>
    </x:row>
    <x:row r="271" ht="15" hidden="0" customHeight="1">
      <x:c r="A271" s="18" t="str">
        <x:v>CR00270</x:v>
      </x:c>
      <x:c r="B271" s="18" t="str">
        <x:v>REV0068</x:v>
      </x:c>
      <x:c r="C271" s="18" t="str">
        <x:v>EMP008</x:v>
      </x:c>
      <x:c r="D271" s="18" t="str">
        <x:v>CY2026Q1</x:v>
      </x:c>
      <x:c r="E271" s="18" t="str">
        <x:v>COMP_COMM</x:v>
      </x:c>
      <x:c r="F271" s="18" t="n">
        <x:v>1</x:v>
      </x:c>
      <x:c r="G271" s="18" t="str">
        <x:v>Improvement required</x:v>
      </x:c>
      <x:c r="H271" s="18" t="str">
        <x:v>MGR003</x:v>
      </x:c>
      <x:c r="I271" s="20" t="n">
        <x:v>46101.5</x:v>
      </x:c>
    </x:row>
    <x:row r="272" ht="15" hidden="0" customHeight="1">
      <x:c r="A272" s="18" t="str">
        <x:v>CR00271</x:v>
      </x:c>
      <x:c r="B272" s="18" t="str">
        <x:v>REV0068</x:v>
      </x:c>
      <x:c r="C272" s="18" t="str">
        <x:v>EMP008</x:v>
      </x:c>
      <x:c r="D272" s="18" t="str">
        <x:v>CY2026Q1</x:v>
      </x:c>
      <x:c r="E272" s="18" t="str">
        <x:v>COMP_DOMAIN</x:v>
      </x:c>
      <x:c r="F272" s="18" t="n">
        <x:v>2</x:v>
      </x:c>
      <x:c r="G272" s="18" t="str">
        <x:v>Partially meets expectations</x:v>
      </x:c>
      <x:c r="H272" s="18" t="str">
        <x:v>MGR003</x:v>
      </x:c>
      <x:c r="I272" s="20" t="n">
        <x:v>46101.5</x:v>
      </x:c>
    </x:row>
    <x:row r="273" ht="15" hidden="0" customHeight="1">
      <x:c r="A273" s="18" t="str">
        <x:v>CR00272</x:v>
      </x:c>
      <x:c r="B273" s="18" t="str">
        <x:v>REV0068</x:v>
      </x:c>
      <x:c r="C273" s="18" t="str">
        <x:v>EMP008</x:v>
      </x:c>
      <x:c r="D273" s="18" t="str">
        <x:v>CY2026Q1</x:v>
      </x:c>
      <x:c r="E273" s="18" t="str">
        <x:v>COMP_CAREER</x:v>
      </x:c>
      <x:c r="F273" s="18" t="n">
        <x:v>1</x:v>
      </x:c>
      <x:c r="G273" s="18" t="str">
        <x:v>Improvement required</x:v>
      </x:c>
      <x:c r="H273" s="18" t="str">
        <x:v>MGR003</x:v>
      </x:c>
      <x:c r="I273" s="20" t="n">
        <x:v>46101.5</x:v>
      </x:c>
    </x:row>
    <x:row r="274" ht="15" hidden="0" customHeight="1">
      <x:c r="A274" s="18" t="str">
        <x:v>CR00273</x:v>
      </x:c>
      <x:c r="B274" s="18" t="str">
        <x:v>REV0069</x:v>
      </x:c>
      <x:c r="C274" s="18" t="str">
        <x:v>EMP009</x:v>
      </x:c>
      <x:c r="D274" s="18" t="str">
        <x:v>CY2026Q1</x:v>
      </x:c>
      <x:c r="E274" s="18" t="str">
        <x:v>COMP_STRATEGY</x:v>
      </x:c>
      <x:c r="F274" s="18" t="n">
        <x:v>5</x:v>
      </x:c>
      <x:c r="G274" s="18" t="str">
        <x:v>Significantly exceeds expectations</x:v>
      </x:c>
      <x:c r="H274" s="18" t="str">
        <x:v>MGR004</x:v>
      </x:c>
      <x:c r="I274" s="20" t="n">
        <x:v>46102.5</x:v>
      </x:c>
    </x:row>
    <x:row r="275" ht="15" hidden="0" customHeight="1">
      <x:c r="A275" s="18" t="str">
        <x:v>CR00274</x:v>
      </x:c>
      <x:c r="B275" s="18" t="str">
        <x:v>REV0069</x:v>
      </x:c>
      <x:c r="C275" s="18" t="str">
        <x:v>EMP009</x:v>
      </x:c>
      <x:c r="D275" s="18" t="str">
        <x:v>CY2026Q1</x:v>
      </x:c>
      <x:c r="E275" s="18" t="str">
        <x:v>COMP_COMM</x:v>
      </x:c>
      <x:c r="F275" s="18" t="n">
        <x:v>5</x:v>
      </x:c>
      <x:c r="G275" s="18" t="str">
        <x:v>Significantly exceeds expectations</x:v>
      </x:c>
      <x:c r="H275" s="18" t="str">
        <x:v>MGR004</x:v>
      </x:c>
      <x:c r="I275" s="20" t="n">
        <x:v>46102.5</x:v>
      </x:c>
    </x:row>
    <x:row r="276" ht="15" hidden="0" customHeight="1">
      <x:c r="A276" s="18" t="str">
        <x:v>CR00275</x:v>
      </x:c>
      <x:c r="B276" s="18" t="str">
        <x:v>REV0069</x:v>
      </x:c>
      <x:c r="C276" s="18" t="str">
        <x:v>EMP009</x:v>
      </x:c>
      <x:c r="D276" s="18" t="str">
        <x:v>CY2026Q1</x:v>
      </x:c>
      <x:c r="E276" s="18" t="str">
        <x:v>COMP_DOMAIN</x:v>
      </x:c>
      <x:c r="F276" s="18" t="n">
        <x:v>5</x:v>
      </x:c>
      <x:c r="G276" s="18" t="str">
        <x:v>Significantly exceeds expectations</x:v>
      </x:c>
      <x:c r="H276" s="18" t="str">
        <x:v>MGR004</x:v>
      </x:c>
      <x:c r="I276" s="20" t="n">
        <x:v>46102.5</x:v>
      </x:c>
    </x:row>
    <x:row r="277" ht="15" hidden="0" customHeight="1">
      <x:c r="A277" s="18" t="str">
        <x:v>CR00276</x:v>
      </x:c>
      <x:c r="B277" s="18" t="str">
        <x:v>REV0069</x:v>
      </x:c>
      <x:c r="C277" s="18" t="str">
        <x:v>EMP009</x:v>
      </x:c>
      <x:c r="D277" s="18" t="str">
        <x:v>CY2026Q1</x:v>
      </x:c>
      <x:c r="E277" s="18" t="str">
        <x:v>COMP_CAREER</x:v>
      </x:c>
      <x:c r="F277" s="18" t="n">
        <x:v>5</x:v>
      </x:c>
      <x:c r="G277" s="18" t="str">
        <x:v>Significantly exceeds expectations</x:v>
      </x:c>
      <x:c r="H277" s="18" t="str">
        <x:v>MGR004</x:v>
      </x:c>
      <x:c r="I277" s="20" t="n">
        <x:v>46102.5</x:v>
      </x:c>
    </x:row>
    <x:row r="278" ht="15" hidden="0" customHeight="1">
      <x:c r="A278" s="18" t="str">
        <x:v>CR00277</x:v>
      </x:c>
      <x:c r="B278" s="18" t="str">
        <x:v>REV0070</x:v>
      </x:c>
      <x:c r="C278" s="18" t="str">
        <x:v>EMP010</x:v>
      </x:c>
      <x:c r="D278" s="18" t="str">
        <x:v>CY2026Q1</x:v>
      </x:c>
      <x:c r="E278" s="18" t="str">
        <x:v>COMP_STRATEGY</x:v>
      </x:c>
      <x:c r="F278" s="18" t="n">
        <x:v>4</x:v>
      </x:c>
      <x:c r="G278" s="18" t="str">
        <x:v>Exceeds expectations</x:v>
      </x:c>
      <x:c r="H278" s="18" t="str">
        <x:v>MGR004</x:v>
      </x:c>
      <x:c r="I278" s="20" t="n">
        <x:v>46103.5</x:v>
      </x:c>
    </x:row>
    <x:row r="279" ht="15" hidden="0" customHeight="1">
      <x:c r="A279" s="18" t="str">
        <x:v>CR00278</x:v>
      </x:c>
      <x:c r="B279" s="18" t="str">
        <x:v>REV0070</x:v>
      </x:c>
      <x:c r="C279" s="18" t="str">
        <x:v>EMP010</x:v>
      </x:c>
      <x:c r="D279" s="18" t="str">
        <x:v>CY2026Q1</x:v>
      </x:c>
      <x:c r="E279" s="18" t="str">
        <x:v>COMP_COMM</x:v>
      </x:c>
      <x:c r="F279" s="18" t="n">
        <x:v>4</x:v>
      </x:c>
      <x:c r="G279" s="18" t="str">
        <x:v>Exceeds expectations</x:v>
      </x:c>
      <x:c r="H279" s="18" t="str">
        <x:v>MGR004</x:v>
      </x:c>
      <x:c r="I279" s="20" t="n">
        <x:v>46103.5</x:v>
      </x:c>
    </x:row>
    <x:row r="280" ht="15" hidden="0" customHeight="1">
      <x:c r="A280" s="18" t="str">
        <x:v>CR00279</x:v>
      </x:c>
      <x:c r="B280" s="18" t="str">
        <x:v>REV0070</x:v>
      </x:c>
      <x:c r="C280" s="18" t="str">
        <x:v>EMP010</x:v>
      </x:c>
      <x:c r="D280" s="18" t="str">
        <x:v>CY2026Q1</x:v>
      </x:c>
      <x:c r="E280" s="18" t="str">
        <x:v>COMP_DOMAIN</x:v>
      </x:c>
      <x:c r="F280" s="18" t="n">
        <x:v>4</x:v>
      </x:c>
      <x:c r="G280" s="18" t="str">
        <x:v>Exceeds expectations</x:v>
      </x:c>
      <x:c r="H280" s="18" t="str">
        <x:v>MGR004</x:v>
      </x:c>
      <x:c r="I280" s="20" t="n">
        <x:v>46103.5</x:v>
      </x:c>
    </x:row>
    <x:row r="281" ht="15" hidden="0" customHeight="1">
      <x:c r="A281" s="18" t="str">
        <x:v>CR00280</x:v>
      </x:c>
      <x:c r="B281" s="18" t="str">
        <x:v>REV0070</x:v>
      </x:c>
      <x:c r="C281" s="18" t="str">
        <x:v>EMP010</x:v>
      </x:c>
      <x:c r="D281" s="18" t="str">
        <x:v>CY2026Q1</x:v>
      </x:c>
      <x:c r="E281" s="18" t="str">
        <x:v>COMP_CAREER</x:v>
      </x:c>
      <x:c r="F281" s="18" t="n">
        <x:v>4</x:v>
      </x:c>
      <x:c r="G281" s="18" t="str">
        <x:v>Exceeds expectations</x:v>
      </x:c>
      <x:c r="H281" s="18" t="str">
        <x:v>MGR004</x:v>
      </x:c>
      <x:c r="I281" s="20" t="n">
        <x:v>46103.5</x:v>
      </x:c>
    </x:row>
    <x:row r="282" ht="15" hidden="0" customHeight="1">
      <x:c r="A282" s="18" t="str">
        <x:v>CR00281</x:v>
      </x:c>
      <x:c r="B282" s="18" t="str">
        <x:v>REV0071</x:v>
      </x:c>
      <x:c r="C282" s="18" t="str">
        <x:v>EMP011</x:v>
      </x:c>
      <x:c r="D282" s="18" t="str">
        <x:v>CY2026Q1</x:v>
      </x:c>
      <x:c r="E282" s="18" t="str">
        <x:v>COMP_STRATEGY</x:v>
      </x:c>
      <x:c r="F282" s="18" t="n">
        <x:v>3</x:v>
      </x:c>
      <x:c r="G282" s="18" t="str">
        <x:v>Meets expectations</x:v>
      </x:c>
      <x:c r="H282" s="18" t="str">
        <x:v>MGR004</x:v>
      </x:c>
      <x:c r="I282" s="20" t="n">
        <x:v>46104.5</x:v>
      </x:c>
    </x:row>
    <x:row r="283" ht="15" hidden="0" customHeight="1">
      <x:c r="A283" s="18" t="str">
        <x:v>CR00282</x:v>
      </x:c>
      <x:c r="B283" s="18" t="str">
        <x:v>REV0071</x:v>
      </x:c>
      <x:c r="C283" s="18" t="str">
        <x:v>EMP011</x:v>
      </x:c>
      <x:c r="D283" s="18" t="str">
        <x:v>CY2026Q1</x:v>
      </x:c>
      <x:c r="E283" s="18" t="str">
        <x:v>COMP_COMM</x:v>
      </x:c>
      <x:c r="F283" s="18" t="n">
        <x:v>2</x:v>
      </x:c>
      <x:c r="G283" s="18" t="str">
        <x:v>Partially meets expectations</x:v>
      </x:c>
      <x:c r="H283" s="18" t="str">
        <x:v>MGR004</x:v>
      </x:c>
      <x:c r="I283" s="20" t="n">
        <x:v>46104.5</x:v>
      </x:c>
    </x:row>
    <x:row r="284" ht="15" hidden="0" customHeight="1">
      <x:c r="A284" s="18" t="str">
        <x:v>CR00283</x:v>
      </x:c>
      <x:c r="B284" s="18" t="str">
        <x:v>REV0071</x:v>
      </x:c>
      <x:c r="C284" s="18" t="str">
        <x:v>EMP011</x:v>
      </x:c>
      <x:c r="D284" s="18" t="str">
        <x:v>CY2026Q1</x:v>
      </x:c>
      <x:c r="E284" s="18" t="str">
        <x:v>COMP_DOMAIN</x:v>
      </x:c>
      <x:c r="F284" s="18" t="n">
        <x:v>3</x:v>
      </x:c>
      <x:c r="G284" s="18" t="str">
        <x:v>Meets expectations</x:v>
      </x:c>
      <x:c r="H284" s="18" t="str">
        <x:v>MGR004</x:v>
      </x:c>
      <x:c r="I284" s="20" t="n">
        <x:v>46104.5</x:v>
      </x:c>
    </x:row>
    <x:row r="285" ht="15" hidden="0" customHeight="1">
      <x:c r="A285" s="18" t="str">
        <x:v>CR00284</x:v>
      </x:c>
      <x:c r="B285" s="18" t="str">
        <x:v>REV0071</x:v>
      </x:c>
      <x:c r="C285" s="18" t="str">
        <x:v>EMP011</x:v>
      </x:c>
      <x:c r="D285" s="18" t="str">
        <x:v>CY2026Q1</x:v>
      </x:c>
      <x:c r="E285" s="18" t="str">
        <x:v>COMP_CAREER</x:v>
      </x:c>
      <x:c r="F285" s="18" t="n">
        <x:v>3</x:v>
      </x:c>
      <x:c r="G285" s="18" t="str">
        <x:v>Meets expectations</x:v>
      </x:c>
      <x:c r="H285" s="18" t="str">
        <x:v>MGR004</x:v>
      </x:c>
      <x:c r="I285" s="20" t="n">
        <x:v>46104.5</x:v>
      </x:c>
    </x:row>
    <x:row r="286" ht="15" hidden="0" customHeight="1">
      <x:c r="A286" s="18" t="str">
        <x:v>CR00285</x:v>
      </x:c>
      <x:c r="B286" s="18" t="str">
        <x:v>REV0072</x:v>
      </x:c>
      <x:c r="C286" s="18" t="str">
        <x:v>EMP012</x:v>
      </x:c>
      <x:c r="D286" s="18" t="str">
        <x:v>CY2026Q1</x:v>
      </x:c>
      <x:c r="E286" s="18" t="str">
        <x:v>COMP_STRATEGY</x:v>
      </x:c>
      <x:c r="F286" s="18" t="n">
        <x:v>2</x:v>
      </x:c>
      <x:c r="G286" s="18" t="str">
        <x:v>Partially meets expectations</x:v>
      </x:c>
      <x:c r="H286" s="18" t="str">
        <x:v>MGR005</x:v>
      </x:c>
      <x:c r="I286" s="20" t="n">
        <x:v>46105.5</x:v>
      </x:c>
    </x:row>
    <x:row r="287" ht="15" hidden="0" customHeight="1">
      <x:c r="A287" s="18" t="str">
        <x:v>CR00286</x:v>
      </x:c>
      <x:c r="B287" s="18" t="str">
        <x:v>REV0072</x:v>
      </x:c>
      <x:c r="C287" s="18" t="str">
        <x:v>EMP012</x:v>
      </x:c>
      <x:c r="D287" s="18" t="str">
        <x:v>CY2026Q1</x:v>
      </x:c>
      <x:c r="E287" s="18" t="str">
        <x:v>COMP_COMM</x:v>
      </x:c>
      <x:c r="F287" s="18" t="n">
        <x:v>2</x:v>
      </x:c>
      <x:c r="G287" s="18" t="str">
        <x:v>Partially meets expectations</x:v>
      </x:c>
      <x:c r="H287" s="18" t="str">
        <x:v>MGR005</x:v>
      </x:c>
      <x:c r="I287" s="20" t="n">
        <x:v>46105.5</x:v>
      </x:c>
    </x:row>
    <x:row r="288" ht="15" hidden="0" customHeight="1">
      <x:c r="A288" s="18" t="str">
        <x:v>CR00287</x:v>
      </x:c>
      <x:c r="B288" s="18" t="str">
        <x:v>REV0072</x:v>
      </x:c>
      <x:c r="C288" s="18" t="str">
        <x:v>EMP012</x:v>
      </x:c>
      <x:c r="D288" s="18" t="str">
        <x:v>CY2026Q1</x:v>
      </x:c>
      <x:c r="E288" s="18" t="str">
        <x:v>COMP_DOMAIN</x:v>
      </x:c>
      <x:c r="F288" s="18" t="n">
        <x:v>2</x:v>
      </x:c>
      <x:c r="G288" s="18" t="str">
        <x:v>Partially meets expectations</x:v>
      </x:c>
      <x:c r="H288" s="18" t="str">
        <x:v>MGR005</x:v>
      </x:c>
      <x:c r="I288" s="20" t="n">
        <x:v>46105.5</x:v>
      </x:c>
    </x:row>
    <x:row r="289" ht="15" hidden="0" customHeight="1">
      <x:c r="A289" s="18" t="str">
        <x:v>CR00288</x:v>
      </x:c>
      <x:c r="B289" s="18" t="str">
        <x:v>REV0072</x:v>
      </x:c>
      <x:c r="C289" s="18" t="str">
        <x:v>EMP012</x:v>
      </x:c>
      <x:c r="D289" s="18" t="str">
        <x:v>CY2026Q1</x:v>
      </x:c>
      <x:c r="E289" s="18" t="str">
        <x:v>COMP_CAREER</x:v>
      </x:c>
      <x:c r="F289" s="18" t="n">
        <x:v>2</x:v>
      </x:c>
      <x:c r="G289" s="18" t="str">
        <x:v>Partially meets expectations</x:v>
      </x:c>
      <x:c r="H289" s="18" t="str">
        <x:v>MGR005</x:v>
      </x:c>
      <x:c r="I289" s="20" t="n">
        <x:v>46105.5</x:v>
      </x:c>
    </x:row>
    <x:row r="290" ht="15" hidden="0" customHeight="1">
      <x:c r="A290" s="18" t="str">
        <x:v>CR00289</x:v>
      </x:c>
      <x:c r="B290" s="18" t="str">
        <x:v>REV0073</x:v>
      </x:c>
      <x:c r="C290" s="18" t="str">
        <x:v>EMP013</x:v>
      </x:c>
      <x:c r="D290" s="18" t="str">
        <x:v>CY2026Q1</x:v>
      </x:c>
      <x:c r="E290" s="18" t="str">
        <x:v>COMP_STRATEGY</x:v>
      </x:c>
      <x:c r="F290" s="18" t="n">
        <x:v>4</x:v>
      </x:c>
      <x:c r="G290" s="18" t="str">
        <x:v>Exceeds expectations</x:v>
      </x:c>
      <x:c r="H290" s="18" t="str">
        <x:v>MGR005</x:v>
      </x:c>
      <x:c r="I290" s="20" t="n">
        <x:v>46094.5</x:v>
      </x:c>
    </x:row>
    <x:row r="291" ht="15" hidden="0" customHeight="1">
      <x:c r="A291" s="18" t="str">
        <x:v>CR00290</x:v>
      </x:c>
      <x:c r="B291" s="18" t="str">
        <x:v>REV0073</x:v>
      </x:c>
      <x:c r="C291" s="18" t="str">
        <x:v>EMP013</x:v>
      </x:c>
      <x:c r="D291" s="18" t="str">
        <x:v>CY2026Q1</x:v>
      </x:c>
      <x:c r="E291" s="18" t="str">
        <x:v>COMP_COMM</x:v>
      </x:c>
      <x:c r="F291" s="18" t="n">
        <x:v>4</x:v>
      </x:c>
      <x:c r="G291" s="18" t="str">
        <x:v>Exceeds expectations</x:v>
      </x:c>
      <x:c r="H291" s="18" t="str">
        <x:v>MGR005</x:v>
      </x:c>
      <x:c r="I291" s="20" t="n">
        <x:v>46094.5</x:v>
      </x:c>
    </x:row>
    <x:row r="292" ht="15" hidden="0" customHeight="1">
      <x:c r="A292" s="18" t="str">
        <x:v>CR00291</x:v>
      </x:c>
      <x:c r="B292" s="18" t="str">
        <x:v>REV0073</x:v>
      </x:c>
      <x:c r="C292" s="18" t="str">
        <x:v>EMP013</x:v>
      </x:c>
      <x:c r="D292" s="18" t="str">
        <x:v>CY2026Q1</x:v>
      </x:c>
      <x:c r="E292" s="18" t="str">
        <x:v>COMP_DOMAIN</x:v>
      </x:c>
      <x:c r="F292" s="18" t="n">
        <x:v>4</x:v>
      </x:c>
      <x:c r="G292" s="18" t="str">
        <x:v>Exceeds expectations</x:v>
      </x:c>
      <x:c r="H292" s="18" t="str">
        <x:v>MGR005</x:v>
      </x:c>
      <x:c r="I292" s="20" t="n">
        <x:v>46094.5</x:v>
      </x:c>
    </x:row>
    <x:row r="293" ht="15" hidden="0" customHeight="1">
      <x:c r="A293" s="18" t="str">
        <x:v>CR00292</x:v>
      </x:c>
      <x:c r="B293" s="18" t="str">
        <x:v>REV0073</x:v>
      </x:c>
      <x:c r="C293" s="18" t="str">
        <x:v>EMP013</x:v>
      </x:c>
      <x:c r="D293" s="18" t="str">
        <x:v>CY2026Q1</x:v>
      </x:c>
      <x:c r="E293" s="18" t="str">
        <x:v>COMP_CAREER</x:v>
      </x:c>
      <x:c r="F293" s="18" t="n">
        <x:v>4</x:v>
      </x:c>
      <x:c r="G293" s="18" t="str">
        <x:v>Exceeds expectations</x:v>
      </x:c>
      <x:c r="H293" s="18" t="str">
        <x:v>MGR005</x:v>
      </x:c>
      <x:c r="I293" s="20" t="n">
        <x:v>46094.5</x:v>
      </x:c>
    </x:row>
    <x:row r="294" ht="15" hidden="0" customHeight="1">
      <x:c r="A294" s="18" t="str">
        <x:v>CR00293</x:v>
      </x:c>
      <x:c r="B294" s="18" t="str">
        <x:v>REV0074</x:v>
      </x:c>
      <x:c r="C294" s="18" t="str">
        <x:v>EMP014</x:v>
      </x:c>
      <x:c r="D294" s="18" t="str">
        <x:v>CY2026Q1</x:v>
      </x:c>
      <x:c r="E294" s="18" t="str">
        <x:v>COMP_STRATEGY</x:v>
      </x:c>
      <x:c r="F294" s="18" t="n">
        <x:v>4</x:v>
      </x:c>
      <x:c r="G294" s="18" t="str">
        <x:v>Exceeds expectations</x:v>
      </x:c>
      <x:c r="H294" s="18" t="str">
        <x:v>MGR006</x:v>
      </x:c>
      <x:c r="I294" s="20" t="n">
        <x:v>46095.5</x:v>
      </x:c>
    </x:row>
    <x:row r="295" ht="15" hidden="0" customHeight="1">
      <x:c r="A295" s="18" t="str">
        <x:v>CR00294</x:v>
      </x:c>
      <x:c r="B295" s="18" t="str">
        <x:v>REV0074</x:v>
      </x:c>
      <x:c r="C295" s="18" t="str">
        <x:v>EMP014</x:v>
      </x:c>
      <x:c r="D295" s="18" t="str">
        <x:v>CY2026Q1</x:v>
      </x:c>
      <x:c r="E295" s="18" t="str">
        <x:v>COMP_COMM</x:v>
      </x:c>
      <x:c r="F295" s="18" t="n">
        <x:v>4</x:v>
      </x:c>
      <x:c r="G295" s="18" t="str">
        <x:v>Exceeds expectations</x:v>
      </x:c>
      <x:c r="H295" s="18" t="str">
        <x:v>MGR006</x:v>
      </x:c>
      <x:c r="I295" s="20" t="n">
        <x:v>46095.5</x:v>
      </x:c>
    </x:row>
    <x:row r="296" ht="15" hidden="0" customHeight="1">
      <x:c r="A296" s="18" t="str">
        <x:v>CR00295</x:v>
      </x:c>
      <x:c r="B296" s="18" t="str">
        <x:v>REV0074</x:v>
      </x:c>
      <x:c r="C296" s="18" t="str">
        <x:v>EMP014</x:v>
      </x:c>
      <x:c r="D296" s="18" t="str">
        <x:v>CY2026Q1</x:v>
      </x:c>
      <x:c r="E296" s="18" t="str">
        <x:v>COMP_DOMAIN</x:v>
      </x:c>
      <x:c r="F296" s="18" t="n">
        <x:v>4</x:v>
      </x:c>
      <x:c r="G296" s="18" t="str">
        <x:v>Exceeds expectations</x:v>
      </x:c>
      <x:c r="H296" s="18" t="str">
        <x:v>MGR006</x:v>
      </x:c>
      <x:c r="I296" s="20" t="n">
        <x:v>46095.5</x:v>
      </x:c>
    </x:row>
    <x:row r="297" ht="15" hidden="0" customHeight="1">
      <x:c r="A297" s="18" t="str">
        <x:v>CR00296</x:v>
      </x:c>
      <x:c r="B297" s="18" t="str">
        <x:v>REV0074</x:v>
      </x:c>
      <x:c r="C297" s="18" t="str">
        <x:v>EMP014</x:v>
      </x:c>
      <x:c r="D297" s="18" t="str">
        <x:v>CY2026Q1</x:v>
      </x:c>
      <x:c r="E297" s="18" t="str">
        <x:v>COMP_CAREER</x:v>
      </x:c>
      <x:c r="F297" s="18" t="n">
        <x:v>5</x:v>
      </x:c>
      <x:c r="G297" s="18" t="str">
        <x:v>Significantly exceeds expectations</x:v>
      </x:c>
      <x:c r="H297" s="18" t="str">
        <x:v>MGR006</x:v>
      </x:c>
      <x:c r="I297" s="20" t="n">
        <x:v>46095.5</x:v>
      </x:c>
    </x:row>
    <x:row r="298" ht="15" hidden="0" customHeight="1">
      <x:c r="A298" s="18" t="str">
        <x:v>CR00297</x:v>
      </x:c>
      <x:c r="B298" s="18" t="str">
        <x:v>REV0075</x:v>
      </x:c>
      <x:c r="C298" s="18" t="str">
        <x:v>EMP015</x:v>
      </x:c>
      <x:c r="D298" s="18" t="str">
        <x:v>CY2026Q1</x:v>
      </x:c>
      <x:c r="E298" s="18" t="str">
        <x:v>COMP_STRATEGY</x:v>
      </x:c>
      <x:c r="F298" s="18" t="n">
        <x:v>1</x:v>
      </x:c>
      <x:c r="G298" s="18" t="str">
        <x:v>Improvement required</x:v>
      </x:c>
      <x:c r="H298" s="18" t="str">
        <x:v>MGR006</x:v>
      </x:c>
      <x:c r="I298" s="20" t="n">
        <x:v>46096.5</x:v>
      </x:c>
    </x:row>
    <x:row r="299" ht="15" hidden="0" customHeight="1">
      <x:c r="A299" s="18" t="str">
        <x:v>CR00298</x:v>
      </x:c>
      <x:c r="B299" s="18" t="str">
        <x:v>REV0075</x:v>
      </x:c>
      <x:c r="C299" s="18" t="str">
        <x:v>EMP015</x:v>
      </x:c>
      <x:c r="D299" s="18" t="str">
        <x:v>CY2026Q1</x:v>
      </x:c>
      <x:c r="E299" s="18" t="str">
        <x:v>COMP_COMM</x:v>
      </x:c>
      <x:c r="F299" s="18" t="n">
        <x:v>1</x:v>
      </x:c>
      <x:c r="G299" s="18" t="str">
        <x:v>Improvement required</x:v>
      </x:c>
      <x:c r="H299" s="18" t="str">
        <x:v>MGR006</x:v>
      </x:c>
      <x:c r="I299" s="20" t="n">
        <x:v>46096.5</x:v>
      </x:c>
    </x:row>
    <x:row r="300" ht="15" hidden="0" customHeight="1">
      <x:c r="A300" s="18" t="str">
        <x:v>CR00299</x:v>
      </x:c>
      <x:c r="B300" s="18" t="str">
        <x:v>REV0075</x:v>
      </x:c>
      <x:c r="C300" s="18" t="str">
        <x:v>EMP015</x:v>
      </x:c>
      <x:c r="D300" s="18" t="str">
        <x:v>CY2026Q1</x:v>
      </x:c>
      <x:c r="E300" s="18" t="str">
        <x:v>COMP_DOMAIN</x:v>
      </x:c>
      <x:c r="F300" s="18" t="n">
        <x:v>2</x:v>
      </x:c>
      <x:c r="G300" s="18" t="str">
        <x:v>Partially meets expectations</x:v>
      </x:c>
      <x:c r="H300" s="18" t="str">
        <x:v>MGR006</x:v>
      </x:c>
      <x:c r="I300" s="20" t="n">
        <x:v>46096.5</x:v>
      </x:c>
    </x:row>
    <x:row r="301" ht="15" hidden="0" customHeight="1">
      <x:c r="A301" s="18" t="str">
        <x:v>CR00300</x:v>
      </x:c>
      <x:c r="B301" s="18" t="str">
        <x:v>REV0075</x:v>
      </x:c>
      <x:c r="C301" s="18" t="str">
        <x:v>EMP015</x:v>
      </x:c>
      <x:c r="D301" s="18" t="str">
        <x:v>CY2026Q1</x:v>
      </x:c>
      <x:c r="E301" s="18" t="str">
        <x:v>COMP_CAREER</x:v>
      </x:c>
      <x:c r="F301" s="18" t="n">
        <x:v>1</x:v>
      </x:c>
      <x:c r="G301" s="18" t="str">
        <x:v>Improvement required</x:v>
      </x:c>
      <x:c r="H301" s="18" t="str">
        <x:v>MGR006</x:v>
      </x:c>
      <x:c r="I301" s="20" t="n">
        <x:v>46096.5</x:v>
      </x:c>
    </x:row>
    <x:row r="302" ht="15" hidden="0" customHeight="1">
      <x:c r="A302" s="18" t="str">
        <x:v>CR00301</x:v>
      </x:c>
      <x:c r="B302" s="18" t="str">
        <x:v>REV0076</x:v>
      </x:c>
      <x:c r="C302" s="18" t="str">
        <x:v>EMP001</x:v>
      </x:c>
      <x:c r="D302" s="18" t="str">
        <x:v>CY2026Q2</x:v>
      </x:c>
      <x:c r="E302" s="18" t="str">
        <x:v>COMP_STRATEGY</x:v>
      </x:c>
      <x:c r="F302" s="18" t="n">
        <x:v>5</x:v>
      </x:c>
      <x:c r="G302" s="18" t="str">
        <x:v>Significantly exceeds expectations</x:v>
      </x:c>
      <x:c r="H302" s="18" t="str">
        <x:v>MGR001</x:v>
      </x:c>
      <x:c r="I302" s="20" t="n">
        <x:v>46185.5</x:v>
      </x:c>
    </x:row>
    <x:row r="303" ht="15" hidden="0" customHeight="1">
      <x:c r="A303" s="18" t="str">
        <x:v>CR00302</x:v>
      </x:c>
      <x:c r="B303" s="18" t="str">
        <x:v>REV0076</x:v>
      </x:c>
      <x:c r="C303" s="18" t="str">
        <x:v>EMP001</x:v>
      </x:c>
      <x:c r="D303" s="18" t="str">
        <x:v>CY2026Q2</x:v>
      </x:c>
      <x:c r="E303" s="18" t="str">
        <x:v>COMP_COMM</x:v>
      </x:c>
      <x:c r="F303" s="18" t="n">
        <x:v>5</x:v>
      </x:c>
      <x:c r="G303" s="18" t="str">
        <x:v>Significantly exceeds expectations</x:v>
      </x:c>
      <x:c r="H303" s="18" t="str">
        <x:v>MGR001</x:v>
      </x:c>
      <x:c r="I303" s="20" t="n">
        <x:v>46185.5</x:v>
      </x:c>
    </x:row>
    <x:row r="304" ht="15" hidden="0" customHeight="1">
      <x:c r="A304" s="18" t="str">
        <x:v>CR00303</x:v>
      </x:c>
      <x:c r="B304" s="18" t="str">
        <x:v>REV0076</x:v>
      </x:c>
      <x:c r="C304" s="18" t="str">
        <x:v>EMP001</x:v>
      </x:c>
      <x:c r="D304" s="18" t="str">
        <x:v>CY2026Q2</x:v>
      </x:c>
      <x:c r="E304" s="18" t="str">
        <x:v>COMP_DOMAIN</x:v>
      </x:c>
      <x:c r="F304" s="18" t="n">
        <x:v>5</x:v>
      </x:c>
      <x:c r="G304" s="18" t="str">
        <x:v>Significantly exceeds expectations</x:v>
      </x:c>
      <x:c r="H304" s="18" t="str">
        <x:v>MGR001</x:v>
      </x:c>
      <x:c r="I304" s="20" t="n">
        <x:v>46185.5</x:v>
      </x:c>
    </x:row>
    <x:row r="305" ht="15" hidden="0" customHeight="1">
      <x:c r="A305" s="18" t="str">
        <x:v>CR00304</x:v>
      </x:c>
      <x:c r="B305" s="18" t="str">
        <x:v>REV0076</x:v>
      </x:c>
      <x:c r="C305" s="18" t="str">
        <x:v>EMP001</x:v>
      </x:c>
      <x:c r="D305" s="18" t="str">
        <x:v>CY2026Q2</x:v>
      </x:c>
      <x:c r="E305" s="18" t="str">
        <x:v>COMP_CAREER</x:v>
      </x:c>
      <x:c r="F305" s="18" t="n">
        <x:v>5</x:v>
      </x:c>
      <x:c r="G305" s="18" t="str">
        <x:v>Significantly exceeds expectations</x:v>
      </x:c>
      <x:c r="H305" s="18" t="str">
        <x:v>MGR001</x:v>
      </x:c>
      <x:c r="I305" s="20" t="n">
        <x:v>46185.5</x:v>
      </x:c>
    </x:row>
    <x:row r="306" ht="15" hidden="0" customHeight="1">
      <x:c r="A306" s="18" t="str">
        <x:v>CR00305</x:v>
      </x:c>
      <x:c r="B306" s="18" t="str">
        <x:v>REV0077</x:v>
      </x:c>
      <x:c r="C306" s="18" t="str">
        <x:v>EMP002</x:v>
      </x:c>
      <x:c r="D306" s="18" t="str">
        <x:v>CY2026Q2</x:v>
      </x:c>
      <x:c r="E306" s="18" t="str">
        <x:v>COMP_STRATEGY</x:v>
      </x:c>
      <x:c r="F306" s="18" t="n">
        <x:v>4</x:v>
      </x:c>
      <x:c r="G306" s="18" t="str">
        <x:v>Exceeds expectations</x:v>
      </x:c>
      <x:c r="H306" s="18" t="str">
        <x:v>MGR001</x:v>
      </x:c>
      <x:c r="I306" s="20" t="n">
        <x:v>46186.5</x:v>
      </x:c>
    </x:row>
    <x:row r="307" ht="15" hidden="0" customHeight="1">
      <x:c r="A307" s="18" t="str">
        <x:v>CR00306</x:v>
      </x:c>
      <x:c r="B307" s="18" t="str">
        <x:v>REV0077</x:v>
      </x:c>
      <x:c r="C307" s="18" t="str">
        <x:v>EMP002</x:v>
      </x:c>
      <x:c r="D307" s="18" t="str">
        <x:v>CY2026Q2</x:v>
      </x:c>
      <x:c r="E307" s="18" t="str">
        <x:v>COMP_COMM</x:v>
      </x:c>
      <x:c r="F307" s="18" t="n">
        <x:v>4</x:v>
      </x:c>
      <x:c r="G307" s="18" t="str">
        <x:v>Exceeds expectations</x:v>
      </x:c>
      <x:c r="H307" s="18" t="str">
        <x:v>MGR001</x:v>
      </x:c>
      <x:c r="I307" s="20" t="n">
        <x:v>46186.5</x:v>
      </x:c>
    </x:row>
    <x:row r="308" ht="15" hidden="0" customHeight="1">
      <x:c r="A308" s="18" t="str">
        <x:v>CR00307</x:v>
      </x:c>
      <x:c r="B308" s="18" t="str">
        <x:v>REV0077</x:v>
      </x:c>
      <x:c r="C308" s="18" t="str">
        <x:v>EMP002</x:v>
      </x:c>
      <x:c r="D308" s="18" t="str">
        <x:v>CY2026Q2</x:v>
      </x:c>
      <x:c r="E308" s="18" t="str">
        <x:v>COMP_DOMAIN</x:v>
      </x:c>
      <x:c r="F308" s="18" t="n">
        <x:v>4</x:v>
      </x:c>
      <x:c r="G308" s="18" t="str">
        <x:v>Exceeds expectations</x:v>
      </x:c>
      <x:c r="H308" s="18" t="str">
        <x:v>MGR001</x:v>
      </x:c>
      <x:c r="I308" s="20" t="n">
        <x:v>46186.5</x:v>
      </x:c>
    </x:row>
    <x:row r="309" ht="15" hidden="0" customHeight="1">
      <x:c r="A309" s="18" t="str">
        <x:v>CR00308</x:v>
      </x:c>
      <x:c r="B309" s="18" t="str">
        <x:v>REV0077</x:v>
      </x:c>
      <x:c r="C309" s="18" t="str">
        <x:v>EMP002</x:v>
      </x:c>
      <x:c r="D309" s="18" t="str">
        <x:v>CY2026Q2</x:v>
      </x:c>
      <x:c r="E309" s="18" t="str">
        <x:v>COMP_CAREER</x:v>
      </x:c>
      <x:c r="F309" s="18" t="n">
        <x:v>4</x:v>
      </x:c>
      <x:c r="G309" s="18" t="str">
        <x:v>Exceeds expectations</x:v>
      </x:c>
      <x:c r="H309" s="18" t="str">
        <x:v>MGR001</x:v>
      </x:c>
      <x:c r="I309" s="20" t="n">
        <x:v>46186.5</x:v>
      </x:c>
    </x:row>
    <x:row r="310" ht="15" hidden="0" customHeight="1">
      <x:c r="A310" s="18" t="str">
        <x:v>CR00309</x:v>
      </x:c>
      <x:c r="B310" s="18" t="str">
        <x:v>REV0078</x:v>
      </x:c>
      <x:c r="C310" s="18" t="str">
        <x:v>EMP003</x:v>
      </x:c>
      <x:c r="D310" s="18" t="str">
        <x:v>CY2026Q2</x:v>
      </x:c>
      <x:c r="E310" s="18" t="str">
        <x:v>COMP_STRATEGY</x:v>
      </x:c>
      <x:c r="F310" s="18" t="n">
        <x:v>3</x:v>
      </x:c>
      <x:c r="G310" s="18" t="str">
        <x:v>Meets expectations</x:v>
      </x:c>
      <x:c r="H310" s="18" t="str">
        <x:v>MGR001</x:v>
      </x:c>
      <x:c r="I310" s="20" t="n">
        <x:v>46187.5</x:v>
      </x:c>
    </x:row>
    <x:row r="311" ht="15" hidden="0" customHeight="1">
      <x:c r="A311" s="18" t="str">
        <x:v>CR00310</x:v>
      </x:c>
      <x:c r="B311" s="18" t="str">
        <x:v>REV0078</x:v>
      </x:c>
      <x:c r="C311" s="18" t="str">
        <x:v>EMP003</x:v>
      </x:c>
      <x:c r="D311" s="18" t="str">
        <x:v>CY2026Q2</x:v>
      </x:c>
      <x:c r="E311" s="18" t="str">
        <x:v>COMP_COMM</x:v>
      </x:c>
      <x:c r="F311" s="18" t="n">
        <x:v>3</x:v>
      </x:c>
      <x:c r="G311" s="18" t="str">
        <x:v>Meets expectations</x:v>
      </x:c>
      <x:c r="H311" s="18" t="str">
        <x:v>MGR001</x:v>
      </x:c>
      <x:c r="I311" s="20" t="n">
        <x:v>46187.5</x:v>
      </x:c>
    </x:row>
    <x:row r="312" ht="15" hidden="0" customHeight="1">
      <x:c r="A312" s="18" t="str">
        <x:v>CR00311</x:v>
      </x:c>
      <x:c r="B312" s="18" t="str">
        <x:v>REV0078</x:v>
      </x:c>
      <x:c r="C312" s="18" t="str">
        <x:v>EMP003</x:v>
      </x:c>
      <x:c r="D312" s="18" t="str">
        <x:v>CY2026Q2</x:v>
      </x:c>
      <x:c r="E312" s="18" t="str">
        <x:v>COMP_DOMAIN</x:v>
      </x:c>
      <x:c r="F312" s="18" t="n">
        <x:v>3</x:v>
      </x:c>
      <x:c r="G312" s="18" t="str">
        <x:v>Meets expectations</x:v>
      </x:c>
      <x:c r="H312" s="18" t="str">
        <x:v>MGR001</x:v>
      </x:c>
      <x:c r="I312" s="20" t="n">
        <x:v>46187.5</x:v>
      </x:c>
    </x:row>
    <x:row r="313" ht="15" hidden="0" customHeight="1">
      <x:c r="A313" s="18" t="str">
        <x:v>CR00312</x:v>
      </x:c>
      <x:c r="B313" s="18" t="str">
        <x:v>REV0078</x:v>
      </x:c>
      <x:c r="C313" s="18" t="str">
        <x:v>EMP003</x:v>
      </x:c>
      <x:c r="D313" s="18" t="str">
        <x:v>CY2026Q2</x:v>
      </x:c>
      <x:c r="E313" s="18" t="str">
        <x:v>COMP_CAREER</x:v>
      </x:c>
      <x:c r="F313" s="18" t="n">
        <x:v>4</x:v>
      </x:c>
      <x:c r="G313" s="18" t="str">
        <x:v>Exceeds expectations</x:v>
      </x:c>
      <x:c r="H313" s="18" t="str">
        <x:v>MGR001</x:v>
      </x:c>
      <x:c r="I313" s="20" t="n">
        <x:v>46187.5</x:v>
      </x:c>
    </x:row>
    <x:row r="314" ht="15" hidden="0" customHeight="1">
      <x:c r="A314" s="18" t="str">
        <x:v>CR00313</x:v>
      </x:c>
      <x:c r="B314" s="18" t="str">
        <x:v>REV0079</x:v>
      </x:c>
      <x:c r="C314" s="18" t="str">
        <x:v>EMP004</x:v>
      </x:c>
      <x:c r="D314" s="18" t="str">
        <x:v>CY2026Q2</x:v>
      </x:c>
      <x:c r="E314" s="18" t="str">
        <x:v>COMP_STRATEGY</x:v>
      </x:c>
      <x:c r="F314" s="18" t="n">
        <x:v>2</x:v>
      </x:c>
      <x:c r="G314" s="18" t="str">
        <x:v>Partially meets expectations</x:v>
      </x:c>
      <x:c r="H314" s="18" t="str">
        <x:v>MGR002</x:v>
      </x:c>
      <x:c r="I314" s="20" t="n">
        <x:v>46188.5</x:v>
      </x:c>
    </x:row>
    <x:row r="315" ht="15" hidden="0" customHeight="1">
      <x:c r="A315" s="18" t="str">
        <x:v>CR00314</x:v>
      </x:c>
      <x:c r="B315" s="18" t="str">
        <x:v>REV0079</x:v>
      </x:c>
      <x:c r="C315" s="18" t="str">
        <x:v>EMP004</x:v>
      </x:c>
      <x:c r="D315" s="18" t="str">
        <x:v>CY2026Q2</x:v>
      </x:c>
      <x:c r="E315" s="18" t="str">
        <x:v>COMP_COMM</x:v>
      </x:c>
      <x:c r="F315" s="18" t="n">
        <x:v>2</x:v>
      </x:c>
      <x:c r="G315" s="18" t="str">
        <x:v>Partially meets expectations</x:v>
      </x:c>
      <x:c r="H315" s="18" t="str">
        <x:v>MGR002</x:v>
      </x:c>
      <x:c r="I315" s="20" t="n">
        <x:v>46188.5</x:v>
      </x:c>
    </x:row>
    <x:row r="316" ht="15" hidden="0" customHeight="1">
      <x:c r="A316" s="18" t="str">
        <x:v>CR00315</x:v>
      </x:c>
      <x:c r="B316" s="18" t="str">
        <x:v>REV0079</x:v>
      </x:c>
      <x:c r="C316" s="18" t="str">
        <x:v>EMP004</x:v>
      </x:c>
      <x:c r="D316" s="18" t="str">
        <x:v>CY2026Q2</x:v>
      </x:c>
      <x:c r="E316" s="18" t="str">
        <x:v>COMP_DOMAIN</x:v>
      </x:c>
      <x:c r="F316" s="18" t="n">
        <x:v>2</x:v>
      </x:c>
      <x:c r="G316" s="18" t="str">
        <x:v>Partially meets expectations</x:v>
      </x:c>
      <x:c r="H316" s="18" t="str">
        <x:v>MGR002</x:v>
      </x:c>
      <x:c r="I316" s="20" t="n">
        <x:v>46188.5</x:v>
      </x:c>
    </x:row>
    <x:row r="317" ht="15" hidden="0" customHeight="1">
      <x:c r="A317" s="18" t="str">
        <x:v>CR00316</x:v>
      </x:c>
      <x:c r="B317" s="18" t="str">
        <x:v>REV0079</x:v>
      </x:c>
      <x:c r="C317" s="18" t="str">
        <x:v>EMP004</x:v>
      </x:c>
      <x:c r="D317" s="18" t="str">
        <x:v>CY2026Q2</x:v>
      </x:c>
      <x:c r="E317" s="18" t="str">
        <x:v>COMP_CAREER</x:v>
      </x:c>
      <x:c r="F317" s="18" t="n">
        <x:v>2</x:v>
      </x:c>
      <x:c r="G317" s="18" t="str">
        <x:v>Partially meets expectations</x:v>
      </x:c>
      <x:c r="H317" s="18" t="str">
        <x:v>MGR002</x:v>
      </x:c>
      <x:c r="I317" s="20" t="n">
        <x:v>46188.5</x:v>
      </x:c>
    </x:row>
    <x:row r="318" ht="15" hidden="0" customHeight="1">
      <x:c r="A318" s="18" t="str">
        <x:v>CR00317</x:v>
      </x:c>
      <x:c r="B318" s="18" t="str">
        <x:v>REV0080</x:v>
      </x:c>
      <x:c r="C318" s="18" t="str">
        <x:v>EMP005</x:v>
      </x:c>
      <x:c r="D318" s="18" t="str">
        <x:v>CY2026Q2</x:v>
      </x:c>
      <x:c r="E318" s="18" t="str">
        <x:v>COMP_STRATEGY</x:v>
      </x:c>
      <x:c r="F318" s="18" t="n">
        <x:v>4</x:v>
      </x:c>
      <x:c r="G318" s="18" t="str">
        <x:v>Exceeds expectations</x:v>
      </x:c>
      <x:c r="H318" s="18" t="str">
        <x:v>MGR002</x:v>
      </x:c>
      <x:c r="I318" s="20" t="n">
        <x:v>46189.5</x:v>
      </x:c>
    </x:row>
    <x:row r="319" ht="15" hidden="0" customHeight="1">
      <x:c r="A319" s="18" t="str">
        <x:v>CR00318</x:v>
      </x:c>
      <x:c r="B319" s="18" t="str">
        <x:v>REV0080</x:v>
      </x:c>
      <x:c r="C319" s="18" t="str">
        <x:v>EMP005</x:v>
      </x:c>
      <x:c r="D319" s="18" t="str">
        <x:v>CY2026Q2</x:v>
      </x:c>
      <x:c r="E319" s="18" t="str">
        <x:v>COMP_COMM</x:v>
      </x:c>
      <x:c r="F319" s="18" t="n">
        <x:v>3</x:v>
      </x:c>
      <x:c r="G319" s="18" t="str">
        <x:v>Meets expectations</x:v>
      </x:c>
      <x:c r="H319" s="18" t="str">
        <x:v>MGR002</x:v>
      </x:c>
      <x:c r="I319" s="20" t="n">
        <x:v>46189.5</x:v>
      </x:c>
    </x:row>
    <x:row r="320" ht="15" hidden="0" customHeight="1">
      <x:c r="A320" s="18" t="str">
        <x:v>CR00319</x:v>
      </x:c>
      <x:c r="B320" s="18" t="str">
        <x:v>REV0080</x:v>
      </x:c>
      <x:c r="C320" s="18" t="str">
        <x:v>EMP005</x:v>
      </x:c>
      <x:c r="D320" s="18" t="str">
        <x:v>CY2026Q2</x:v>
      </x:c>
      <x:c r="E320" s="18" t="str">
        <x:v>COMP_DOMAIN</x:v>
      </x:c>
      <x:c r="F320" s="18" t="n">
        <x:v>4</x:v>
      </x:c>
      <x:c r="G320" s="18" t="str">
        <x:v>Exceeds expectations</x:v>
      </x:c>
      <x:c r="H320" s="18" t="str">
        <x:v>MGR002</x:v>
      </x:c>
      <x:c r="I320" s="20" t="n">
        <x:v>46189.5</x:v>
      </x:c>
    </x:row>
    <x:row r="321" ht="15" hidden="0" customHeight="1">
      <x:c r="A321" s="18" t="str">
        <x:v>CR00320</x:v>
      </x:c>
      <x:c r="B321" s="18" t="str">
        <x:v>REV0080</x:v>
      </x:c>
      <x:c r="C321" s="18" t="str">
        <x:v>EMP005</x:v>
      </x:c>
      <x:c r="D321" s="18" t="str">
        <x:v>CY2026Q2</x:v>
      </x:c>
      <x:c r="E321" s="18" t="str">
        <x:v>COMP_CAREER</x:v>
      </x:c>
      <x:c r="F321" s="18" t="n">
        <x:v>4</x:v>
      </x:c>
      <x:c r="G321" s="18" t="str">
        <x:v>Exceeds expectations</x:v>
      </x:c>
      <x:c r="H321" s="18" t="str">
        <x:v>MGR002</x:v>
      </x:c>
      <x:c r="I321" s="20" t="n">
        <x:v>46189.5</x:v>
      </x:c>
    </x:row>
    <x:row r="322" ht="15" hidden="0" customHeight="1">
      <x:c r="A322" s="18" t="str">
        <x:v>CR00321</x:v>
      </x:c>
      <x:c r="B322" s="18" t="str">
        <x:v>REV0081</x:v>
      </x:c>
      <x:c r="C322" s="18" t="str">
        <x:v>EMP006</x:v>
      </x:c>
      <x:c r="D322" s="18" t="str">
        <x:v>CY2026Q2</x:v>
      </x:c>
      <x:c r="E322" s="18" t="str">
        <x:v>COMP_STRATEGY</x:v>
      </x:c>
      <x:c r="F322" s="18" t="n">
        <x:v>3</x:v>
      </x:c>
      <x:c r="G322" s="18" t="str">
        <x:v>Meets expectations</x:v>
      </x:c>
      <x:c r="H322" s="18" t="str">
        <x:v>MGR002</x:v>
      </x:c>
      <x:c r="I322" s="20" t="n">
        <x:v>46190.5</x:v>
      </x:c>
    </x:row>
    <x:row r="323" ht="15" hidden="0" customHeight="1">
      <x:c r="A323" s="18" t="str">
        <x:v>CR00322</x:v>
      </x:c>
      <x:c r="B323" s="18" t="str">
        <x:v>REV0081</x:v>
      </x:c>
      <x:c r="C323" s="18" t="str">
        <x:v>EMP006</x:v>
      </x:c>
      <x:c r="D323" s="18" t="str">
        <x:v>CY2026Q2</x:v>
      </x:c>
      <x:c r="E323" s="18" t="str">
        <x:v>COMP_COMM</x:v>
      </x:c>
      <x:c r="F323" s="18" t="n">
        <x:v>3</x:v>
      </x:c>
      <x:c r="G323" s="18" t="str">
        <x:v>Meets expectations</x:v>
      </x:c>
      <x:c r="H323" s="18" t="str">
        <x:v>MGR002</x:v>
      </x:c>
      <x:c r="I323" s="20" t="n">
        <x:v>46190.5</x:v>
      </x:c>
    </x:row>
    <x:row r="324" ht="15" hidden="0" customHeight="1">
      <x:c r="A324" s="18" t="str">
        <x:v>CR00323</x:v>
      </x:c>
      <x:c r="B324" s="18" t="str">
        <x:v>REV0081</x:v>
      </x:c>
      <x:c r="C324" s="18" t="str">
        <x:v>EMP006</x:v>
      </x:c>
      <x:c r="D324" s="18" t="str">
        <x:v>CY2026Q2</x:v>
      </x:c>
      <x:c r="E324" s="18" t="str">
        <x:v>COMP_DOMAIN</x:v>
      </x:c>
      <x:c r="F324" s="18" t="n">
        <x:v>3</x:v>
      </x:c>
      <x:c r="G324" s="18" t="str">
        <x:v>Meets expectations</x:v>
      </x:c>
      <x:c r="H324" s="18" t="str">
        <x:v>MGR002</x:v>
      </x:c>
      <x:c r="I324" s="20" t="n">
        <x:v>46190.5</x:v>
      </x:c>
    </x:row>
    <x:row r="325" ht="15" hidden="0" customHeight="1">
      <x:c r="A325" s="18" t="str">
        <x:v>CR00324</x:v>
      </x:c>
      <x:c r="B325" s="18" t="str">
        <x:v>REV0081</x:v>
      </x:c>
      <x:c r="C325" s="18" t="str">
        <x:v>EMP006</x:v>
      </x:c>
      <x:c r="D325" s="18" t="str">
        <x:v>CY2026Q2</x:v>
      </x:c>
      <x:c r="E325" s="18" t="str">
        <x:v>COMP_CAREER</x:v>
      </x:c>
      <x:c r="F325" s="18" t="n">
        <x:v>3</x:v>
      </x:c>
      <x:c r="G325" s="18" t="str">
        <x:v>Meets expectations</x:v>
      </x:c>
      <x:c r="H325" s="18" t="str">
        <x:v>MGR002</x:v>
      </x:c>
      <x:c r="I325" s="20" t="n">
        <x:v>46190.5</x:v>
      </x:c>
    </x:row>
    <x:row r="326" ht="15" hidden="0" customHeight="1">
      <x:c r="A326" s="18" t="str">
        <x:v>CR00325</x:v>
      </x:c>
      <x:c r="B326" s="18" t="str">
        <x:v>REV0082</x:v>
      </x:c>
      <x:c r="C326" s="18" t="str">
        <x:v>EMP007</x:v>
      </x:c>
      <x:c r="D326" s="18" t="str">
        <x:v>CY2026Q2</x:v>
      </x:c>
      <x:c r="E326" s="18" t="str">
        <x:v>COMP_STRATEGY</x:v>
      </x:c>
      <x:c r="F326" s="18" t="n">
        <x:v>3</x:v>
      </x:c>
      <x:c r="G326" s="18" t="str">
        <x:v>Meets expectations</x:v>
      </x:c>
      <x:c r="H326" s="18" t="str">
        <x:v>MGR003</x:v>
      </x:c>
      <x:c r="I326" s="20" t="n">
        <x:v>46191.5</x:v>
      </x:c>
    </x:row>
    <x:row r="327" ht="15" hidden="0" customHeight="1">
      <x:c r="A327" s="18" t="str">
        <x:v>CR00326</x:v>
      </x:c>
      <x:c r="B327" s="18" t="str">
        <x:v>REV0082</x:v>
      </x:c>
      <x:c r="C327" s="18" t="str">
        <x:v>EMP007</x:v>
      </x:c>
      <x:c r="D327" s="18" t="str">
        <x:v>CY2026Q2</x:v>
      </x:c>
      <x:c r="E327" s="18" t="str">
        <x:v>COMP_COMM</x:v>
      </x:c>
      <x:c r="F327" s="18" t="n">
        <x:v>3</x:v>
      </x:c>
      <x:c r="G327" s="18" t="str">
        <x:v>Meets expectations</x:v>
      </x:c>
      <x:c r="H327" s="18" t="str">
        <x:v>MGR003</x:v>
      </x:c>
      <x:c r="I327" s="20" t="n">
        <x:v>46191.5</x:v>
      </x:c>
    </x:row>
    <x:row r="328" ht="15" hidden="0" customHeight="1">
      <x:c r="A328" s="18" t="str">
        <x:v>CR00327</x:v>
      </x:c>
      <x:c r="B328" s="18" t="str">
        <x:v>REV0082</x:v>
      </x:c>
      <x:c r="C328" s="18" t="str">
        <x:v>EMP007</x:v>
      </x:c>
      <x:c r="D328" s="18" t="str">
        <x:v>CY2026Q2</x:v>
      </x:c>
      <x:c r="E328" s="18" t="str">
        <x:v>COMP_DOMAIN</x:v>
      </x:c>
      <x:c r="F328" s="18" t="n">
        <x:v>3</x:v>
      </x:c>
      <x:c r="G328" s="18" t="str">
        <x:v>Meets expectations</x:v>
      </x:c>
      <x:c r="H328" s="18" t="str">
        <x:v>MGR003</x:v>
      </x:c>
      <x:c r="I328" s="20" t="n">
        <x:v>46191.5</x:v>
      </x:c>
    </x:row>
    <x:row r="329" ht="15" hidden="0" customHeight="1">
      <x:c r="A329" s="18" t="str">
        <x:v>CR00328</x:v>
      </x:c>
      <x:c r="B329" s="18" t="str">
        <x:v>REV0082</x:v>
      </x:c>
      <x:c r="C329" s="18" t="str">
        <x:v>EMP007</x:v>
      </x:c>
      <x:c r="D329" s="18" t="str">
        <x:v>CY2026Q2</x:v>
      </x:c>
      <x:c r="E329" s="18" t="str">
        <x:v>COMP_CAREER</x:v>
      </x:c>
      <x:c r="F329" s="18" t="n">
        <x:v>3</x:v>
      </x:c>
      <x:c r="G329" s="18" t="str">
        <x:v>Meets expectations</x:v>
      </x:c>
      <x:c r="H329" s="18" t="str">
        <x:v>MGR003</x:v>
      </x:c>
      <x:c r="I329" s="20" t="n">
        <x:v>46191.5</x:v>
      </x:c>
    </x:row>
    <x:row r="330" ht="15" hidden="0" customHeight="1">
      <x:c r="A330" s="18" t="str">
        <x:v>CR00329</x:v>
      </x:c>
      <x:c r="B330" s="18" t="str">
        <x:v>REV0083</x:v>
      </x:c>
      <x:c r="C330" s="18" t="str">
        <x:v>EMP008</x:v>
      </x:c>
      <x:c r="D330" s="18" t="str">
        <x:v>CY2026Q2</x:v>
      </x:c>
      <x:c r="E330" s="18" t="str">
        <x:v>COMP_STRATEGY</x:v>
      </x:c>
      <x:c r="F330" s="18" t="n">
        <x:v>1</x:v>
      </x:c>
      <x:c r="G330" s="18" t="str">
        <x:v>Improvement required</x:v>
      </x:c>
      <x:c r="H330" s="18" t="str">
        <x:v>MGR003</x:v>
      </x:c>
      <x:c r="I330" s="20" t="n">
        <x:v>46192.5</x:v>
      </x:c>
    </x:row>
    <x:row r="331" ht="15" hidden="0" customHeight="1">
      <x:c r="A331" s="18" t="str">
        <x:v>CR00330</x:v>
      </x:c>
      <x:c r="B331" s="18" t="str">
        <x:v>REV0083</x:v>
      </x:c>
      <x:c r="C331" s="18" t="str">
        <x:v>EMP008</x:v>
      </x:c>
      <x:c r="D331" s="18" t="str">
        <x:v>CY2026Q2</x:v>
      </x:c>
      <x:c r="E331" s="18" t="str">
        <x:v>COMP_COMM</x:v>
      </x:c>
      <x:c r="F331" s="18" t="n">
        <x:v>1</x:v>
      </x:c>
      <x:c r="G331" s="18" t="str">
        <x:v>Improvement required</x:v>
      </x:c>
      <x:c r="H331" s="18" t="str">
        <x:v>MGR003</x:v>
      </x:c>
      <x:c r="I331" s="20" t="n">
        <x:v>46192.5</x:v>
      </x:c>
    </x:row>
    <x:row r="332" ht="15" hidden="0" customHeight="1">
      <x:c r="A332" s="18" t="str">
        <x:v>CR00331</x:v>
      </x:c>
      <x:c r="B332" s="18" t="str">
        <x:v>REV0083</x:v>
      </x:c>
      <x:c r="C332" s="18" t="str">
        <x:v>EMP008</x:v>
      </x:c>
      <x:c r="D332" s="18" t="str">
        <x:v>CY2026Q2</x:v>
      </x:c>
      <x:c r="E332" s="18" t="str">
        <x:v>COMP_DOMAIN</x:v>
      </x:c>
      <x:c r="F332" s="18" t="n">
        <x:v>2</x:v>
      </x:c>
      <x:c r="G332" s="18" t="str">
        <x:v>Partially meets expectations</x:v>
      </x:c>
      <x:c r="H332" s="18" t="str">
        <x:v>MGR003</x:v>
      </x:c>
      <x:c r="I332" s="20" t="n">
        <x:v>46192.5</x:v>
      </x:c>
    </x:row>
    <x:row r="333" ht="15" hidden="0" customHeight="1">
      <x:c r="A333" s="18" t="str">
        <x:v>CR00332</x:v>
      </x:c>
      <x:c r="B333" s="18" t="str">
        <x:v>REV0083</x:v>
      </x:c>
      <x:c r="C333" s="18" t="str">
        <x:v>EMP008</x:v>
      </x:c>
      <x:c r="D333" s="18" t="str">
        <x:v>CY2026Q2</x:v>
      </x:c>
      <x:c r="E333" s="18" t="str">
        <x:v>COMP_CAREER</x:v>
      </x:c>
      <x:c r="F333" s="18" t="n">
        <x:v>1</x:v>
      </x:c>
      <x:c r="G333" s="18" t="str">
        <x:v>Improvement required</x:v>
      </x:c>
      <x:c r="H333" s="18" t="str">
        <x:v>MGR003</x:v>
      </x:c>
      <x:c r="I333" s="20" t="n">
        <x:v>46192.5</x:v>
      </x:c>
    </x:row>
    <x:row r="334" ht="15" hidden="0" customHeight="1">
      <x:c r="A334" s="18" t="str">
        <x:v>CR00333</x:v>
      </x:c>
      <x:c r="B334" s="18" t="str">
        <x:v>REV0084</x:v>
      </x:c>
      <x:c r="C334" s="18" t="str">
        <x:v>EMP009</x:v>
      </x:c>
      <x:c r="D334" s="18" t="str">
        <x:v>CY2026Q2</x:v>
      </x:c>
      <x:c r="E334" s="18" t="str">
        <x:v>COMP_STRATEGY</x:v>
      </x:c>
      <x:c r="F334" s="18" t="n">
        <x:v>5</x:v>
      </x:c>
      <x:c r="G334" s="18" t="str">
        <x:v>Significantly exceeds expectations</x:v>
      </x:c>
      <x:c r="H334" s="18" t="str">
        <x:v>MGR004</x:v>
      </x:c>
      <x:c r="I334" s="20" t="n">
        <x:v>46193.5</x:v>
      </x:c>
    </x:row>
    <x:row r="335" ht="15" hidden="0" customHeight="1">
      <x:c r="A335" s="18" t="str">
        <x:v>CR00334</x:v>
      </x:c>
      <x:c r="B335" s="18" t="str">
        <x:v>REV0084</x:v>
      </x:c>
      <x:c r="C335" s="18" t="str">
        <x:v>EMP009</x:v>
      </x:c>
      <x:c r="D335" s="18" t="str">
        <x:v>CY2026Q2</x:v>
      </x:c>
      <x:c r="E335" s="18" t="str">
        <x:v>COMP_COMM</x:v>
      </x:c>
      <x:c r="F335" s="18" t="n">
        <x:v>5</x:v>
      </x:c>
      <x:c r="G335" s="18" t="str">
        <x:v>Significantly exceeds expectations</x:v>
      </x:c>
      <x:c r="H335" s="18" t="str">
        <x:v>MGR004</x:v>
      </x:c>
      <x:c r="I335" s="20" t="n">
        <x:v>46193.5</x:v>
      </x:c>
    </x:row>
    <x:row r="336" ht="15" hidden="0" customHeight="1">
      <x:c r="A336" s="18" t="str">
        <x:v>CR00335</x:v>
      </x:c>
      <x:c r="B336" s="18" t="str">
        <x:v>REV0084</x:v>
      </x:c>
      <x:c r="C336" s="18" t="str">
        <x:v>EMP009</x:v>
      </x:c>
      <x:c r="D336" s="18" t="str">
        <x:v>CY2026Q2</x:v>
      </x:c>
      <x:c r="E336" s="18" t="str">
        <x:v>COMP_DOMAIN</x:v>
      </x:c>
      <x:c r="F336" s="18" t="n">
        <x:v>5</x:v>
      </x:c>
      <x:c r="G336" s="18" t="str">
        <x:v>Significantly exceeds expectations</x:v>
      </x:c>
      <x:c r="H336" s="18" t="str">
        <x:v>MGR004</x:v>
      </x:c>
      <x:c r="I336" s="20" t="n">
        <x:v>46193.5</x:v>
      </x:c>
    </x:row>
    <x:row r="337" ht="15" hidden="0" customHeight="1">
      <x:c r="A337" s="18" t="str">
        <x:v>CR00336</x:v>
      </x:c>
      <x:c r="B337" s="18" t="str">
        <x:v>REV0084</x:v>
      </x:c>
      <x:c r="C337" s="18" t="str">
        <x:v>EMP009</x:v>
      </x:c>
      <x:c r="D337" s="18" t="str">
        <x:v>CY2026Q2</x:v>
      </x:c>
      <x:c r="E337" s="18" t="str">
        <x:v>COMP_CAREER</x:v>
      </x:c>
      <x:c r="F337" s="18" t="n">
        <x:v>5</x:v>
      </x:c>
      <x:c r="G337" s="18" t="str">
        <x:v>Significantly exceeds expectations</x:v>
      </x:c>
      <x:c r="H337" s="18" t="str">
        <x:v>MGR004</x:v>
      </x:c>
      <x:c r="I337" s="20" t="n">
        <x:v>46193.5</x:v>
      </x:c>
    </x:row>
    <x:row r="338" ht="15" hidden="0" customHeight="1">
      <x:c r="A338" s="18" t="str">
        <x:v>CR00337</x:v>
      </x:c>
      <x:c r="B338" s="18" t="str">
        <x:v>REV0085</x:v>
      </x:c>
      <x:c r="C338" s="18" t="str">
        <x:v>EMP010</x:v>
      </x:c>
      <x:c r="D338" s="18" t="str">
        <x:v>CY2026Q2</x:v>
      </x:c>
      <x:c r="E338" s="18" t="str">
        <x:v>COMP_STRATEGY</x:v>
      </x:c>
      <x:c r="F338" s="18" t="n">
        <x:v>4</x:v>
      </x:c>
      <x:c r="G338" s="18" t="str">
        <x:v>Exceeds expectations</x:v>
      </x:c>
      <x:c r="H338" s="18" t="str">
        <x:v>MGR004</x:v>
      </x:c>
      <x:c r="I338" s="20" t="n">
        <x:v>46194.5</x:v>
      </x:c>
    </x:row>
    <x:row r="339" ht="15" hidden="0" customHeight="1">
      <x:c r="A339" s="18" t="str">
        <x:v>CR00338</x:v>
      </x:c>
      <x:c r="B339" s="18" t="str">
        <x:v>REV0085</x:v>
      </x:c>
      <x:c r="C339" s="18" t="str">
        <x:v>EMP010</x:v>
      </x:c>
      <x:c r="D339" s="18" t="str">
        <x:v>CY2026Q2</x:v>
      </x:c>
      <x:c r="E339" s="18" t="str">
        <x:v>COMP_COMM</x:v>
      </x:c>
      <x:c r="F339" s="18" t="n">
        <x:v>3</x:v>
      </x:c>
      <x:c r="G339" s="18" t="str">
        <x:v>Meets expectations</x:v>
      </x:c>
      <x:c r="H339" s="18" t="str">
        <x:v>MGR004</x:v>
      </x:c>
      <x:c r="I339" s="20" t="n">
        <x:v>46194.5</x:v>
      </x:c>
    </x:row>
    <x:row r="340" ht="15" hidden="0" customHeight="1">
      <x:c r="A340" s="18" t="str">
        <x:v>CR00339</x:v>
      </x:c>
      <x:c r="B340" s="18" t="str">
        <x:v>REV0085</x:v>
      </x:c>
      <x:c r="C340" s="18" t="str">
        <x:v>EMP010</x:v>
      </x:c>
      <x:c r="D340" s="18" t="str">
        <x:v>CY2026Q2</x:v>
      </x:c>
      <x:c r="E340" s="18" t="str">
        <x:v>COMP_DOMAIN</x:v>
      </x:c>
      <x:c r="F340" s="18" t="n">
        <x:v>4</x:v>
      </x:c>
      <x:c r="G340" s="18" t="str">
        <x:v>Exceeds expectations</x:v>
      </x:c>
      <x:c r="H340" s="18" t="str">
        <x:v>MGR004</x:v>
      </x:c>
      <x:c r="I340" s="20" t="n">
        <x:v>46194.5</x:v>
      </x:c>
    </x:row>
    <x:row r="341" ht="15" hidden="0" customHeight="1">
      <x:c r="A341" s="18" t="str">
        <x:v>CR00340</x:v>
      </x:c>
      <x:c r="B341" s="18" t="str">
        <x:v>REV0085</x:v>
      </x:c>
      <x:c r="C341" s="18" t="str">
        <x:v>EMP010</x:v>
      </x:c>
      <x:c r="D341" s="18" t="str">
        <x:v>CY2026Q2</x:v>
      </x:c>
      <x:c r="E341" s="18" t="str">
        <x:v>COMP_CAREER</x:v>
      </x:c>
      <x:c r="F341" s="18" t="n">
        <x:v>4</x:v>
      </x:c>
      <x:c r="G341" s="18" t="str">
        <x:v>Exceeds expectations</x:v>
      </x:c>
      <x:c r="H341" s="18" t="str">
        <x:v>MGR004</x:v>
      </x:c>
      <x:c r="I341" s="20" t="n">
        <x:v>46194.5</x:v>
      </x:c>
    </x:row>
    <x:row r="342" ht="15" hidden="0" customHeight="1">
      <x:c r="A342" s="18" t="str">
        <x:v>CR00341</x:v>
      </x:c>
      <x:c r="B342" s="18" t="str">
        <x:v>REV0086</x:v>
      </x:c>
      <x:c r="C342" s="18" t="str">
        <x:v>EMP011</x:v>
      </x:c>
      <x:c r="D342" s="18" t="str">
        <x:v>CY2026Q2</x:v>
      </x:c>
      <x:c r="E342" s="18" t="str">
        <x:v>COMP_STRATEGY</x:v>
      </x:c>
      <x:c r="F342" s="18" t="n">
        <x:v>3</x:v>
      </x:c>
      <x:c r="G342" s="18" t="str">
        <x:v>Meets expectations</x:v>
      </x:c>
      <x:c r="H342" s="18" t="str">
        <x:v>MGR004</x:v>
      </x:c>
      <x:c r="I342" s="20" t="n">
        <x:v>46195.5</x:v>
      </x:c>
    </x:row>
    <x:row r="343" ht="15" hidden="0" customHeight="1">
      <x:c r="A343" s="18" t="str">
        <x:v>CR00342</x:v>
      </x:c>
      <x:c r="B343" s="18" t="str">
        <x:v>REV0086</x:v>
      </x:c>
      <x:c r="C343" s="18" t="str">
        <x:v>EMP011</x:v>
      </x:c>
      <x:c r="D343" s="18" t="str">
        <x:v>CY2026Q2</x:v>
      </x:c>
      <x:c r="E343" s="18" t="str">
        <x:v>COMP_COMM</x:v>
      </x:c>
      <x:c r="F343" s="18" t="n">
        <x:v>3</x:v>
      </x:c>
      <x:c r="G343" s="18" t="str">
        <x:v>Meets expectations</x:v>
      </x:c>
      <x:c r="H343" s="18" t="str">
        <x:v>MGR004</x:v>
      </x:c>
      <x:c r="I343" s="20" t="n">
        <x:v>46195.5</x:v>
      </x:c>
    </x:row>
    <x:row r="344" ht="15" hidden="0" customHeight="1">
      <x:c r="A344" s="18" t="str">
        <x:v>CR00343</x:v>
      </x:c>
      <x:c r="B344" s="18" t="str">
        <x:v>REV0086</x:v>
      </x:c>
      <x:c r="C344" s="18" t="str">
        <x:v>EMP011</x:v>
      </x:c>
      <x:c r="D344" s="18" t="str">
        <x:v>CY2026Q2</x:v>
      </x:c>
      <x:c r="E344" s="18" t="str">
        <x:v>COMP_DOMAIN</x:v>
      </x:c>
      <x:c r="F344" s="18" t="n">
        <x:v>3</x:v>
      </x:c>
      <x:c r="G344" s="18" t="str">
        <x:v>Meets expectations</x:v>
      </x:c>
      <x:c r="H344" s="18" t="str">
        <x:v>MGR004</x:v>
      </x:c>
      <x:c r="I344" s="20" t="n">
        <x:v>46195.5</x:v>
      </x:c>
    </x:row>
    <x:row r="345" ht="15" hidden="0" customHeight="1">
      <x:c r="A345" s="18" t="str">
        <x:v>CR00344</x:v>
      </x:c>
      <x:c r="B345" s="18" t="str">
        <x:v>REV0086</x:v>
      </x:c>
      <x:c r="C345" s="18" t="str">
        <x:v>EMP011</x:v>
      </x:c>
      <x:c r="D345" s="18" t="str">
        <x:v>CY2026Q2</x:v>
      </x:c>
      <x:c r="E345" s="18" t="str">
        <x:v>COMP_CAREER</x:v>
      </x:c>
      <x:c r="F345" s="18" t="n">
        <x:v>3</x:v>
      </x:c>
      <x:c r="G345" s="18" t="str">
        <x:v>Meets expectations</x:v>
      </x:c>
      <x:c r="H345" s="18" t="str">
        <x:v>MGR004</x:v>
      </x:c>
      <x:c r="I345" s="20" t="n">
        <x:v>46195.5</x:v>
      </x:c>
    </x:row>
    <x:row r="346" ht="15" hidden="0" customHeight="1">
      <x:c r="A346" s="18" t="str">
        <x:v>CR00345</x:v>
      </x:c>
      <x:c r="B346" s="18" t="str">
        <x:v>REV0087</x:v>
      </x:c>
      <x:c r="C346" s="18" t="str">
        <x:v>EMP012</x:v>
      </x:c>
      <x:c r="D346" s="18" t="str">
        <x:v>CY2026Q2</x:v>
      </x:c>
      <x:c r="E346" s="18" t="str">
        <x:v>COMP_STRATEGY</x:v>
      </x:c>
      <x:c r="F346" s="18" t="n">
        <x:v>2</x:v>
      </x:c>
      <x:c r="G346" s="18" t="str">
        <x:v>Partially meets expectations</x:v>
      </x:c>
      <x:c r="H346" s="18" t="str">
        <x:v>MGR005</x:v>
      </x:c>
      <x:c r="I346" s="20" t="n">
        <x:v>46196.5</x:v>
      </x:c>
    </x:row>
    <x:row r="347" ht="15" hidden="0" customHeight="1">
      <x:c r="A347" s="18" t="str">
        <x:v>CR00346</x:v>
      </x:c>
      <x:c r="B347" s="18" t="str">
        <x:v>REV0087</x:v>
      </x:c>
      <x:c r="C347" s="18" t="str">
        <x:v>EMP012</x:v>
      </x:c>
      <x:c r="D347" s="18" t="str">
        <x:v>CY2026Q2</x:v>
      </x:c>
      <x:c r="E347" s="18" t="str">
        <x:v>COMP_COMM</x:v>
      </x:c>
      <x:c r="F347" s="18" t="n">
        <x:v>2</x:v>
      </x:c>
      <x:c r="G347" s="18" t="str">
        <x:v>Partially meets expectations</x:v>
      </x:c>
      <x:c r="H347" s="18" t="str">
        <x:v>MGR005</x:v>
      </x:c>
      <x:c r="I347" s="20" t="n">
        <x:v>46196.5</x:v>
      </x:c>
    </x:row>
    <x:row r="348" ht="15" hidden="0" customHeight="1">
      <x:c r="A348" s="18" t="str">
        <x:v>CR00347</x:v>
      </x:c>
      <x:c r="B348" s="18" t="str">
        <x:v>REV0087</x:v>
      </x:c>
      <x:c r="C348" s="18" t="str">
        <x:v>EMP012</x:v>
      </x:c>
      <x:c r="D348" s="18" t="str">
        <x:v>CY2026Q2</x:v>
      </x:c>
      <x:c r="E348" s="18" t="str">
        <x:v>COMP_DOMAIN</x:v>
      </x:c>
      <x:c r="F348" s="18" t="n">
        <x:v>2</x:v>
      </x:c>
      <x:c r="G348" s="18" t="str">
        <x:v>Partially meets expectations</x:v>
      </x:c>
      <x:c r="H348" s="18" t="str">
        <x:v>MGR005</x:v>
      </x:c>
      <x:c r="I348" s="20" t="n">
        <x:v>46196.5</x:v>
      </x:c>
    </x:row>
    <x:row r="349" ht="15" hidden="0" customHeight="1">
      <x:c r="A349" s="18" t="str">
        <x:v>CR00348</x:v>
      </x:c>
      <x:c r="B349" s="18" t="str">
        <x:v>REV0087</x:v>
      </x:c>
      <x:c r="C349" s="18" t="str">
        <x:v>EMP012</x:v>
      </x:c>
      <x:c r="D349" s="18" t="str">
        <x:v>CY2026Q2</x:v>
      </x:c>
      <x:c r="E349" s="18" t="str">
        <x:v>COMP_CAREER</x:v>
      </x:c>
      <x:c r="F349" s="18" t="n">
        <x:v>2</x:v>
      </x:c>
      <x:c r="G349" s="18" t="str">
        <x:v>Partially meets expectations</x:v>
      </x:c>
      <x:c r="H349" s="18" t="str">
        <x:v>MGR005</x:v>
      </x:c>
      <x:c r="I349" s="20" t="n">
        <x:v>46196.5</x:v>
      </x:c>
    </x:row>
    <x:row r="350" ht="15" hidden="0" customHeight="1">
      <x:c r="A350" s="18" t="str">
        <x:v>CR00349</x:v>
      </x:c>
      <x:c r="B350" s="18" t="str">
        <x:v>REV0088</x:v>
      </x:c>
      <x:c r="C350" s="18" t="str">
        <x:v>EMP013</x:v>
      </x:c>
      <x:c r="D350" s="18" t="str">
        <x:v>CY2026Q2</x:v>
      </x:c>
      <x:c r="E350" s="18" t="str">
        <x:v>COMP_STRATEGY</x:v>
      </x:c>
      <x:c r="F350" s="18" t="n">
        <x:v>4</x:v>
      </x:c>
      <x:c r="G350" s="18" t="str">
        <x:v>Exceeds expectations</x:v>
      </x:c>
      <x:c r="H350" s="18" t="str">
        <x:v>MGR005</x:v>
      </x:c>
      <x:c r="I350" s="20" t="n">
        <x:v>46185.5</x:v>
      </x:c>
    </x:row>
    <x:row r="351" ht="15" hidden="0" customHeight="1">
      <x:c r="A351" s="18" t="str">
        <x:v>CR00350</x:v>
      </x:c>
      <x:c r="B351" s="18" t="str">
        <x:v>REV0088</x:v>
      </x:c>
      <x:c r="C351" s="18" t="str">
        <x:v>EMP013</x:v>
      </x:c>
      <x:c r="D351" s="18" t="str">
        <x:v>CY2026Q2</x:v>
      </x:c>
      <x:c r="E351" s="18" t="str">
        <x:v>COMP_COMM</x:v>
      </x:c>
      <x:c r="F351" s="18" t="n">
        <x:v>4</x:v>
      </x:c>
      <x:c r="G351" s="18" t="str">
        <x:v>Exceeds expectations</x:v>
      </x:c>
      <x:c r="H351" s="18" t="str">
        <x:v>MGR005</x:v>
      </x:c>
      <x:c r="I351" s="20" t="n">
        <x:v>46185.5</x:v>
      </x:c>
    </x:row>
    <x:row r="352" ht="15" hidden="0" customHeight="1">
      <x:c r="A352" s="18" t="str">
        <x:v>CR00351</x:v>
      </x:c>
      <x:c r="B352" s="18" t="str">
        <x:v>REV0088</x:v>
      </x:c>
      <x:c r="C352" s="18" t="str">
        <x:v>EMP013</x:v>
      </x:c>
      <x:c r="D352" s="18" t="str">
        <x:v>CY2026Q2</x:v>
      </x:c>
      <x:c r="E352" s="18" t="str">
        <x:v>COMP_DOMAIN</x:v>
      </x:c>
      <x:c r="F352" s="18" t="n">
        <x:v>4</x:v>
      </x:c>
      <x:c r="G352" s="18" t="str">
        <x:v>Exceeds expectations</x:v>
      </x:c>
      <x:c r="H352" s="18" t="str">
        <x:v>MGR005</x:v>
      </x:c>
      <x:c r="I352" s="20" t="n">
        <x:v>46185.5</x:v>
      </x:c>
    </x:row>
    <x:row r="353" ht="15" hidden="0" customHeight="1">
      <x:c r="A353" s="18" t="str">
        <x:v>CR00352</x:v>
      </x:c>
      <x:c r="B353" s="18" t="str">
        <x:v>REV0088</x:v>
      </x:c>
      <x:c r="C353" s="18" t="str">
        <x:v>EMP013</x:v>
      </x:c>
      <x:c r="D353" s="18" t="str">
        <x:v>CY2026Q2</x:v>
      </x:c>
      <x:c r="E353" s="18" t="str">
        <x:v>COMP_CAREER</x:v>
      </x:c>
      <x:c r="F353" s="18" t="n">
        <x:v>5</x:v>
      </x:c>
      <x:c r="G353" s="18" t="str">
        <x:v>Significantly exceeds expectations</x:v>
      </x:c>
      <x:c r="H353" s="18" t="str">
        <x:v>MGR005</x:v>
      </x:c>
      <x:c r="I353" s="20" t="n">
        <x:v>46185.5</x:v>
      </x:c>
    </x:row>
    <x:row r="354" ht="15" hidden="0" customHeight="1">
      <x:c r="A354" s="18" t="str">
        <x:v>CR00353</x:v>
      </x:c>
      <x:c r="B354" s="18" t="str">
        <x:v>REV0089</x:v>
      </x:c>
      <x:c r="C354" s="18" t="str">
        <x:v>EMP014</x:v>
      </x:c>
      <x:c r="D354" s="18" t="str">
        <x:v>CY2026Q2</x:v>
      </x:c>
      <x:c r="E354" s="18" t="str">
        <x:v>COMP_STRATEGY</x:v>
      </x:c>
      <x:c r="F354" s="18" t="n">
        <x:v>3</x:v>
      </x:c>
      <x:c r="G354" s="18" t="str">
        <x:v>Meets expectations</x:v>
      </x:c>
      <x:c r="H354" s="18" t="str">
        <x:v>MGR006</x:v>
      </x:c>
      <x:c r="I354" s="20" t="n">
        <x:v>46186.5</x:v>
      </x:c>
    </x:row>
    <x:row r="355" ht="15" hidden="0" customHeight="1">
      <x:c r="A355" s="18" t="str">
        <x:v>CR00354</x:v>
      </x:c>
      <x:c r="B355" s="18" t="str">
        <x:v>REV0089</x:v>
      </x:c>
      <x:c r="C355" s="18" t="str">
        <x:v>EMP014</x:v>
      </x:c>
      <x:c r="D355" s="18" t="str">
        <x:v>CY2026Q2</x:v>
      </x:c>
      <x:c r="E355" s="18" t="str">
        <x:v>COMP_COMM</x:v>
      </x:c>
      <x:c r="F355" s="18" t="n">
        <x:v>3</x:v>
      </x:c>
      <x:c r="G355" s="18" t="str">
        <x:v>Meets expectations</x:v>
      </x:c>
      <x:c r="H355" s="18" t="str">
        <x:v>MGR006</x:v>
      </x:c>
      <x:c r="I355" s="20" t="n">
        <x:v>46186.5</x:v>
      </x:c>
    </x:row>
    <x:row r="356" ht="15" hidden="0" customHeight="1">
      <x:c r="A356" s="18" t="str">
        <x:v>CR00355</x:v>
      </x:c>
      <x:c r="B356" s="18" t="str">
        <x:v>REV0089</x:v>
      </x:c>
      <x:c r="C356" s="18" t="str">
        <x:v>EMP014</x:v>
      </x:c>
      <x:c r="D356" s="18" t="str">
        <x:v>CY2026Q2</x:v>
      </x:c>
      <x:c r="E356" s="18" t="str">
        <x:v>COMP_DOMAIN</x:v>
      </x:c>
      <x:c r="F356" s="18" t="n">
        <x:v>3</x:v>
      </x:c>
      <x:c r="G356" s="18" t="str">
        <x:v>Meets expectations</x:v>
      </x:c>
      <x:c r="H356" s="18" t="str">
        <x:v>MGR006</x:v>
      </x:c>
      <x:c r="I356" s="20" t="n">
        <x:v>46186.5</x:v>
      </x:c>
    </x:row>
    <x:row r="357" ht="15" hidden="0" customHeight="1">
      <x:c r="A357" s="18" t="str">
        <x:v>CR00356</x:v>
      </x:c>
      <x:c r="B357" s="18" t="str">
        <x:v>REV0089</x:v>
      </x:c>
      <x:c r="C357" s="18" t="str">
        <x:v>EMP014</x:v>
      </x:c>
      <x:c r="D357" s="18" t="str">
        <x:v>CY2026Q2</x:v>
      </x:c>
      <x:c r="E357" s="18" t="str">
        <x:v>COMP_CAREER</x:v>
      </x:c>
      <x:c r="F357" s="18" t="n">
        <x:v>3</x:v>
      </x:c>
      <x:c r="G357" s="18" t="str">
        <x:v>Meets expectations</x:v>
      </x:c>
      <x:c r="H357" s="18" t="str">
        <x:v>MGR006</x:v>
      </x:c>
      <x:c r="I357" s="20" t="n">
        <x:v>46186.5</x:v>
      </x:c>
    </x:row>
    <x:row r="358" ht="15" hidden="0" customHeight="1">
      <x:c r="A358" s="18" t="str">
        <x:v>CR00357</x:v>
      </x:c>
      <x:c r="B358" s="18" t="str">
        <x:v>REV0090</x:v>
      </x:c>
      <x:c r="C358" s="18" t="str">
        <x:v>EMP015</x:v>
      </x:c>
      <x:c r="D358" s="18" t="str">
        <x:v>CY2026Q2</x:v>
      </x:c>
      <x:c r="E358" s="18" t="str">
        <x:v>COMP_STRATEGY</x:v>
      </x:c>
      <x:c r="F358" s="18" t="n">
        <x:v>1</x:v>
      </x:c>
      <x:c r="G358" s="18" t="str">
        <x:v>Improvement required</x:v>
      </x:c>
      <x:c r="H358" s="18" t="str">
        <x:v>MGR006</x:v>
      </x:c>
      <x:c r="I358" s="20" t="n">
        <x:v>46187.5</x:v>
      </x:c>
    </x:row>
    <x:row r="359" ht="15" hidden="0" customHeight="1">
      <x:c r="A359" s="18" t="str">
        <x:v>CR00358</x:v>
      </x:c>
      <x:c r="B359" s="18" t="str">
        <x:v>REV0090</x:v>
      </x:c>
      <x:c r="C359" s="18" t="str">
        <x:v>EMP015</x:v>
      </x:c>
      <x:c r="D359" s="18" t="str">
        <x:v>CY2026Q2</x:v>
      </x:c>
      <x:c r="E359" s="18" t="str">
        <x:v>COMP_COMM</x:v>
      </x:c>
      <x:c r="F359" s="18" t="n">
        <x:v>1</x:v>
      </x:c>
      <x:c r="G359" s="18" t="str">
        <x:v>Improvement required</x:v>
      </x:c>
      <x:c r="H359" s="18" t="str">
        <x:v>MGR006</x:v>
      </x:c>
      <x:c r="I359" s="20" t="n">
        <x:v>46187.5</x:v>
      </x:c>
    </x:row>
    <x:row r="360" ht="15" hidden="0" customHeight="1">
      <x:c r="A360" s="18" t="str">
        <x:v>CR00359</x:v>
      </x:c>
      <x:c r="B360" s="18" t="str">
        <x:v>REV0090</x:v>
      </x:c>
      <x:c r="C360" s="18" t="str">
        <x:v>EMP015</x:v>
      </x:c>
      <x:c r="D360" s="18" t="str">
        <x:v>CY2026Q2</x:v>
      </x:c>
      <x:c r="E360" s="18" t="str">
        <x:v>COMP_DOMAIN</x:v>
      </x:c>
      <x:c r="F360" s="18" t="n">
        <x:v>2</x:v>
      </x:c>
      <x:c r="G360" s="18" t="str">
        <x:v>Partially meets expectations</x:v>
      </x:c>
      <x:c r="H360" s="18" t="str">
        <x:v>MGR006</x:v>
      </x:c>
      <x:c r="I360" s="20" t="n">
        <x:v>46187.5</x:v>
      </x:c>
    </x:row>
    <x:row r="361" ht="15" hidden="0" customHeight="1">
      <x:c r="A361" s="18" t="str">
        <x:v>CR00360</x:v>
      </x:c>
      <x:c r="B361" s="18" t="str">
        <x:v>REV0090</x:v>
      </x:c>
      <x:c r="C361" s="18" t="str">
        <x:v>EMP015</x:v>
      </x:c>
      <x:c r="D361" s="18" t="str">
        <x:v>CY2026Q2</x:v>
      </x:c>
      <x:c r="E361" s="18" t="str">
        <x:v>COMP_CAREER</x:v>
      </x:c>
      <x:c r="F361" s="18" t="n">
        <x:v>1</x:v>
      </x:c>
      <x:c r="G361" s="18" t="str">
        <x:v>Improvement required</x:v>
      </x:c>
      <x:c r="H361" s="18" t="str">
        <x:v>MGR006</x:v>
      </x:c>
      <x:c r="I361" s="20" t="n">
        <x:v>46187.5</x:v>
      </x:c>
    </x:row>
    <x:row r="362" ht="15" hidden="0" customHeight="1">
      <x:c r="A362" s="18" t="str">
        <x:v>CR00361</x:v>
      </x:c>
      <x:c r="B362" s="18" t="str">
        <x:v>REV0091</x:v>
      </x:c>
      <x:c r="C362" s="18" t="str">
        <x:v>EMP001</x:v>
      </x:c>
      <x:c r="D362" s="18" t="str">
        <x:v>CY2026Q3</x:v>
      </x:c>
      <x:c r="E362" s="18" t="str">
        <x:v>COMP_STRATEGY</x:v>
      </x:c>
      <x:c r="F362" s="18" t="n">
        <x:v>5</x:v>
      </x:c>
      <x:c r="G362" s="18" t="str">
        <x:v>Significantly exceeds expectations</x:v>
      </x:c>
      <x:c r="H362" s="18" t="str">
        <x:v>MGR001</x:v>
      </x:c>
      <x:c r="I362" s="20" t="n">
        <x:v>46277.5</x:v>
      </x:c>
    </x:row>
    <x:row r="363" ht="15" hidden="0" customHeight="1">
      <x:c r="A363" s="18" t="str">
        <x:v>CR00362</x:v>
      </x:c>
      <x:c r="B363" s="18" t="str">
        <x:v>REV0091</x:v>
      </x:c>
      <x:c r="C363" s="18" t="str">
        <x:v>EMP001</x:v>
      </x:c>
      <x:c r="D363" s="18" t="str">
        <x:v>CY2026Q3</x:v>
      </x:c>
      <x:c r="E363" s="18" t="str">
        <x:v>COMP_COMM</x:v>
      </x:c>
      <x:c r="F363" s="18" t="n">
        <x:v>5</x:v>
      </x:c>
      <x:c r="G363" s="18" t="str">
        <x:v>Significantly exceeds expectations</x:v>
      </x:c>
      <x:c r="H363" s="18" t="str">
        <x:v>MGR001</x:v>
      </x:c>
      <x:c r="I363" s="20" t="n">
        <x:v>46277.5</x:v>
      </x:c>
    </x:row>
    <x:row r="364" ht="15" hidden="0" customHeight="1">
      <x:c r="A364" s="18" t="str">
        <x:v>CR00363</x:v>
      </x:c>
      <x:c r="B364" s="18" t="str">
        <x:v>REV0091</x:v>
      </x:c>
      <x:c r="C364" s="18" t="str">
        <x:v>EMP001</x:v>
      </x:c>
      <x:c r="D364" s="18" t="str">
        <x:v>CY2026Q3</x:v>
      </x:c>
      <x:c r="E364" s="18" t="str">
        <x:v>COMP_DOMAIN</x:v>
      </x:c>
      <x:c r="F364" s="18" t="n">
        <x:v>5</x:v>
      </x:c>
      <x:c r="G364" s="18" t="str">
        <x:v>Significantly exceeds expectations</x:v>
      </x:c>
      <x:c r="H364" s="18" t="str">
        <x:v>MGR001</x:v>
      </x:c>
      <x:c r="I364" s="20" t="n">
        <x:v>46277.5</x:v>
      </x:c>
    </x:row>
    <x:row r="365" ht="15" hidden="0" customHeight="1">
      <x:c r="A365" s="18" t="str">
        <x:v>CR00364</x:v>
      </x:c>
      <x:c r="B365" s="18" t="str">
        <x:v>REV0091</x:v>
      </x:c>
      <x:c r="C365" s="18" t="str">
        <x:v>EMP001</x:v>
      </x:c>
      <x:c r="D365" s="18" t="str">
        <x:v>CY2026Q3</x:v>
      </x:c>
      <x:c r="E365" s="18" t="str">
        <x:v>COMP_CAREER</x:v>
      </x:c>
      <x:c r="F365" s="18" t="n">
        <x:v>5</x:v>
      </x:c>
      <x:c r="G365" s="18" t="str">
        <x:v>Significantly exceeds expectations</x:v>
      </x:c>
      <x:c r="H365" s="18" t="str">
        <x:v>MGR001</x:v>
      </x:c>
      <x:c r="I365" s="20" t="n">
        <x:v>46277.5</x:v>
      </x:c>
    </x:row>
    <x:row r="366" ht="15" hidden="0" customHeight="1">
      <x:c r="A366" s="18" t="str">
        <x:v>CR00365</x:v>
      </x:c>
      <x:c r="B366" s="18" t="str">
        <x:v>REV0092</x:v>
      </x:c>
      <x:c r="C366" s="18" t="str">
        <x:v>EMP002</x:v>
      </x:c>
      <x:c r="D366" s="18" t="str">
        <x:v>CY2026Q3</x:v>
      </x:c>
      <x:c r="E366" s="18" t="str">
        <x:v>COMP_STRATEGY</x:v>
      </x:c>
      <x:c r="F366" s="18" t="n">
        <x:v>4</x:v>
      </x:c>
      <x:c r="G366" s="18" t="str">
        <x:v>Exceeds expectations</x:v>
      </x:c>
      <x:c r="H366" s="18" t="str">
        <x:v>MGR001</x:v>
      </x:c>
      <x:c r="I366" s="20" t="n">
        <x:v>46278.5</x:v>
      </x:c>
    </x:row>
    <x:row r="367" ht="15" hidden="0" customHeight="1">
      <x:c r="A367" s="18" t="str">
        <x:v>CR00366</x:v>
      </x:c>
      <x:c r="B367" s="18" t="str">
        <x:v>REV0092</x:v>
      </x:c>
      <x:c r="C367" s="18" t="str">
        <x:v>EMP002</x:v>
      </x:c>
      <x:c r="D367" s="18" t="str">
        <x:v>CY2026Q3</x:v>
      </x:c>
      <x:c r="E367" s="18" t="str">
        <x:v>COMP_COMM</x:v>
      </x:c>
      <x:c r="F367" s="18" t="n">
        <x:v>4</x:v>
      </x:c>
      <x:c r="G367" s="18" t="str">
        <x:v>Exceeds expectations</x:v>
      </x:c>
      <x:c r="H367" s="18" t="str">
        <x:v>MGR001</x:v>
      </x:c>
      <x:c r="I367" s="20" t="n">
        <x:v>46278.5</x:v>
      </x:c>
    </x:row>
    <x:row r="368" ht="15" hidden="0" customHeight="1">
      <x:c r="A368" s="18" t="str">
        <x:v>CR00367</x:v>
      </x:c>
      <x:c r="B368" s="18" t="str">
        <x:v>REV0092</x:v>
      </x:c>
      <x:c r="C368" s="18" t="str">
        <x:v>EMP002</x:v>
      </x:c>
      <x:c r="D368" s="18" t="str">
        <x:v>CY2026Q3</x:v>
      </x:c>
      <x:c r="E368" s="18" t="str">
        <x:v>COMP_DOMAIN</x:v>
      </x:c>
      <x:c r="F368" s="18" t="n">
        <x:v>4</x:v>
      </x:c>
      <x:c r="G368" s="18" t="str">
        <x:v>Exceeds expectations</x:v>
      </x:c>
      <x:c r="H368" s="18" t="str">
        <x:v>MGR001</x:v>
      </x:c>
      <x:c r="I368" s="20" t="n">
        <x:v>46278.5</x:v>
      </x:c>
    </x:row>
    <x:row r="369" ht="15" hidden="0" customHeight="1">
      <x:c r="A369" s="18" t="str">
        <x:v>CR00368</x:v>
      </x:c>
      <x:c r="B369" s="18" t="str">
        <x:v>REV0092</x:v>
      </x:c>
      <x:c r="C369" s="18" t="str">
        <x:v>EMP002</x:v>
      </x:c>
      <x:c r="D369" s="18" t="str">
        <x:v>CY2026Q3</x:v>
      </x:c>
      <x:c r="E369" s="18" t="str">
        <x:v>COMP_CAREER</x:v>
      </x:c>
      <x:c r="F369" s="18" t="n">
        <x:v>5</x:v>
      </x:c>
      <x:c r="G369" s="18" t="str">
        <x:v>Significantly exceeds expectations</x:v>
      </x:c>
      <x:c r="H369" s="18" t="str">
        <x:v>MGR001</x:v>
      </x:c>
      <x:c r="I369" s="20" t="n">
        <x:v>46278.5</x:v>
      </x:c>
    </x:row>
    <x:row r="370" ht="15" hidden="0" customHeight="1">
      <x:c r="A370" s="18" t="str">
        <x:v>CR00369</x:v>
      </x:c>
      <x:c r="B370" s="18" t="str">
        <x:v>REV0093</x:v>
      </x:c>
      <x:c r="C370" s="18" t="str">
        <x:v>EMP003</x:v>
      </x:c>
      <x:c r="D370" s="18" t="str">
        <x:v>CY2026Q3</x:v>
      </x:c>
      <x:c r="E370" s="18" t="str">
        <x:v>COMP_STRATEGY</x:v>
      </x:c>
      <x:c r="F370" s="18" t="n">
        <x:v>3</x:v>
      </x:c>
      <x:c r="G370" s="18" t="str">
        <x:v>Meets expectations</x:v>
      </x:c>
      <x:c r="H370" s="18" t="str">
        <x:v>MGR001</x:v>
      </x:c>
      <x:c r="I370" s="20" t="n">
        <x:v>46279.5</x:v>
      </x:c>
    </x:row>
    <x:row r="371" ht="15" hidden="0" customHeight="1">
      <x:c r="A371" s="18" t="str">
        <x:v>CR00370</x:v>
      </x:c>
      <x:c r="B371" s="18" t="str">
        <x:v>REV0093</x:v>
      </x:c>
      <x:c r="C371" s="18" t="str">
        <x:v>EMP003</x:v>
      </x:c>
      <x:c r="D371" s="18" t="str">
        <x:v>CY2026Q3</x:v>
      </x:c>
      <x:c r="E371" s="18" t="str">
        <x:v>COMP_COMM</x:v>
      </x:c>
      <x:c r="F371" s="18" t="n">
        <x:v>3</x:v>
      </x:c>
      <x:c r="G371" s="18" t="str">
        <x:v>Meets expectations</x:v>
      </x:c>
      <x:c r="H371" s="18" t="str">
        <x:v>MGR001</x:v>
      </x:c>
      <x:c r="I371" s="20" t="n">
        <x:v>46279.5</x:v>
      </x:c>
    </x:row>
    <x:row r="372" ht="15" hidden="0" customHeight="1">
      <x:c r="A372" s="18" t="str">
        <x:v>CR00371</x:v>
      </x:c>
      <x:c r="B372" s="18" t="str">
        <x:v>REV0093</x:v>
      </x:c>
      <x:c r="C372" s="18" t="str">
        <x:v>EMP003</x:v>
      </x:c>
      <x:c r="D372" s="18" t="str">
        <x:v>CY2026Q3</x:v>
      </x:c>
      <x:c r="E372" s="18" t="str">
        <x:v>COMP_DOMAIN</x:v>
      </x:c>
      <x:c r="F372" s="18" t="n">
        <x:v>3</x:v>
      </x:c>
      <x:c r="G372" s="18" t="str">
        <x:v>Meets expectations</x:v>
      </x:c>
      <x:c r="H372" s="18" t="str">
        <x:v>MGR001</x:v>
      </x:c>
      <x:c r="I372" s="20" t="n">
        <x:v>46279.5</x:v>
      </x:c>
    </x:row>
    <x:row r="373" ht="15" hidden="0" customHeight="1">
      <x:c r="A373" s="18" t="str">
        <x:v>CR00372</x:v>
      </x:c>
      <x:c r="B373" s="18" t="str">
        <x:v>REV0093</x:v>
      </x:c>
      <x:c r="C373" s="18" t="str">
        <x:v>EMP003</x:v>
      </x:c>
      <x:c r="D373" s="18" t="str">
        <x:v>CY2026Q3</x:v>
      </x:c>
      <x:c r="E373" s="18" t="str">
        <x:v>COMP_CAREER</x:v>
      </x:c>
      <x:c r="F373" s="18" t="n">
        <x:v>3</x:v>
      </x:c>
      <x:c r="G373" s="18" t="str">
        <x:v>Meets expectations</x:v>
      </x:c>
      <x:c r="H373" s="18" t="str">
        <x:v>MGR001</x:v>
      </x:c>
      <x:c r="I373" s="20" t="n">
        <x:v>46279.5</x:v>
      </x:c>
    </x:row>
    <x:row r="374" ht="15" hidden="0" customHeight="1">
      <x:c r="A374" s="18" t="str">
        <x:v>CR00373</x:v>
      </x:c>
      <x:c r="B374" s="18" t="str">
        <x:v>REV0094</x:v>
      </x:c>
      <x:c r="C374" s="18" t="str">
        <x:v>EMP004</x:v>
      </x:c>
      <x:c r="D374" s="18" t="str">
        <x:v>CY2026Q3</x:v>
      </x:c>
      <x:c r="E374" s="18" t="str">
        <x:v>COMP_STRATEGY</x:v>
      </x:c>
      <x:c r="F374" s="18" t="n">
        <x:v>2</x:v>
      </x:c>
      <x:c r="G374" s="18" t="str">
        <x:v>Partially meets expectations</x:v>
      </x:c>
      <x:c r="H374" s="18" t="str">
        <x:v>MGR002</x:v>
      </x:c>
      <x:c r="I374" s="20" t="n">
        <x:v>46280.5</x:v>
      </x:c>
    </x:row>
    <x:row r="375" ht="15" hidden="0" customHeight="1">
      <x:c r="A375" s="18" t="str">
        <x:v>CR00374</x:v>
      </x:c>
      <x:c r="B375" s="18" t="str">
        <x:v>REV0094</x:v>
      </x:c>
      <x:c r="C375" s="18" t="str">
        <x:v>EMP004</x:v>
      </x:c>
      <x:c r="D375" s="18" t="str">
        <x:v>CY2026Q3</x:v>
      </x:c>
      <x:c r="E375" s="18" t="str">
        <x:v>COMP_COMM</x:v>
      </x:c>
      <x:c r="F375" s="18" t="n">
        <x:v>1</x:v>
      </x:c>
      <x:c r="G375" s="18" t="str">
        <x:v>Improvement required</x:v>
      </x:c>
      <x:c r="H375" s="18" t="str">
        <x:v>MGR002</x:v>
      </x:c>
      <x:c r="I375" s="20" t="n">
        <x:v>46280.5</x:v>
      </x:c>
    </x:row>
    <x:row r="376" ht="15" hidden="0" customHeight="1">
      <x:c r="A376" s="18" t="str">
        <x:v>CR00375</x:v>
      </x:c>
      <x:c r="B376" s="18" t="str">
        <x:v>REV0094</x:v>
      </x:c>
      <x:c r="C376" s="18" t="str">
        <x:v>EMP004</x:v>
      </x:c>
      <x:c r="D376" s="18" t="str">
        <x:v>CY2026Q3</x:v>
      </x:c>
      <x:c r="E376" s="18" t="str">
        <x:v>COMP_DOMAIN</x:v>
      </x:c>
      <x:c r="F376" s="18" t="n">
        <x:v>2</x:v>
      </x:c>
      <x:c r="G376" s="18" t="str">
        <x:v>Partially meets expectations</x:v>
      </x:c>
      <x:c r="H376" s="18" t="str">
        <x:v>MGR002</x:v>
      </x:c>
      <x:c r="I376" s="20" t="n">
        <x:v>46280.5</x:v>
      </x:c>
    </x:row>
    <x:row r="377" ht="15" hidden="0" customHeight="1">
      <x:c r="A377" s="18" t="str">
        <x:v>CR00376</x:v>
      </x:c>
      <x:c r="B377" s="18" t="str">
        <x:v>REV0094</x:v>
      </x:c>
      <x:c r="C377" s="18" t="str">
        <x:v>EMP004</x:v>
      </x:c>
      <x:c r="D377" s="18" t="str">
        <x:v>CY2026Q3</x:v>
      </x:c>
      <x:c r="E377" s="18" t="str">
        <x:v>COMP_CAREER</x:v>
      </x:c>
      <x:c r="F377" s="18" t="n">
        <x:v>2</x:v>
      </x:c>
      <x:c r="G377" s="18" t="str">
        <x:v>Partially meets expectations</x:v>
      </x:c>
      <x:c r="H377" s="18" t="str">
        <x:v>MGR002</x:v>
      </x:c>
      <x:c r="I377" s="20" t="n">
        <x:v>46280.5</x:v>
      </x:c>
    </x:row>
    <x:row r="378" ht="15" hidden="0" customHeight="1">
      <x:c r="A378" s="18" t="str">
        <x:v>CR00377</x:v>
      </x:c>
      <x:c r="B378" s="18" t="str">
        <x:v>REV0095</x:v>
      </x:c>
      <x:c r="C378" s="18" t="str">
        <x:v>EMP005</x:v>
      </x:c>
      <x:c r="D378" s="18" t="str">
        <x:v>CY2026Q3</x:v>
      </x:c>
      <x:c r="E378" s="18" t="str">
        <x:v>COMP_STRATEGY</x:v>
      </x:c>
      <x:c r="F378" s="18" t="n">
        <x:v>4</x:v>
      </x:c>
      <x:c r="G378" s="18" t="str">
        <x:v>Exceeds expectations</x:v>
      </x:c>
      <x:c r="H378" s="18" t="str">
        <x:v>MGR002</x:v>
      </x:c>
      <x:c r="I378" s="20" t="n">
        <x:v>46281.5</x:v>
      </x:c>
    </x:row>
    <x:row r="379" ht="15" hidden="0" customHeight="1">
      <x:c r="A379" s="18" t="str">
        <x:v>CR00378</x:v>
      </x:c>
      <x:c r="B379" s="18" t="str">
        <x:v>REV0095</x:v>
      </x:c>
      <x:c r="C379" s="18" t="str">
        <x:v>EMP005</x:v>
      </x:c>
      <x:c r="D379" s="18" t="str">
        <x:v>CY2026Q3</x:v>
      </x:c>
      <x:c r="E379" s="18" t="str">
        <x:v>COMP_COMM</x:v>
      </x:c>
      <x:c r="F379" s="18" t="n">
        <x:v>4</x:v>
      </x:c>
      <x:c r="G379" s="18" t="str">
        <x:v>Exceeds expectations</x:v>
      </x:c>
      <x:c r="H379" s="18" t="str">
        <x:v>MGR002</x:v>
      </x:c>
      <x:c r="I379" s="20" t="n">
        <x:v>46281.5</x:v>
      </x:c>
    </x:row>
    <x:row r="380" ht="15" hidden="0" customHeight="1">
      <x:c r="A380" s="18" t="str">
        <x:v>CR00379</x:v>
      </x:c>
      <x:c r="B380" s="18" t="str">
        <x:v>REV0095</x:v>
      </x:c>
      <x:c r="C380" s="18" t="str">
        <x:v>EMP005</x:v>
      </x:c>
      <x:c r="D380" s="18" t="str">
        <x:v>CY2026Q3</x:v>
      </x:c>
      <x:c r="E380" s="18" t="str">
        <x:v>COMP_DOMAIN</x:v>
      </x:c>
      <x:c r="F380" s="18" t="n">
        <x:v>4</x:v>
      </x:c>
      <x:c r="G380" s="18" t="str">
        <x:v>Exceeds expectations</x:v>
      </x:c>
      <x:c r="H380" s="18" t="str">
        <x:v>MGR002</x:v>
      </x:c>
      <x:c r="I380" s="20" t="n">
        <x:v>46281.5</x:v>
      </x:c>
    </x:row>
    <x:row r="381" ht="15" hidden="0" customHeight="1">
      <x:c r="A381" s="18" t="str">
        <x:v>CR00380</x:v>
      </x:c>
      <x:c r="B381" s="18" t="str">
        <x:v>REV0095</x:v>
      </x:c>
      <x:c r="C381" s="18" t="str">
        <x:v>EMP005</x:v>
      </x:c>
      <x:c r="D381" s="18" t="str">
        <x:v>CY2026Q3</x:v>
      </x:c>
      <x:c r="E381" s="18" t="str">
        <x:v>COMP_CAREER</x:v>
      </x:c>
      <x:c r="F381" s="18" t="n">
        <x:v>4</x:v>
      </x:c>
      <x:c r="G381" s="18" t="str">
        <x:v>Exceeds expectations</x:v>
      </x:c>
      <x:c r="H381" s="18" t="str">
        <x:v>MGR002</x:v>
      </x:c>
      <x:c r="I381" s="20" t="n">
        <x:v>46281.5</x:v>
      </x:c>
    </x:row>
    <x:row r="382" ht="15" hidden="0" customHeight="1">
      <x:c r="A382" s="18" t="str">
        <x:v>CR00381</x:v>
      </x:c>
      <x:c r="B382" s="18" t="str">
        <x:v>REV0096</x:v>
      </x:c>
      <x:c r="C382" s="18" t="str">
        <x:v>EMP006</x:v>
      </x:c>
      <x:c r="D382" s="18" t="str">
        <x:v>CY2026Q3</x:v>
      </x:c>
      <x:c r="E382" s="18" t="str">
        <x:v>COMP_STRATEGY</x:v>
      </x:c>
      <x:c r="F382" s="18" t="n">
        <x:v>4</x:v>
      </x:c>
      <x:c r="G382" s="18" t="str">
        <x:v>Exceeds expectations</x:v>
      </x:c>
      <x:c r="H382" s="18" t="str">
        <x:v>MGR002</x:v>
      </x:c>
      <x:c r="I382" s="20" t="n">
        <x:v>46282.5</x:v>
      </x:c>
    </x:row>
    <x:row r="383" ht="15" hidden="0" customHeight="1">
      <x:c r="A383" s="18" t="str">
        <x:v>CR00382</x:v>
      </x:c>
      <x:c r="B383" s="18" t="str">
        <x:v>REV0096</x:v>
      </x:c>
      <x:c r="C383" s="18" t="str">
        <x:v>EMP006</x:v>
      </x:c>
      <x:c r="D383" s="18" t="str">
        <x:v>CY2026Q3</x:v>
      </x:c>
      <x:c r="E383" s="18" t="str">
        <x:v>COMP_COMM</x:v>
      </x:c>
      <x:c r="F383" s="18" t="n">
        <x:v>4</x:v>
      </x:c>
      <x:c r="G383" s="18" t="str">
        <x:v>Exceeds expectations</x:v>
      </x:c>
      <x:c r="H383" s="18" t="str">
        <x:v>MGR002</x:v>
      </x:c>
      <x:c r="I383" s="20" t="n">
        <x:v>46282.5</x:v>
      </x:c>
    </x:row>
    <x:row r="384" ht="15" hidden="0" customHeight="1">
      <x:c r="A384" s="18" t="str">
        <x:v>CR00383</x:v>
      </x:c>
      <x:c r="B384" s="18" t="str">
        <x:v>REV0096</x:v>
      </x:c>
      <x:c r="C384" s="18" t="str">
        <x:v>EMP006</x:v>
      </x:c>
      <x:c r="D384" s="18" t="str">
        <x:v>CY2026Q3</x:v>
      </x:c>
      <x:c r="E384" s="18" t="str">
        <x:v>COMP_DOMAIN</x:v>
      </x:c>
      <x:c r="F384" s="18" t="n">
        <x:v>4</x:v>
      </x:c>
      <x:c r="G384" s="18" t="str">
        <x:v>Exceeds expectations</x:v>
      </x:c>
      <x:c r="H384" s="18" t="str">
        <x:v>MGR002</x:v>
      </x:c>
      <x:c r="I384" s="20" t="n">
        <x:v>46282.5</x:v>
      </x:c>
    </x:row>
    <x:row r="385" ht="15" hidden="0" customHeight="1">
      <x:c r="A385" s="18" t="str">
        <x:v>CR00384</x:v>
      </x:c>
      <x:c r="B385" s="18" t="str">
        <x:v>REV0096</x:v>
      </x:c>
      <x:c r="C385" s="18" t="str">
        <x:v>EMP006</x:v>
      </x:c>
      <x:c r="D385" s="18" t="str">
        <x:v>CY2026Q3</x:v>
      </x:c>
      <x:c r="E385" s="18" t="str">
        <x:v>COMP_CAREER</x:v>
      </x:c>
      <x:c r="F385" s="18" t="n">
        <x:v>4</x:v>
      </x:c>
      <x:c r="G385" s="18" t="str">
        <x:v>Exceeds expectations</x:v>
      </x:c>
      <x:c r="H385" s="18" t="str">
        <x:v>MGR002</x:v>
      </x:c>
      <x:c r="I385" s="20" t="n">
        <x:v>46282.5</x:v>
      </x:c>
    </x:row>
    <x:row r="386" ht="15" hidden="0" customHeight="1">
      <x:c r="A386" s="18" t="str">
        <x:v>CR00385</x:v>
      </x:c>
      <x:c r="B386" s="18" t="str">
        <x:v>REV0097</x:v>
      </x:c>
      <x:c r="C386" s="18" t="str">
        <x:v>EMP007</x:v>
      </x:c>
      <x:c r="D386" s="18" t="str">
        <x:v>CY2026Q3</x:v>
      </x:c>
      <x:c r="E386" s="18" t="str">
        <x:v>COMP_STRATEGY</x:v>
      </x:c>
      <x:c r="F386" s="18" t="n">
        <x:v>2</x:v>
      </x:c>
      <x:c r="G386" s="18" t="str">
        <x:v>Partially meets expectations</x:v>
      </x:c>
      <x:c r="H386" s="18" t="str">
        <x:v>MGR003</x:v>
      </x:c>
      <x:c r="I386" s="20" t="n">
        <x:v>46283.5</x:v>
      </x:c>
    </x:row>
    <x:row r="387" ht="15" hidden="0" customHeight="1">
      <x:c r="A387" s="18" t="str">
        <x:v>CR00386</x:v>
      </x:c>
      <x:c r="B387" s="18" t="str">
        <x:v>REV0097</x:v>
      </x:c>
      <x:c r="C387" s="18" t="str">
        <x:v>EMP007</x:v>
      </x:c>
      <x:c r="D387" s="18" t="str">
        <x:v>CY2026Q3</x:v>
      </x:c>
      <x:c r="E387" s="18" t="str">
        <x:v>COMP_COMM</x:v>
      </x:c>
      <x:c r="F387" s="18" t="n">
        <x:v>2</x:v>
      </x:c>
      <x:c r="G387" s="18" t="str">
        <x:v>Partially meets expectations</x:v>
      </x:c>
      <x:c r="H387" s="18" t="str">
        <x:v>MGR003</x:v>
      </x:c>
      <x:c r="I387" s="20" t="n">
        <x:v>46283.5</x:v>
      </x:c>
    </x:row>
    <x:row r="388" ht="15" hidden="0" customHeight="1">
      <x:c r="A388" s="18" t="str">
        <x:v>CR00387</x:v>
      </x:c>
      <x:c r="B388" s="18" t="str">
        <x:v>REV0097</x:v>
      </x:c>
      <x:c r="C388" s="18" t="str">
        <x:v>EMP007</x:v>
      </x:c>
      <x:c r="D388" s="18" t="str">
        <x:v>CY2026Q3</x:v>
      </x:c>
      <x:c r="E388" s="18" t="str">
        <x:v>COMP_DOMAIN</x:v>
      </x:c>
      <x:c r="F388" s="18" t="n">
        <x:v>2</x:v>
      </x:c>
      <x:c r="G388" s="18" t="str">
        <x:v>Partially meets expectations</x:v>
      </x:c>
      <x:c r="H388" s="18" t="str">
        <x:v>MGR003</x:v>
      </x:c>
      <x:c r="I388" s="20" t="n">
        <x:v>46283.5</x:v>
      </x:c>
    </x:row>
    <x:row r="389" ht="15" hidden="0" customHeight="1">
      <x:c r="A389" s="18" t="str">
        <x:v>CR00388</x:v>
      </x:c>
      <x:c r="B389" s="18" t="str">
        <x:v>REV0097</x:v>
      </x:c>
      <x:c r="C389" s="18" t="str">
        <x:v>EMP007</x:v>
      </x:c>
      <x:c r="D389" s="18" t="str">
        <x:v>CY2026Q3</x:v>
      </x:c>
      <x:c r="E389" s="18" t="str">
        <x:v>COMP_CAREER</x:v>
      </x:c>
      <x:c r="F389" s="18" t="n">
        <x:v>3</x:v>
      </x:c>
      <x:c r="G389" s="18" t="str">
        <x:v>Meets expectations</x:v>
      </x:c>
      <x:c r="H389" s="18" t="str">
        <x:v>MGR003</x:v>
      </x:c>
      <x:c r="I389" s="20" t="n">
        <x:v>46283.5</x:v>
      </x:c>
    </x:row>
    <x:row r="390" ht="15" hidden="0" customHeight="1">
      <x:c r="A390" s="18" t="str">
        <x:v>CR00389</x:v>
      </x:c>
      <x:c r="B390" s="18" t="str">
        <x:v>REV0098</x:v>
      </x:c>
      <x:c r="C390" s="18" t="str">
        <x:v>EMP008</x:v>
      </x:c>
      <x:c r="D390" s="18" t="str">
        <x:v>CY2026Q3</x:v>
      </x:c>
      <x:c r="E390" s="18" t="str">
        <x:v>COMP_STRATEGY</x:v>
      </x:c>
      <x:c r="F390" s="18" t="n">
        <x:v>1</x:v>
      </x:c>
      <x:c r="G390" s="18" t="str">
        <x:v>Improvement required</x:v>
      </x:c>
      <x:c r="H390" s="18" t="str">
        <x:v>MGR003</x:v>
      </x:c>
      <x:c r="I390" s="20" t="n">
        <x:v>46284.5</x:v>
      </x:c>
    </x:row>
    <x:row r="391" ht="15" hidden="0" customHeight="1">
      <x:c r="A391" s="18" t="str">
        <x:v>CR00390</x:v>
      </x:c>
      <x:c r="B391" s="18" t="str">
        <x:v>REV0098</x:v>
      </x:c>
      <x:c r="C391" s="18" t="str">
        <x:v>EMP008</x:v>
      </x:c>
      <x:c r="D391" s="18" t="str">
        <x:v>CY2026Q3</x:v>
      </x:c>
      <x:c r="E391" s="18" t="str">
        <x:v>COMP_COMM</x:v>
      </x:c>
      <x:c r="F391" s="18" t="n">
        <x:v>1</x:v>
      </x:c>
      <x:c r="G391" s="18" t="str">
        <x:v>Improvement required</x:v>
      </x:c>
      <x:c r="H391" s="18" t="str">
        <x:v>MGR003</x:v>
      </x:c>
      <x:c r="I391" s="20" t="n">
        <x:v>46284.5</x:v>
      </x:c>
    </x:row>
    <x:row r="392" ht="15" hidden="0" customHeight="1">
      <x:c r="A392" s="18" t="str">
        <x:v>CR00391</x:v>
      </x:c>
      <x:c r="B392" s="18" t="str">
        <x:v>REV0098</x:v>
      </x:c>
      <x:c r="C392" s="18" t="str">
        <x:v>EMP008</x:v>
      </x:c>
      <x:c r="D392" s="18" t="str">
        <x:v>CY2026Q3</x:v>
      </x:c>
      <x:c r="E392" s="18" t="str">
        <x:v>COMP_DOMAIN</x:v>
      </x:c>
      <x:c r="F392" s="18" t="n">
        <x:v>2</x:v>
      </x:c>
      <x:c r="G392" s="18" t="str">
        <x:v>Partially meets expectations</x:v>
      </x:c>
      <x:c r="H392" s="18" t="str">
        <x:v>MGR003</x:v>
      </x:c>
      <x:c r="I392" s="20" t="n">
        <x:v>46284.5</x:v>
      </x:c>
    </x:row>
    <x:row r="393" ht="15" hidden="0" customHeight="1">
      <x:c r="A393" s="18" t="str">
        <x:v>CR00392</x:v>
      </x:c>
      <x:c r="B393" s="18" t="str">
        <x:v>REV0098</x:v>
      </x:c>
      <x:c r="C393" s="18" t="str">
        <x:v>EMP008</x:v>
      </x:c>
      <x:c r="D393" s="18" t="str">
        <x:v>CY2026Q3</x:v>
      </x:c>
      <x:c r="E393" s="18" t="str">
        <x:v>COMP_CAREER</x:v>
      </x:c>
      <x:c r="F393" s="18" t="n">
        <x:v>1</x:v>
      </x:c>
      <x:c r="G393" s="18" t="str">
        <x:v>Improvement required</x:v>
      </x:c>
      <x:c r="H393" s="18" t="str">
        <x:v>MGR003</x:v>
      </x:c>
      <x:c r="I393" s="20" t="n">
        <x:v>46284.5</x:v>
      </x:c>
    </x:row>
    <x:row r="394" ht="15" hidden="0" customHeight="1">
      <x:c r="A394" s="18" t="str">
        <x:v>CR00393</x:v>
      </x:c>
      <x:c r="B394" s="18" t="str">
        <x:v>REV0099</x:v>
      </x:c>
      <x:c r="C394" s="18" t="str">
        <x:v>EMP009</x:v>
      </x:c>
      <x:c r="D394" s="18" t="str">
        <x:v>CY2026Q3</x:v>
      </x:c>
      <x:c r="E394" s="18" t="str">
        <x:v>COMP_STRATEGY</x:v>
      </x:c>
      <x:c r="F394" s="18" t="n">
        <x:v>5</x:v>
      </x:c>
      <x:c r="G394" s="18" t="str">
        <x:v>Significantly exceeds expectations</x:v>
      </x:c>
      <x:c r="H394" s="18" t="str">
        <x:v>MGR004</x:v>
      </x:c>
      <x:c r="I394" s="20" t="n">
        <x:v>46285.5</x:v>
      </x:c>
    </x:row>
    <x:row r="395" ht="15" hidden="0" customHeight="1">
      <x:c r="A395" s="18" t="str">
        <x:v>CR00394</x:v>
      </x:c>
      <x:c r="B395" s="18" t="str">
        <x:v>REV0099</x:v>
      </x:c>
      <x:c r="C395" s="18" t="str">
        <x:v>EMP009</x:v>
      </x:c>
      <x:c r="D395" s="18" t="str">
        <x:v>CY2026Q3</x:v>
      </x:c>
      <x:c r="E395" s="18" t="str">
        <x:v>COMP_COMM</x:v>
      </x:c>
      <x:c r="F395" s="18" t="n">
        <x:v>5</x:v>
      </x:c>
      <x:c r="G395" s="18" t="str">
        <x:v>Significantly exceeds expectations</x:v>
      </x:c>
      <x:c r="H395" s="18" t="str">
        <x:v>MGR004</x:v>
      </x:c>
      <x:c r="I395" s="20" t="n">
        <x:v>46285.5</x:v>
      </x:c>
    </x:row>
    <x:row r="396" ht="15" hidden="0" customHeight="1">
      <x:c r="A396" s="18" t="str">
        <x:v>CR00395</x:v>
      </x:c>
      <x:c r="B396" s="18" t="str">
        <x:v>REV0099</x:v>
      </x:c>
      <x:c r="C396" s="18" t="str">
        <x:v>EMP009</x:v>
      </x:c>
      <x:c r="D396" s="18" t="str">
        <x:v>CY2026Q3</x:v>
      </x:c>
      <x:c r="E396" s="18" t="str">
        <x:v>COMP_DOMAIN</x:v>
      </x:c>
      <x:c r="F396" s="18" t="n">
        <x:v>5</x:v>
      </x:c>
      <x:c r="G396" s="18" t="str">
        <x:v>Significantly exceeds expectations</x:v>
      </x:c>
      <x:c r="H396" s="18" t="str">
        <x:v>MGR004</x:v>
      </x:c>
      <x:c r="I396" s="20" t="n">
        <x:v>46285.5</x:v>
      </x:c>
    </x:row>
    <x:row r="397" ht="15" hidden="0" customHeight="1">
      <x:c r="A397" s="18" t="str">
        <x:v>CR00396</x:v>
      </x:c>
      <x:c r="B397" s="18" t="str">
        <x:v>REV0099</x:v>
      </x:c>
      <x:c r="C397" s="18" t="str">
        <x:v>EMP009</x:v>
      </x:c>
      <x:c r="D397" s="18" t="str">
        <x:v>CY2026Q3</x:v>
      </x:c>
      <x:c r="E397" s="18" t="str">
        <x:v>COMP_CAREER</x:v>
      </x:c>
      <x:c r="F397" s="18" t="n">
        <x:v>5</x:v>
      </x:c>
      <x:c r="G397" s="18" t="str">
        <x:v>Significantly exceeds expectations</x:v>
      </x:c>
      <x:c r="H397" s="18" t="str">
        <x:v>MGR004</x:v>
      </x:c>
      <x:c r="I397" s="20" t="n">
        <x:v>46285.5</x:v>
      </x:c>
    </x:row>
    <x:row r="398" ht="15" hidden="0" customHeight="1">
      <x:c r="A398" s="18" t="str">
        <x:v>CR00397</x:v>
      </x:c>
      <x:c r="B398" s="18" t="str">
        <x:v>REV0100</x:v>
      </x:c>
      <x:c r="C398" s="18" t="str">
        <x:v>EMP010</x:v>
      </x:c>
      <x:c r="D398" s="18" t="str">
        <x:v>CY2026Q3</x:v>
      </x:c>
      <x:c r="E398" s="18" t="str">
        <x:v>COMP_STRATEGY</x:v>
      </x:c>
      <x:c r="F398" s="18" t="n">
        <x:v>4</x:v>
      </x:c>
      <x:c r="G398" s="18" t="str">
        <x:v>Exceeds expectations</x:v>
      </x:c>
      <x:c r="H398" s="18" t="str">
        <x:v>MGR004</x:v>
      </x:c>
      <x:c r="I398" s="20" t="n">
        <x:v>46286.5</x:v>
      </x:c>
    </x:row>
    <x:row r="399" ht="15" hidden="0" customHeight="1">
      <x:c r="A399" s="18" t="str">
        <x:v>CR00398</x:v>
      </x:c>
      <x:c r="B399" s="18" t="str">
        <x:v>REV0100</x:v>
      </x:c>
      <x:c r="C399" s="18" t="str">
        <x:v>EMP010</x:v>
      </x:c>
      <x:c r="D399" s="18" t="str">
        <x:v>CY2026Q3</x:v>
      </x:c>
      <x:c r="E399" s="18" t="str">
        <x:v>COMP_COMM</x:v>
      </x:c>
      <x:c r="F399" s="18" t="n">
        <x:v>4</x:v>
      </x:c>
      <x:c r="G399" s="18" t="str">
        <x:v>Exceeds expectations</x:v>
      </x:c>
      <x:c r="H399" s="18" t="str">
        <x:v>MGR004</x:v>
      </x:c>
      <x:c r="I399" s="20" t="n">
        <x:v>46286.5</x:v>
      </x:c>
    </x:row>
    <x:row r="400" ht="15" hidden="0" customHeight="1">
      <x:c r="A400" s="18" t="str">
        <x:v>CR00399</x:v>
      </x:c>
      <x:c r="B400" s="18" t="str">
        <x:v>REV0100</x:v>
      </x:c>
      <x:c r="C400" s="18" t="str">
        <x:v>EMP010</x:v>
      </x:c>
      <x:c r="D400" s="18" t="str">
        <x:v>CY2026Q3</x:v>
      </x:c>
      <x:c r="E400" s="18" t="str">
        <x:v>COMP_DOMAIN</x:v>
      </x:c>
      <x:c r="F400" s="18" t="n">
        <x:v>4</x:v>
      </x:c>
      <x:c r="G400" s="18" t="str">
        <x:v>Exceeds expectations</x:v>
      </x:c>
      <x:c r="H400" s="18" t="str">
        <x:v>MGR004</x:v>
      </x:c>
      <x:c r="I400" s="20" t="n">
        <x:v>46286.5</x:v>
      </x:c>
    </x:row>
    <x:row r="401" ht="15" hidden="0" customHeight="1">
      <x:c r="A401" s="18" t="str">
        <x:v>CR00400</x:v>
      </x:c>
      <x:c r="B401" s="18" t="str">
        <x:v>REV0100</x:v>
      </x:c>
      <x:c r="C401" s="18" t="str">
        <x:v>EMP010</x:v>
      </x:c>
      <x:c r="D401" s="18" t="str">
        <x:v>CY2026Q3</x:v>
      </x:c>
      <x:c r="E401" s="18" t="str">
        <x:v>COMP_CAREER</x:v>
      </x:c>
      <x:c r="F401" s="18" t="n">
        <x:v>4</x:v>
      </x:c>
      <x:c r="G401" s="18" t="str">
        <x:v>Exceeds expectations</x:v>
      </x:c>
      <x:c r="H401" s="18" t="str">
        <x:v>MGR004</x:v>
      </x:c>
      <x:c r="I401" s="20" t="n">
        <x:v>46286.5</x:v>
      </x:c>
    </x:row>
    <x:row r="402" ht="15" hidden="0" customHeight="1">
      <x:c r="A402" s="18" t="str">
        <x:v>CR00401</x:v>
      </x:c>
      <x:c r="B402" s="18" t="str">
        <x:v>REV0101</x:v>
      </x:c>
      <x:c r="C402" s="18" t="str">
        <x:v>EMP011</x:v>
      </x:c>
      <x:c r="D402" s="18" t="str">
        <x:v>CY2026Q3</x:v>
      </x:c>
      <x:c r="E402" s="18" t="str">
        <x:v>COMP_STRATEGY</x:v>
      </x:c>
      <x:c r="F402" s="18" t="n">
        <x:v>2</x:v>
      </x:c>
      <x:c r="G402" s="18" t="str">
        <x:v>Partially meets expectations</x:v>
      </x:c>
      <x:c r="H402" s="18" t="str">
        <x:v>MGR004</x:v>
      </x:c>
      <x:c r="I402" s="20" t="n">
        <x:v>46287.5</x:v>
      </x:c>
    </x:row>
    <x:row r="403" ht="15" hidden="0" customHeight="1">
      <x:c r="A403" s="18" t="str">
        <x:v>CR00402</x:v>
      </x:c>
      <x:c r="B403" s="18" t="str">
        <x:v>REV0101</x:v>
      </x:c>
      <x:c r="C403" s="18" t="str">
        <x:v>EMP011</x:v>
      </x:c>
      <x:c r="D403" s="18" t="str">
        <x:v>CY2026Q3</x:v>
      </x:c>
      <x:c r="E403" s="18" t="str">
        <x:v>COMP_COMM</x:v>
      </x:c>
      <x:c r="F403" s="18" t="n">
        <x:v>2</x:v>
      </x:c>
      <x:c r="G403" s="18" t="str">
        <x:v>Partially meets expectations</x:v>
      </x:c>
      <x:c r="H403" s="18" t="str">
        <x:v>MGR004</x:v>
      </x:c>
      <x:c r="I403" s="20" t="n">
        <x:v>46287.5</x:v>
      </x:c>
    </x:row>
    <x:row r="404" ht="15" hidden="0" customHeight="1">
      <x:c r="A404" s="18" t="str">
        <x:v>CR00403</x:v>
      </x:c>
      <x:c r="B404" s="18" t="str">
        <x:v>REV0101</x:v>
      </x:c>
      <x:c r="C404" s="18" t="str">
        <x:v>EMP011</x:v>
      </x:c>
      <x:c r="D404" s="18" t="str">
        <x:v>CY2026Q3</x:v>
      </x:c>
      <x:c r="E404" s="18" t="str">
        <x:v>COMP_DOMAIN</x:v>
      </x:c>
      <x:c r="F404" s="18" t="n">
        <x:v>2</x:v>
      </x:c>
      <x:c r="G404" s="18" t="str">
        <x:v>Partially meets expectations</x:v>
      </x:c>
      <x:c r="H404" s="18" t="str">
        <x:v>MGR004</x:v>
      </x:c>
      <x:c r="I404" s="20" t="n">
        <x:v>46287.5</x:v>
      </x:c>
    </x:row>
    <x:row r="405" ht="15" hidden="0" customHeight="1">
      <x:c r="A405" s="18" t="str">
        <x:v>CR00404</x:v>
      </x:c>
      <x:c r="B405" s="18" t="str">
        <x:v>REV0101</x:v>
      </x:c>
      <x:c r="C405" s="18" t="str">
        <x:v>EMP011</x:v>
      </x:c>
      <x:c r="D405" s="18" t="str">
        <x:v>CY2026Q3</x:v>
      </x:c>
      <x:c r="E405" s="18" t="str">
        <x:v>COMP_CAREER</x:v>
      </x:c>
      <x:c r="F405" s="18" t="n">
        <x:v>2</x:v>
      </x:c>
      <x:c r="G405" s="18" t="str">
        <x:v>Partially meets expectations</x:v>
      </x:c>
      <x:c r="H405" s="18" t="str">
        <x:v>MGR004</x:v>
      </x:c>
      <x:c r="I405" s="20" t="n">
        <x:v>46287.5</x:v>
      </x:c>
    </x:row>
    <x:row r="406" ht="15" hidden="0" customHeight="1">
      <x:c r="A406" s="18" t="str">
        <x:v>CR00405</x:v>
      </x:c>
      <x:c r="B406" s="18" t="str">
        <x:v>REV0102</x:v>
      </x:c>
      <x:c r="C406" s="18" t="str">
        <x:v>EMP012</x:v>
      </x:c>
      <x:c r="D406" s="18" t="str">
        <x:v>CY2026Q3</x:v>
      </x:c>
      <x:c r="E406" s="18" t="str">
        <x:v>COMP_STRATEGY</x:v>
      </x:c>
      <x:c r="F406" s="18" t="n">
        <x:v>3</x:v>
      </x:c>
      <x:c r="G406" s="18" t="str">
        <x:v>Meets expectations</x:v>
      </x:c>
      <x:c r="H406" s="18" t="str">
        <x:v>MGR005</x:v>
      </x:c>
      <x:c r="I406" s="20" t="n">
        <x:v>46288.5</x:v>
      </x:c>
    </x:row>
    <x:row r="407" ht="15" hidden="0" customHeight="1">
      <x:c r="A407" s="18" t="str">
        <x:v>CR00406</x:v>
      </x:c>
      <x:c r="B407" s="18" t="str">
        <x:v>REV0102</x:v>
      </x:c>
      <x:c r="C407" s="18" t="str">
        <x:v>EMP012</x:v>
      </x:c>
      <x:c r="D407" s="18" t="str">
        <x:v>CY2026Q3</x:v>
      </x:c>
      <x:c r="E407" s="18" t="str">
        <x:v>COMP_COMM</x:v>
      </x:c>
      <x:c r="F407" s="18" t="n">
        <x:v>3</x:v>
      </x:c>
      <x:c r="G407" s="18" t="str">
        <x:v>Meets expectations</x:v>
      </x:c>
      <x:c r="H407" s="18" t="str">
        <x:v>MGR005</x:v>
      </x:c>
      <x:c r="I407" s="20" t="n">
        <x:v>46288.5</x:v>
      </x:c>
    </x:row>
    <x:row r="408" ht="15" hidden="0" customHeight="1">
      <x:c r="A408" s="18" t="str">
        <x:v>CR00407</x:v>
      </x:c>
      <x:c r="B408" s="18" t="str">
        <x:v>REV0102</x:v>
      </x:c>
      <x:c r="C408" s="18" t="str">
        <x:v>EMP012</x:v>
      </x:c>
      <x:c r="D408" s="18" t="str">
        <x:v>CY2026Q3</x:v>
      </x:c>
      <x:c r="E408" s="18" t="str">
        <x:v>COMP_DOMAIN</x:v>
      </x:c>
      <x:c r="F408" s="18" t="n">
        <x:v>3</x:v>
      </x:c>
      <x:c r="G408" s="18" t="str">
        <x:v>Meets expectations</x:v>
      </x:c>
      <x:c r="H408" s="18" t="str">
        <x:v>MGR005</x:v>
      </x:c>
      <x:c r="I408" s="20" t="n">
        <x:v>46288.5</x:v>
      </x:c>
    </x:row>
    <x:row r="409" ht="15" hidden="0" customHeight="1">
      <x:c r="A409" s="18" t="str">
        <x:v>CR00408</x:v>
      </x:c>
      <x:c r="B409" s="18" t="str">
        <x:v>REV0102</x:v>
      </x:c>
      <x:c r="C409" s="18" t="str">
        <x:v>EMP012</x:v>
      </x:c>
      <x:c r="D409" s="18" t="str">
        <x:v>CY2026Q3</x:v>
      </x:c>
      <x:c r="E409" s="18" t="str">
        <x:v>COMP_CAREER</x:v>
      </x:c>
      <x:c r="F409" s="18" t="n">
        <x:v>4</x:v>
      </x:c>
      <x:c r="G409" s="18" t="str">
        <x:v>Exceeds expectations</x:v>
      </x:c>
      <x:c r="H409" s="18" t="str">
        <x:v>MGR005</x:v>
      </x:c>
      <x:c r="I409" s="20" t="n">
        <x:v>46288.5</x:v>
      </x:c>
    </x:row>
    <x:row r="410" ht="15" hidden="0" customHeight="1">
      <x:c r="A410" s="18" t="str">
        <x:v>CR00409</x:v>
      </x:c>
      <x:c r="B410" s="18" t="str">
        <x:v>REV0103</x:v>
      </x:c>
      <x:c r="C410" s="18" t="str">
        <x:v>EMP013</x:v>
      </x:c>
      <x:c r="D410" s="18" t="str">
        <x:v>CY2026Q3</x:v>
      </x:c>
      <x:c r="E410" s="18" t="str">
        <x:v>COMP_STRATEGY</x:v>
      </x:c>
      <x:c r="F410" s="18" t="n">
        <x:v>4</x:v>
      </x:c>
      <x:c r="G410" s="18" t="str">
        <x:v>Exceeds expectations</x:v>
      </x:c>
      <x:c r="H410" s="18" t="str">
        <x:v>MGR005</x:v>
      </x:c>
      <x:c r="I410" s="20" t="n">
        <x:v>46277.5</x:v>
      </x:c>
    </x:row>
    <x:row r="411" ht="15" hidden="0" customHeight="1">
      <x:c r="A411" s="18" t="str">
        <x:v>CR00410</x:v>
      </x:c>
      <x:c r="B411" s="18" t="str">
        <x:v>REV0103</x:v>
      </x:c>
      <x:c r="C411" s="18" t="str">
        <x:v>EMP013</x:v>
      </x:c>
      <x:c r="D411" s="18" t="str">
        <x:v>CY2026Q3</x:v>
      </x:c>
      <x:c r="E411" s="18" t="str">
        <x:v>COMP_COMM</x:v>
      </x:c>
      <x:c r="F411" s="18" t="n">
        <x:v>4</x:v>
      </x:c>
      <x:c r="G411" s="18" t="str">
        <x:v>Exceeds expectations</x:v>
      </x:c>
      <x:c r="H411" s="18" t="str">
        <x:v>MGR005</x:v>
      </x:c>
      <x:c r="I411" s="20" t="n">
        <x:v>46277.5</x:v>
      </x:c>
    </x:row>
    <x:row r="412" ht="15" hidden="0" customHeight="1">
      <x:c r="A412" s="18" t="str">
        <x:v>CR00411</x:v>
      </x:c>
      <x:c r="B412" s="18" t="str">
        <x:v>REV0103</x:v>
      </x:c>
      <x:c r="C412" s="18" t="str">
        <x:v>EMP013</x:v>
      </x:c>
      <x:c r="D412" s="18" t="str">
        <x:v>CY2026Q3</x:v>
      </x:c>
      <x:c r="E412" s="18" t="str">
        <x:v>COMP_DOMAIN</x:v>
      </x:c>
      <x:c r="F412" s="18" t="n">
        <x:v>4</x:v>
      </x:c>
      <x:c r="G412" s="18" t="str">
        <x:v>Exceeds expectations</x:v>
      </x:c>
      <x:c r="H412" s="18" t="str">
        <x:v>MGR005</x:v>
      </x:c>
      <x:c r="I412" s="20" t="n">
        <x:v>46277.5</x:v>
      </x:c>
    </x:row>
    <x:row r="413" ht="15" hidden="0" customHeight="1">
      <x:c r="A413" s="18" t="str">
        <x:v>CR00412</x:v>
      </x:c>
      <x:c r="B413" s="18" t="str">
        <x:v>REV0103</x:v>
      </x:c>
      <x:c r="C413" s="18" t="str">
        <x:v>EMP013</x:v>
      </x:c>
      <x:c r="D413" s="18" t="str">
        <x:v>CY2026Q3</x:v>
      </x:c>
      <x:c r="E413" s="18" t="str">
        <x:v>COMP_CAREER</x:v>
      </x:c>
      <x:c r="F413" s="18" t="n">
        <x:v>4</x:v>
      </x:c>
      <x:c r="G413" s="18" t="str">
        <x:v>Exceeds expectations</x:v>
      </x:c>
      <x:c r="H413" s="18" t="str">
        <x:v>MGR005</x:v>
      </x:c>
      <x:c r="I413" s="20" t="n">
        <x:v>46277.5</x:v>
      </x:c>
    </x:row>
    <x:row r="414" ht="15" hidden="0" customHeight="1">
      <x:c r="A414" s="18" t="str">
        <x:v>CR00413</x:v>
      </x:c>
      <x:c r="B414" s="18" t="str">
        <x:v>REV0104</x:v>
      </x:c>
      <x:c r="C414" s="18" t="str">
        <x:v>EMP014</x:v>
      </x:c>
      <x:c r="D414" s="18" t="str">
        <x:v>CY2026Q3</x:v>
      </x:c>
      <x:c r="E414" s="18" t="str">
        <x:v>COMP_STRATEGY</x:v>
      </x:c>
      <x:c r="F414" s="18" t="n">
        <x:v>3</x:v>
      </x:c>
      <x:c r="G414" s="18" t="str">
        <x:v>Meets expectations</x:v>
      </x:c>
      <x:c r="H414" s="18" t="str">
        <x:v>MGR006</x:v>
      </x:c>
      <x:c r="I414" s="20" t="n">
        <x:v>46278.5</x:v>
      </x:c>
    </x:row>
    <x:row r="415" ht="15" hidden="0" customHeight="1">
      <x:c r="A415" s="18" t="str">
        <x:v>CR00414</x:v>
      </x:c>
      <x:c r="B415" s="18" t="str">
        <x:v>REV0104</x:v>
      </x:c>
      <x:c r="C415" s="18" t="str">
        <x:v>EMP014</x:v>
      </x:c>
      <x:c r="D415" s="18" t="str">
        <x:v>CY2026Q3</x:v>
      </x:c>
      <x:c r="E415" s="18" t="str">
        <x:v>COMP_COMM</x:v>
      </x:c>
      <x:c r="F415" s="18" t="n">
        <x:v>2</x:v>
      </x:c>
      <x:c r="G415" s="18" t="str">
        <x:v>Partially meets expectations</x:v>
      </x:c>
      <x:c r="H415" s="18" t="str">
        <x:v>MGR006</x:v>
      </x:c>
      <x:c r="I415" s="20" t="n">
        <x:v>46278.5</x:v>
      </x:c>
    </x:row>
    <x:row r="416" ht="15" hidden="0" customHeight="1">
      <x:c r="A416" s="18" t="str">
        <x:v>CR00415</x:v>
      </x:c>
      <x:c r="B416" s="18" t="str">
        <x:v>REV0104</x:v>
      </x:c>
      <x:c r="C416" s="18" t="str">
        <x:v>EMP014</x:v>
      </x:c>
      <x:c r="D416" s="18" t="str">
        <x:v>CY2026Q3</x:v>
      </x:c>
      <x:c r="E416" s="18" t="str">
        <x:v>COMP_DOMAIN</x:v>
      </x:c>
      <x:c r="F416" s="18" t="n">
        <x:v>3</x:v>
      </x:c>
      <x:c r="G416" s="18" t="str">
        <x:v>Meets expectations</x:v>
      </x:c>
      <x:c r="H416" s="18" t="str">
        <x:v>MGR006</x:v>
      </x:c>
      <x:c r="I416" s="20" t="n">
        <x:v>46278.5</x:v>
      </x:c>
    </x:row>
    <x:row r="417" ht="15" hidden="0" customHeight="1">
      <x:c r="A417" s="18" t="str">
        <x:v>CR00416</x:v>
      </x:c>
      <x:c r="B417" s="18" t="str">
        <x:v>REV0104</x:v>
      </x:c>
      <x:c r="C417" s="18" t="str">
        <x:v>EMP014</x:v>
      </x:c>
      <x:c r="D417" s="18" t="str">
        <x:v>CY2026Q3</x:v>
      </x:c>
      <x:c r="E417" s="18" t="str">
        <x:v>COMP_CAREER</x:v>
      </x:c>
      <x:c r="F417" s="18" t="n">
        <x:v>3</x:v>
      </x:c>
      <x:c r="G417" s="18" t="str">
        <x:v>Meets expectations</x:v>
      </x:c>
      <x:c r="H417" s="18" t="str">
        <x:v>MGR006</x:v>
      </x:c>
      <x:c r="I417" s="20" t="n">
        <x:v>46278.5</x:v>
      </x:c>
    </x:row>
    <x:row r="418" ht="15" hidden="0" customHeight="1">
      <x:c r="A418" s="18" t="str">
        <x:v>CR00417</x:v>
      </x:c>
      <x:c r="B418" s="18" t="str">
        <x:v>REV0105</x:v>
      </x:c>
      <x:c r="C418" s="18" t="str">
        <x:v>EMP015</x:v>
      </x:c>
      <x:c r="D418" s="18" t="str">
        <x:v>CY2026Q3</x:v>
      </x:c>
      <x:c r="E418" s="18" t="str">
        <x:v>COMP_STRATEGY</x:v>
      </x:c>
      <x:c r="F418" s="18" t="n">
        <x:v>1</x:v>
      </x:c>
      <x:c r="G418" s="18" t="str">
        <x:v>Improvement required</x:v>
      </x:c>
      <x:c r="H418" s="18" t="str">
        <x:v>MGR006</x:v>
      </x:c>
      <x:c r="I418" s="20" t="n">
        <x:v>46279.5</x:v>
      </x:c>
    </x:row>
    <x:row r="419" ht="15" hidden="0" customHeight="1">
      <x:c r="A419" s="18" t="str">
        <x:v>CR00418</x:v>
      </x:c>
      <x:c r="B419" s="18" t="str">
        <x:v>REV0105</x:v>
      </x:c>
      <x:c r="C419" s="18" t="str">
        <x:v>EMP015</x:v>
      </x:c>
      <x:c r="D419" s="18" t="str">
        <x:v>CY2026Q3</x:v>
      </x:c>
      <x:c r="E419" s="18" t="str">
        <x:v>COMP_COMM</x:v>
      </x:c>
      <x:c r="F419" s="18" t="n">
        <x:v>1</x:v>
      </x:c>
      <x:c r="G419" s="18" t="str">
        <x:v>Improvement required</x:v>
      </x:c>
      <x:c r="H419" s="18" t="str">
        <x:v>MGR006</x:v>
      </x:c>
      <x:c r="I419" s="20" t="n">
        <x:v>46279.5</x:v>
      </x:c>
    </x:row>
    <x:row r="420" ht="15" hidden="0" customHeight="1">
      <x:c r="A420" s="18" t="str">
        <x:v>CR00419</x:v>
      </x:c>
      <x:c r="B420" s="18" t="str">
        <x:v>REV0105</x:v>
      </x:c>
      <x:c r="C420" s="18" t="str">
        <x:v>EMP015</x:v>
      </x:c>
      <x:c r="D420" s="18" t="str">
        <x:v>CY2026Q3</x:v>
      </x:c>
      <x:c r="E420" s="18" t="str">
        <x:v>COMP_DOMAIN</x:v>
      </x:c>
      <x:c r="F420" s="18" t="n">
        <x:v>2</x:v>
      </x:c>
      <x:c r="G420" s="18" t="str">
        <x:v>Partially meets expectations</x:v>
      </x:c>
      <x:c r="H420" s="18" t="str">
        <x:v>MGR006</x:v>
      </x:c>
      <x:c r="I420" s="20" t="n">
        <x:v>46279.5</x:v>
      </x:c>
    </x:row>
    <x:row r="421" ht="15" hidden="0" customHeight="1">
      <x:c r="A421" s="18" t="str">
        <x:v>CR00420</x:v>
      </x:c>
      <x:c r="B421" s="18" t="str">
        <x:v>REV0105</x:v>
      </x:c>
      <x:c r="C421" s="18" t="str">
        <x:v>EMP015</x:v>
      </x:c>
      <x:c r="D421" s="18" t="str">
        <x:v>CY2026Q3</x:v>
      </x:c>
      <x:c r="E421" s="18" t="str">
        <x:v>COMP_CAREER</x:v>
      </x:c>
      <x:c r="F421" s="18" t="n">
        <x:v>1</x:v>
      </x:c>
      <x:c r="G421" s="18" t="str">
        <x:v>Improvement required</x:v>
      </x:c>
      <x:c r="H421" s="18" t="str">
        <x:v>MGR006</x:v>
      </x:c>
      <x:c r="I421" s="20" t="n">
        <x:v>46279.5</x:v>
      </x:c>
    </x:row>
  </x:sheetData>
  <x:conditionalFormatting sqref="F2:F421">
    <x:cfRule type="cellIs" dxfId="2" priority="1" operator="equal">
      <x:formula>1</x:formula>
    </x:cfRule>
    <x:cfRule type="cellIs" dxfId="3" priority="2" operator="equal">
      <x:formula>5</x:formula>
    </x:cfRule>
  </x:conditionalFormatting>
  <x:dataValidations count="1">
    <x:dataValidation type="whole" operator="between" sqref="F2:F421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3f86c3e4ba84873"/>
  </x:tableParts>
</x:worksheet>
</file>

<file path=xl/worksheets/sheet13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12" hidden="0" customWidth="1"/>
    <x:col min="4" max="4" width="24" hidden="0" customWidth="1"/>
    <x:col min="5" max="5" width="52" hidden="0" customWidth="1"/>
    <x:col min="6" max="6" width="14" hidden="0" customWidth="1"/>
    <x:col min="7" max="7" width="14" hidden="0" customWidth="1"/>
    <x:col min="8" max="8" width="13" hidden="0" customWidth="1"/>
    <x:col min="9" max="9" width="24" hidden="0" customWidth="1"/>
  </x:cols>
  <x:sheetData>
    <x:row r="1" ht="30" hidden="0" customHeight="1">
      <x:c r="A1" s="15" t="str">
        <x:v>goal_id</x:v>
      </x:c>
      <x:c r="B1" s="16" t="str">
        <x:v>employee_id</x:v>
      </x:c>
      <x:c r="C1" s="16" t="str">
        <x:v>goal_type</x:v>
      </x:c>
      <x:c r="D1" s="16" t="str">
        <x:v>goal_title</x:v>
      </x:c>
      <x:c r="E1" s="16" t="str">
        <x:v>goal_description</x:v>
      </x:c>
      <x:c r="F1" s="16" t="str">
        <x:v>start_date</x:v>
      </x:c>
      <x:c r="G1" s="16" t="str">
        <x:v>due_date</x:v>
      </x:c>
      <x:c r="H1" s="16" t="str">
        <x:v>goal_status</x:v>
      </x:c>
      <x:c r="I1" s="17" t="str">
        <x:v>created_by_employee_id</x:v>
      </x:c>
    </x:row>
    <x:row r="2" ht="15" hidden="0" customHeight="1">
      <x:c r="A2" s="18" t="str">
        <x:v>GOAL0001</x:v>
      </x:c>
      <x:c r="B2" s="18" t="str">
        <x:v>EMP001</x:v>
      </x:c>
      <x:c r="C2" s="18" t="str">
        <x:v>Business</x:v>
      </x:c>
      <x:c r="D2" s="18" t="str">
        <x:v>Improve qualified loan pipeline</x:v>
      </x:c>
      <x:c r="E2" s="21" t="str">
        <x:v>Maintain weekly prospecting activity and improve funded-loan conversion.</x:v>
      </x:c>
      <x:c r="F2" s="20" t="n">
        <x:v>45658.5</x:v>
      </x:c>
      <x:c r="G2" s="20" t="n">
        <x:v>46022.5</x:v>
      </x:c>
      <x:c r="H2" s="18" t="str">
        <x:v>Completed</x:v>
      </x:c>
      <x:c r="I2" s="18" t="str">
        <x:v>MGR001</x:v>
      </x:c>
    </x:row>
    <x:row r="3" ht="15" hidden="0" customHeight="1">
      <x:c r="A3" s="18" t="str">
        <x:v>GOAL0002</x:v>
      </x:c>
      <x:c r="B3" s="18" t="str">
        <x:v>EMP001</x:v>
      </x:c>
      <x:c r="C3" s="18" t="str">
        <x:v>Development</x:v>
      </x:c>
      <x:c r="D3" s="18" t="str">
        <x:v>Strengthen advisory conversations</x:v>
      </x:c>
      <x:c r="E3" s="21" t="str">
        <x:v>Use discovery questions and product-fit documentation in customer meetings.</x:v>
      </x:c>
      <x:c r="F3" s="20" t="n">
        <x:v>45658.5</x:v>
      </x:c>
      <x:c r="G3" s="20" t="n">
        <x:v>46022.5</x:v>
      </x:c>
      <x:c r="H3" s="18" t="str">
        <x:v>Completed</x:v>
      </x:c>
      <x:c r="I3" s="18" t="str">
        <x:v>MGR001</x:v>
      </x:c>
    </x:row>
    <x:row r="4" ht="15" hidden="0" customHeight="1">
      <x:c r="A4" s="18" t="str">
        <x:v>GOAL0003</x:v>
      </x:c>
      <x:c r="B4" s="18" t="str">
        <x:v>EMP002</x:v>
      </x:c>
      <x:c r="C4" s="18" t="str">
        <x:v>Business</x:v>
      </x:c>
      <x:c r="D4" s="18" t="str">
        <x:v>Improve qualified loan pipeline</x:v>
      </x:c>
      <x:c r="E4" s="21" t="str">
        <x:v>Maintain weekly prospecting activity and improve funded-loan conversion.</x:v>
      </x:c>
      <x:c r="F4" s="20" t="n">
        <x:v>45658.5</x:v>
      </x:c>
      <x:c r="G4" s="20" t="n">
        <x:v>46022.5</x:v>
      </x:c>
      <x:c r="H4" s="18" t="str">
        <x:v>Completed</x:v>
      </x:c>
      <x:c r="I4" s="18" t="str">
        <x:v>MGR001</x:v>
      </x:c>
    </x:row>
    <x:row r="5" ht="24" hidden="0" customHeight="1">
      <x:c r="A5" s="18" t="str">
        <x:v>GOAL0004</x:v>
      </x:c>
      <x:c r="B5" s="18" t="str">
        <x:v>EMP002</x:v>
      </x:c>
      <x:c r="C5" s="18" t="str">
        <x:v>Development</x:v>
      </x:c>
      <x:c r="D5" s="18" t="str">
        <x:v>Expand lending-policy expertise</x:v>
      </x:c>
      <x:c r="E5" s="21" t="str">
        <x:v>Complete advanced policy training and review complex scenarios with the manager.</x:v>
      </x:c>
      <x:c r="F5" s="20" t="n">
        <x:v>45658.5</x:v>
      </x:c>
      <x:c r="G5" s="20" t="n">
        <x:v>46022.5</x:v>
      </x:c>
      <x:c r="H5" s="18" t="str">
        <x:v>Completed</x:v>
      </x:c>
      <x:c r="I5" s="18" t="str">
        <x:v>MGR001</x:v>
      </x:c>
    </x:row>
    <x:row r="6" ht="15" hidden="0" customHeight="1">
      <x:c r="A6" s="18" t="str">
        <x:v>GOAL0005</x:v>
      </x:c>
      <x:c r="B6" s="18" t="str">
        <x:v>EMP003</x:v>
      </x:c>
      <x:c r="C6" s="18" t="str">
        <x:v>Business</x:v>
      </x:c>
      <x:c r="D6" s="18" t="str">
        <x:v>Improve qualified loan pipeline</x:v>
      </x:c>
      <x:c r="E6" s="21" t="str">
        <x:v>Maintain weekly prospecting activity and improve funded-loan conversion.</x:v>
      </x:c>
      <x:c r="F6" s="20" t="n">
        <x:v>45658.5</x:v>
      </x:c>
      <x:c r="G6" s="20" t="n">
        <x:v>46022.5</x:v>
      </x:c>
      <x:c r="H6" s="18" t="str">
        <x:v>Completed</x:v>
      </x:c>
      <x:c r="I6" s="18" t="str">
        <x:v>MGR001</x:v>
      </x:c>
    </x:row>
    <x:row r="7" ht="15" hidden="0" customHeight="1">
      <x:c r="A7" s="18" t="str">
        <x:v>GOAL0006</x:v>
      </x:c>
      <x:c r="B7" s="18" t="str">
        <x:v>EMP003</x:v>
      </x:c>
      <x:c r="C7" s="18" t="str">
        <x:v>Development</x:v>
      </x:c>
      <x:c r="D7" s="18" t="str">
        <x:v>Strengthen advisory conversations</x:v>
      </x:c>
      <x:c r="E7" s="21" t="str">
        <x:v>Use discovery questions and product-fit documentation in customer meetings.</x:v>
      </x:c>
      <x:c r="F7" s="20" t="n">
        <x:v>45658.5</x:v>
      </x:c>
      <x:c r="G7" s="20" t="n">
        <x:v>46022.5</x:v>
      </x:c>
      <x:c r="H7" s="18" t="str">
        <x:v>Completed</x:v>
      </x:c>
      <x:c r="I7" s="18" t="str">
        <x:v>MGR001</x:v>
      </x:c>
    </x:row>
    <x:row r="8" ht="15" hidden="0" customHeight="1">
      <x:c r="A8" s="18" t="str">
        <x:v>GOAL0007</x:v>
      </x:c>
      <x:c r="B8" s="18" t="str">
        <x:v>EMP004</x:v>
      </x:c>
      <x:c r="C8" s="18" t="str">
        <x:v>Business</x:v>
      </x:c>
      <x:c r="D8" s="18" t="str">
        <x:v>Improve qualified loan pipeline</x:v>
      </x:c>
      <x:c r="E8" s="21" t="str">
        <x:v>Maintain weekly prospecting activity and improve funded-loan conversion.</x:v>
      </x:c>
      <x:c r="F8" s="20" t="n">
        <x:v>45658.5</x:v>
      </x:c>
      <x:c r="G8" s="20" t="n">
        <x:v>46022.5</x:v>
      </x:c>
      <x:c r="H8" s="18" t="str">
        <x:v>Completed</x:v>
      </x:c>
      <x:c r="I8" s="18" t="str">
        <x:v>MGR002</x:v>
      </x:c>
    </x:row>
    <x:row r="9" ht="24" hidden="0" customHeight="1">
      <x:c r="A9" s="18" t="str">
        <x:v>GOAL0008</x:v>
      </x:c>
      <x:c r="B9" s="18" t="str">
        <x:v>EMP004</x:v>
      </x:c>
      <x:c r="C9" s="18" t="str">
        <x:v>Development</x:v>
      </x:c>
      <x:c r="D9" s="18" t="str">
        <x:v>Expand lending-policy expertise</x:v>
      </x:c>
      <x:c r="E9" s="21" t="str">
        <x:v>Complete advanced policy training and review complex scenarios with the manager.</x:v>
      </x:c>
      <x:c r="F9" s="20" t="n">
        <x:v>45658.5</x:v>
      </x:c>
      <x:c r="G9" s="20" t="n">
        <x:v>46022.5</x:v>
      </x:c>
      <x:c r="H9" s="18" t="str">
        <x:v>Completed</x:v>
      </x:c>
      <x:c r="I9" s="18" t="str">
        <x:v>MGR002</x:v>
      </x:c>
    </x:row>
    <x:row r="10" ht="15" hidden="0" customHeight="1">
      <x:c r="A10" s="18" t="str">
        <x:v>GOAL0009</x:v>
      </x:c>
      <x:c r="B10" s="18" t="str">
        <x:v>EMP005</x:v>
      </x:c>
      <x:c r="C10" s="18" t="str">
        <x:v>Business</x:v>
      </x:c>
      <x:c r="D10" s="18" t="str">
        <x:v>Improve qualified loan pipeline</x:v>
      </x:c>
      <x:c r="E10" s="21" t="str">
        <x:v>Maintain weekly prospecting activity and improve funded-loan conversion.</x:v>
      </x:c>
      <x:c r="F10" s="20" t="n">
        <x:v>45658.5</x:v>
      </x:c>
      <x:c r="G10" s="20" t="n">
        <x:v>46022.5</x:v>
      </x:c>
      <x:c r="H10" s="18" t="str">
        <x:v>Completed</x:v>
      </x:c>
      <x:c r="I10" s="18" t="str">
        <x:v>MGR002</x:v>
      </x:c>
    </x:row>
    <x:row r="11" ht="15" hidden="0" customHeight="1">
      <x:c r="A11" s="18" t="str">
        <x:v>GOAL0010</x:v>
      </x:c>
      <x:c r="B11" s="18" t="str">
        <x:v>EMP005</x:v>
      </x:c>
      <x:c r="C11" s="18" t="str">
        <x:v>Development</x:v>
      </x:c>
      <x:c r="D11" s="18" t="str">
        <x:v>Strengthen advisory conversations</x:v>
      </x:c>
      <x:c r="E11" s="21" t="str">
        <x:v>Use discovery questions and product-fit documentation in customer meetings.</x:v>
      </x:c>
      <x:c r="F11" s="20" t="n">
        <x:v>45658.5</x:v>
      </x:c>
      <x:c r="G11" s="20" t="n">
        <x:v>46022.5</x:v>
      </x:c>
      <x:c r="H11" s="18" t="str">
        <x:v>Completed</x:v>
      </x:c>
      <x:c r="I11" s="18" t="str">
        <x:v>MGR002</x:v>
      </x:c>
    </x:row>
    <x:row r="12" ht="15" hidden="0" customHeight="1">
      <x:c r="A12" s="18" t="str">
        <x:v>GOAL0011</x:v>
      </x:c>
      <x:c r="B12" s="18" t="str">
        <x:v>EMP006</x:v>
      </x:c>
      <x:c r="C12" s="18" t="str">
        <x:v>Business</x:v>
      </x:c>
      <x:c r="D12" s="18" t="str">
        <x:v>Improve qualified loan pipeline</x:v>
      </x:c>
      <x:c r="E12" s="21" t="str">
        <x:v>Maintain weekly prospecting activity and improve funded-loan conversion.</x:v>
      </x:c>
      <x:c r="F12" s="20" t="n">
        <x:v>45658.5</x:v>
      </x:c>
      <x:c r="G12" s="20" t="n">
        <x:v>46022.5</x:v>
      </x:c>
      <x:c r="H12" s="18" t="str">
        <x:v>Completed</x:v>
      </x:c>
      <x:c r="I12" s="18" t="str">
        <x:v>MGR002</x:v>
      </x:c>
    </x:row>
    <x:row r="13" ht="24" hidden="0" customHeight="1">
      <x:c r="A13" s="18" t="str">
        <x:v>GOAL0012</x:v>
      </x:c>
      <x:c r="B13" s="18" t="str">
        <x:v>EMP006</x:v>
      </x:c>
      <x:c r="C13" s="18" t="str">
        <x:v>Development</x:v>
      </x:c>
      <x:c r="D13" s="18" t="str">
        <x:v>Expand lending-policy expertise</x:v>
      </x:c>
      <x:c r="E13" s="21" t="str">
        <x:v>Complete advanced policy training and review complex scenarios with the manager.</x:v>
      </x:c>
      <x:c r="F13" s="20" t="n">
        <x:v>45658.5</x:v>
      </x:c>
      <x:c r="G13" s="20" t="n">
        <x:v>46022.5</x:v>
      </x:c>
      <x:c r="H13" s="18" t="str">
        <x:v>Completed</x:v>
      </x:c>
      <x:c r="I13" s="18" t="str">
        <x:v>MGR002</x:v>
      </x:c>
    </x:row>
    <x:row r="14" ht="15" hidden="0" customHeight="1">
      <x:c r="A14" s="18" t="str">
        <x:v>GOAL0013</x:v>
      </x:c>
      <x:c r="B14" s="18" t="str">
        <x:v>EMP007</x:v>
      </x:c>
      <x:c r="C14" s="18" t="str">
        <x:v>Business</x:v>
      </x:c>
      <x:c r="D14" s="18" t="str">
        <x:v>Improve qualified loan pipeline</x:v>
      </x:c>
      <x:c r="E14" s="21" t="str">
        <x:v>Maintain weekly prospecting activity and improve funded-loan conversion.</x:v>
      </x:c>
      <x:c r="F14" s="20" t="n">
        <x:v>45658.5</x:v>
      </x:c>
      <x:c r="G14" s="20" t="n">
        <x:v>46022.5</x:v>
      </x:c>
      <x:c r="H14" s="18" t="str">
        <x:v>Completed</x:v>
      </x:c>
      <x:c r="I14" s="18" t="str">
        <x:v>MGR003</x:v>
      </x:c>
    </x:row>
    <x:row r="15" ht="15" hidden="0" customHeight="1">
      <x:c r="A15" s="18" t="str">
        <x:v>GOAL0014</x:v>
      </x:c>
      <x:c r="B15" s="18" t="str">
        <x:v>EMP007</x:v>
      </x:c>
      <x:c r="C15" s="18" t="str">
        <x:v>Development</x:v>
      </x:c>
      <x:c r="D15" s="18" t="str">
        <x:v>Strengthen advisory conversations</x:v>
      </x:c>
      <x:c r="E15" s="21" t="str">
        <x:v>Use discovery questions and product-fit documentation in customer meetings.</x:v>
      </x:c>
      <x:c r="F15" s="20" t="n">
        <x:v>45658.5</x:v>
      </x:c>
      <x:c r="G15" s="20" t="n">
        <x:v>46022.5</x:v>
      </x:c>
      <x:c r="H15" s="18" t="str">
        <x:v>Completed</x:v>
      </x:c>
      <x:c r="I15" s="18" t="str">
        <x:v>MGR003</x:v>
      </x:c>
    </x:row>
    <x:row r="16" ht="15" hidden="0" customHeight="1">
      <x:c r="A16" s="18" t="str">
        <x:v>GOAL0015</x:v>
      </x:c>
      <x:c r="B16" s="18" t="str">
        <x:v>EMP008</x:v>
      </x:c>
      <x:c r="C16" s="18" t="str">
        <x:v>Business</x:v>
      </x:c>
      <x:c r="D16" s="18" t="str">
        <x:v>Improve qualified loan pipeline</x:v>
      </x:c>
      <x:c r="E16" s="21" t="str">
        <x:v>Maintain weekly prospecting activity and improve funded-loan conversion.</x:v>
      </x:c>
      <x:c r="F16" s="20" t="n">
        <x:v>45658.5</x:v>
      </x:c>
      <x:c r="G16" s="20" t="n">
        <x:v>46022.5</x:v>
      </x:c>
      <x:c r="H16" s="18" t="str">
        <x:v>Completed</x:v>
      </x:c>
      <x:c r="I16" s="18" t="str">
        <x:v>MGR003</x:v>
      </x:c>
    </x:row>
    <x:row r="17" ht="24" hidden="0" customHeight="1">
      <x:c r="A17" s="18" t="str">
        <x:v>GOAL0016</x:v>
      </x:c>
      <x:c r="B17" s="18" t="str">
        <x:v>EMP008</x:v>
      </x:c>
      <x:c r="C17" s="18" t="str">
        <x:v>Development</x:v>
      </x:c>
      <x:c r="D17" s="18" t="str">
        <x:v>Expand lending-policy expertise</x:v>
      </x:c>
      <x:c r="E17" s="21" t="str">
        <x:v>Complete advanced policy training and review complex scenarios with the manager.</x:v>
      </x:c>
      <x:c r="F17" s="20" t="n">
        <x:v>45658.5</x:v>
      </x:c>
      <x:c r="G17" s="20" t="n">
        <x:v>46022.5</x:v>
      </x:c>
      <x:c r="H17" s="18" t="str">
        <x:v>Completed</x:v>
      </x:c>
      <x:c r="I17" s="18" t="str">
        <x:v>MGR003</x:v>
      </x:c>
    </x:row>
    <x:row r="18" ht="15" hidden="0" customHeight="1">
      <x:c r="A18" s="18" t="str">
        <x:v>GOAL0017</x:v>
      </x:c>
      <x:c r="B18" s="18" t="str">
        <x:v>EMP009</x:v>
      </x:c>
      <x:c r="C18" s="18" t="str">
        <x:v>Business</x:v>
      </x:c>
      <x:c r="D18" s="18" t="str">
        <x:v>Improve qualified loan pipeline</x:v>
      </x:c>
      <x:c r="E18" s="21" t="str">
        <x:v>Maintain weekly prospecting activity and improve funded-loan conversion.</x:v>
      </x:c>
      <x:c r="F18" s="20" t="n">
        <x:v>45658.5</x:v>
      </x:c>
      <x:c r="G18" s="20" t="n">
        <x:v>46022.5</x:v>
      </x:c>
      <x:c r="H18" s="18" t="str">
        <x:v>Completed</x:v>
      </x:c>
      <x:c r="I18" s="18" t="str">
        <x:v>MGR004</x:v>
      </x:c>
    </x:row>
    <x:row r="19" ht="15" hidden="0" customHeight="1">
      <x:c r="A19" s="18" t="str">
        <x:v>GOAL0018</x:v>
      </x:c>
      <x:c r="B19" s="18" t="str">
        <x:v>EMP009</x:v>
      </x:c>
      <x:c r="C19" s="18" t="str">
        <x:v>Development</x:v>
      </x:c>
      <x:c r="D19" s="18" t="str">
        <x:v>Strengthen advisory conversations</x:v>
      </x:c>
      <x:c r="E19" s="21" t="str">
        <x:v>Use discovery questions and product-fit documentation in customer meetings.</x:v>
      </x:c>
      <x:c r="F19" s="20" t="n">
        <x:v>45658.5</x:v>
      </x:c>
      <x:c r="G19" s="20" t="n">
        <x:v>46022.5</x:v>
      </x:c>
      <x:c r="H19" s="18" t="str">
        <x:v>Completed</x:v>
      </x:c>
      <x:c r="I19" s="18" t="str">
        <x:v>MGR004</x:v>
      </x:c>
    </x:row>
    <x:row r="20" ht="15" hidden="0" customHeight="1">
      <x:c r="A20" s="18" t="str">
        <x:v>GOAL0019</x:v>
      </x:c>
      <x:c r="B20" s="18" t="str">
        <x:v>EMP010</x:v>
      </x:c>
      <x:c r="C20" s="18" t="str">
        <x:v>Business</x:v>
      </x:c>
      <x:c r="D20" s="18" t="str">
        <x:v>Improve qualified loan pipeline</x:v>
      </x:c>
      <x:c r="E20" s="21" t="str">
        <x:v>Maintain weekly prospecting activity and improve funded-loan conversion.</x:v>
      </x:c>
      <x:c r="F20" s="20" t="n">
        <x:v>45658.5</x:v>
      </x:c>
      <x:c r="G20" s="20" t="n">
        <x:v>46022.5</x:v>
      </x:c>
      <x:c r="H20" s="18" t="str">
        <x:v>Completed</x:v>
      </x:c>
      <x:c r="I20" s="18" t="str">
        <x:v>MGR004</x:v>
      </x:c>
    </x:row>
    <x:row r="21" ht="24" hidden="0" customHeight="1">
      <x:c r="A21" s="18" t="str">
        <x:v>GOAL0020</x:v>
      </x:c>
      <x:c r="B21" s="18" t="str">
        <x:v>EMP010</x:v>
      </x:c>
      <x:c r="C21" s="18" t="str">
        <x:v>Development</x:v>
      </x:c>
      <x:c r="D21" s="18" t="str">
        <x:v>Expand lending-policy expertise</x:v>
      </x:c>
      <x:c r="E21" s="21" t="str">
        <x:v>Complete advanced policy training and review complex scenarios with the manager.</x:v>
      </x:c>
      <x:c r="F21" s="20" t="n">
        <x:v>45658.5</x:v>
      </x:c>
      <x:c r="G21" s="20" t="n">
        <x:v>46022.5</x:v>
      </x:c>
      <x:c r="H21" s="18" t="str">
        <x:v>Completed</x:v>
      </x:c>
      <x:c r="I21" s="18" t="str">
        <x:v>MGR004</x:v>
      </x:c>
    </x:row>
    <x:row r="22" ht="15" hidden="0" customHeight="1">
      <x:c r="A22" s="18" t="str">
        <x:v>GOAL0021</x:v>
      </x:c>
      <x:c r="B22" s="18" t="str">
        <x:v>EMP011</x:v>
      </x:c>
      <x:c r="C22" s="18" t="str">
        <x:v>Business</x:v>
      </x:c>
      <x:c r="D22" s="18" t="str">
        <x:v>Improve qualified loan pipeline</x:v>
      </x:c>
      <x:c r="E22" s="21" t="str">
        <x:v>Maintain weekly prospecting activity and improve funded-loan conversion.</x:v>
      </x:c>
      <x:c r="F22" s="20" t="n">
        <x:v>45658.5</x:v>
      </x:c>
      <x:c r="G22" s="20" t="n">
        <x:v>46022.5</x:v>
      </x:c>
      <x:c r="H22" s="18" t="str">
        <x:v>Completed</x:v>
      </x:c>
      <x:c r="I22" s="18" t="str">
        <x:v>MGR004</x:v>
      </x:c>
    </x:row>
    <x:row r="23" ht="15" hidden="0" customHeight="1">
      <x:c r="A23" s="18" t="str">
        <x:v>GOAL0022</x:v>
      </x:c>
      <x:c r="B23" s="18" t="str">
        <x:v>EMP011</x:v>
      </x:c>
      <x:c r="C23" s="18" t="str">
        <x:v>Development</x:v>
      </x:c>
      <x:c r="D23" s="18" t="str">
        <x:v>Strengthen advisory conversations</x:v>
      </x:c>
      <x:c r="E23" s="21" t="str">
        <x:v>Use discovery questions and product-fit documentation in customer meetings.</x:v>
      </x:c>
      <x:c r="F23" s="20" t="n">
        <x:v>45658.5</x:v>
      </x:c>
      <x:c r="G23" s="20" t="n">
        <x:v>46022.5</x:v>
      </x:c>
      <x:c r="H23" s="18" t="str">
        <x:v>Completed</x:v>
      </x:c>
      <x:c r="I23" s="18" t="str">
        <x:v>MGR004</x:v>
      </x:c>
    </x:row>
    <x:row r="24" ht="15" hidden="0" customHeight="1">
      <x:c r="A24" s="18" t="str">
        <x:v>GOAL0023</x:v>
      </x:c>
      <x:c r="B24" s="18" t="str">
        <x:v>EMP012</x:v>
      </x:c>
      <x:c r="C24" s="18" t="str">
        <x:v>Business</x:v>
      </x:c>
      <x:c r="D24" s="18" t="str">
        <x:v>Improve qualified loan pipeline</x:v>
      </x:c>
      <x:c r="E24" s="21" t="str">
        <x:v>Maintain weekly prospecting activity and improve funded-loan conversion.</x:v>
      </x:c>
      <x:c r="F24" s="20" t="n">
        <x:v>45658.5</x:v>
      </x:c>
      <x:c r="G24" s="20" t="n">
        <x:v>46022.5</x:v>
      </x:c>
      <x:c r="H24" s="18" t="str">
        <x:v>Completed</x:v>
      </x:c>
      <x:c r="I24" s="18" t="str">
        <x:v>MGR005</x:v>
      </x:c>
    </x:row>
    <x:row r="25" ht="24" hidden="0" customHeight="1">
      <x:c r="A25" s="18" t="str">
        <x:v>GOAL0024</x:v>
      </x:c>
      <x:c r="B25" s="18" t="str">
        <x:v>EMP012</x:v>
      </x:c>
      <x:c r="C25" s="18" t="str">
        <x:v>Development</x:v>
      </x:c>
      <x:c r="D25" s="18" t="str">
        <x:v>Expand lending-policy expertise</x:v>
      </x:c>
      <x:c r="E25" s="21" t="str">
        <x:v>Complete advanced policy training and review complex scenarios with the manager.</x:v>
      </x:c>
      <x:c r="F25" s="20" t="n">
        <x:v>45658.5</x:v>
      </x:c>
      <x:c r="G25" s="20" t="n">
        <x:v>46022.5</x:v>
      </x:c>
      <x:c r="H25" s="18" t="str">
        <x:v>Completed</x:v>
      </x:c>
      <x:c r="I25" s="18" t="str">
        <x:v>MGR005</x:v>
      </x:c>
    </x:row>
    <x:row r="26" ht="15" hidden="0" customHeight="1">
      <x:c r="A26" s="18" t="str">
        <x:v>GOAL0025</x:v>
      </x:c>
      <x:c r="B26" s="18" t="str">
        <x:v>EMP013</x:v>
      </x:c>
      <x:c r="C26" s="18" t="str">
        <x:v>Business</x:v>
      </x:c>
      <x:c r="D26" s="18" t="str">
        <x:v>Improve qualified loan pipeline</x:v>
      </x:c>
      <x:c r="E26" s="21" t="str">
        <x:v>Maintain weekly prospecting activity and improve funded-loan conversion.</x:v>
      </x:c>
      <x:c r="F26" s="20" t="n">
        <x:v>45658.5</x:v>
      </x:c>
      <x:c r="G26" s="20" t="n">
        <x:v>46022.5</x:v>
      </x:c>
      <x:c r="H26" s="18" t="str">
        <x:v>Completed</x:v>
      </x:c>
      <x:c r="I26" s="18" t="str">
        <x:v>MGR005</x:v>
      </x:c>
    </x:row>
    <x:row r="27" ht="15" hidden="0" customHeight="1">
      <x:c r="A27" s="18" t="str">
        <x:v>GOAL0026</x:v>
      </x:c>
      <x:c r="B27" s="18" t="str">
        <x:v>EMP013</x:v>
      </x:c>
      <x:c r="C27" s="18" t="str">
        <x:v>Development</x:v>
      </x:c>
      <x:c r="D27" s="18" t="str">
        <x:v>Strengthen advisory conversations</x:v>
      </x:c>
      <x:c r="E27" s="21" t="str">
        <x:v>Use discovery questions and product-fit documentation in customer meetings.</x:v>
      </x:c>
      <x:c r="F27" s="20" t="n">
        <x:v>45658.5</x:v>
      </x:c>
      <x:c r="G27" s="20" t="n">
        <x:v>46022.5</x:v>
      </x:c>
      <x:c r="H27" s="18" t="str">
        <x:v>Completed</x:v>
      </x:c>
      <x:c r="I27" s="18" t="str">
        <x:v>MGR005</x:v>
      </x:c>
    </x:row>
    <x:row r="28" ht="15" hidden="0" customHeight="1">
      <x:c r="A28" s="18" t="str">
        <x:v>GOAL0027</x:v>
      </x:c>
      <x:c r="B28" s="18" t="str">
        <x:v>EMP014</x:v>
      </x:c>
      <x:c r="C28" s="18" t="str">
        <x:v>Business</x:v>
      </x:c>
      <x:c r="D28" s="18" t="str">
        <x:v>Improve qualified loan pipeline</x:v>
      </x:c>
      <x:c r="E28" s="21" t="str">
        <x:v>Maintain weekly prospecting activity and improve funded-loan conversion.</x:v>
      </x:c>
      <x:c r="F28" s="20" t="n">
        <x:v>45658.5</x:v>
      </x:c>
      <x:c r="G28" s="20" t="n">
        <x:v>46022.5</x:v>
      </x:c>
      <x:c r="H28" s="18" t="str">
        <x:v>Completed</x:v>
      </x:c>
      <x:c r="I28" s="18" t="str">
        <x:v>MGR006</x:v>
      </x:c>
    </x:row>
    <x:row r="29" ht="24" hidden="0" customHeight="1">
      <x:c r="A29" s="18" t="str">
        <x:v>GOAL0028</x:v>
      </x:c>
      <x:c r="B29" s="18" t="str">
        <x:v>EMP014</x:v>
      </x:c>
      <x:c r="C29" s="18" t="str">
        <x:v>Development</x:v>
      </x:c>
      <x:c r="D29" s="18" t="str">
        <x:v>Expand lending-policy expertise</x:v>
      </x:c>
      <x:c r="E29" s="21" t="str">
        <x:v>Complete advanced policy training and review complex scenarios with the manager.</x:v>
      </x:c>
      <x:c r="F29" s="20" t="n">
        <x:v>45658.5</x:v>
      </x:c>
      <x:c r="G29" s="20" t="n">
        <x:v>46022.5</x:v>
      </x:c>
      <x:c r="H29" s="18" t="str">
        <x:v>Completed</x:v>
      </x:c>
      <x:c r="I29" s="18" t="str">
        <x:v>MGR006</x:v>
      </x:c>
    </x:row>
    <x:row r="30" ht="15" hidden="0" customHeight="1">
      <x:c r="A30" s="18" t="str">
        <x:v>GOAL0029</x:v>
      </x:c>
      <x:c r="B30" s="18" t="str">
        <x:v>EMP015</x:v>
      </x:c>
      <x:c r="C30" s="18" t="str">
        <x:v>Business</x:v>
      </x:c>
      <x:c r="D30" s="18" t="str">
        <x:v>Improve qualified loan pipeline</x:v>
      </x:c>
      <x:c r="E30" s="21" t="str">
        <x:v>Maintain weekly prospecting activity and improve funded-loan conversion.</x:v>
      </x:c>
      <x:c r="F30" s="20" t="n">
        <x:v>45658.5</x:v>
      </x:c>
      <x:c r="G30" s="20" t="n">
        <x:v>46022.5</x:v>
      </x:c>
      <x:c r="H30" s="18" t="str">
        <x:v>Completed</x:v>
      </x:c>
      <x:c r="I30" s="18" t="str">
        <x:v>MGR006</x:v>
      </x:c>
    </x:row>
    <x:row r="31" ht="15" hidden="0" customHeight="1">
      <x:c r="A31" s="18" t="str">
        <x:v>GOAL0030</x:v>
      </x:c>
      <x:c r="B31" s="18" t="str">
        <x:v>EMP015</x:v>
      </x:c>
      <x:c r="C31" s="18" t="str">
        <x:v>Development</x:v>
      </x:c>
      <x:c r="D31" s="18" t="str">
        <x:v>Strengthen advisory conversations</x:v>
      </x:c>
      <x:c r="E31" s="21" t="str">
        <x:v>Use discovery questions and product-fit documentation in customer meetings.</x:v>
      </x:c>
      <x:c r="F31" s="20" t="n">
        <x:v>45658.5</x:v>
      </x:c>
      <x:c r="G31" s="20" t="n">
        <x:v>46022.5</x:v>
      </x:c>
      <x:c r="H31" s="18" t="str">
        <x:v>Completed</x:v>
      </x:c>
      <x:c r="I31" s="18" t="str">
        <x:v>MGR006</x:v>
      </x:c>
    </x:row>
    <x:row r="32" ht="15" hidden="0" customHeight="1">
      <x:c r="A32" s="18" t="str">
        <x:v>GOAL0031</x:v>
      </x:c>
      <x:c r="B32" s="18" t="str">
        <x:v>EMP001</x:v>
      </x:c>
      <x:c r="C32" s="18" t="str">
        <x:v>Business</x:v>
      </x:c>
      <x:c r="D32" s="18" t="str">
        <x:v>Improve qualified loan pipeline</x:v>
      </x:c>
      <x:c r="E32" s="21" t="str">
        <x:v>Maintain weekly prospecting activity and improve funded-loan conversion.</x:v>
      </x:c>
      <x:c r="F32" s="20" t="n">
        <x:v>46023.5</x:v>
      </x:c>
      <x:c r="G32" s="20" t="n">
        <x:v>46295.5</x:v>
      </x:c>
      <x:c r="H32" s="18" t="str">
        <x:v>In progress</x:v>
      </x:c>
      <x:c r="I32" s="18" t="str">
        <x:v>MGR001</x:v>
      </x:c>
    </x:row>
    <x:row r="33" ht="15" hidden="0" customHeight="1">
      <x:c r="A33" s="18" t="str">
        <x:v>GOAL0032</x:v>
      </x:c>
      <x:c r="B33" s="18" t="str">
        <x:v>EMP001</x:v>
      </x:c>
      <x:c r="C33" s="18" t="str">
        <x:v>Development</x:v>
      </x:c>
      <x:c r="D33" s="18" t="str">
        <x:v>Strengthen advisory conversations</x:v>
      </x:c>
      <x:c r="E33" s="21" t="str">
        <x:v>Use discovery questions and product-fit documentation in customer meetings.</x:v>
      </x:c>
      <x:c r="F33" s="20" t="n">
        <x:v>46023.5</x:v>
      </x:c>
      <x:c r="G33" s="20" t="n">
        <x:v>46295.5</x:v>
      </x:c>
      <x:c r="H33" s="18" t="str">
        <x:v>In progress</x:v>
      </x:c>
      <x:c r="I33" s="18" t="str">
        <x:v>MGR001</x:v>
      </x:c>
    </x:row>
    <x:row r="34" ht="15" hidden="0" customHeight="1">
      <x:c r="A34" s="18" t="str">
        <x:v>GOAL0033</x:v>
      </x:c>
      <x:c r="B34" s="18" t="str">
        <x:v>EMP002</x:v>
      </x:c>
      <x:c r="C34" s="18" t="str">
        <x:v>Business</x:v>
      </x:c>
      <x:c r="D34" s="18" t="str">
        <x:v>Improve qualified loan pipeline</x:v>
      </x:c>
      <x:c r="E34" s="21" t="str">
        <x:v>Maintain weekly prospecting activity and improve funded-loan conversion.</x:v>
      </x:c>
      <x:c r="F34" s="20" t="n">
        <x:v>46023.5</x:v>
      </x:c>
      <x:c r="G34" s="20" t="n">
        <x:v>46295.5</x:v>
      </x:c>
      <x:c r="H34" s="18" t="str">
        <x:v>In progress</x:v>
      </x:c>
      <x:c r="I34" s="18" t="str">
        <x:v>MGR001</x:v>
      </x:c>
    </x:row>
    <x:row r="35" ht="24" hidden="0" customHeight="1">
      <x:c r="A35" s="18" t="str">
        <x:v>GOAL0034</x:v>
      </x:c>
      <x:c r="B35" s="18" t="str">
        <x:v>EMP002</x:v>
      </x:c>
      <x:c r="C35" s="18" t="str">
        <x:v>Development</x:v>
      </x:c>
      <x:c r="D35" s="18" t="str">
        <x:v>Expand lending-policy expertise</x:v>
      </x:c>
      <x:c r="E35" s="21" t="str">
        <x:v>Complete advanced policy training and review complex scenarios with the manager.</x:v>
      </x:c>
      <x:c r="F35" s="20" t="n">
        <x:v>46023.5</x:v>
      </x:c>
      <x:c r="G35" s="20" t="n">
        <x:v>46295.5</x:v>
      </x:c>
      <x:c r="H35" s="18" t="str">
        <x:v>In progress</x:v>
      </x:c>
      <x:c r="I35" s="18" t="str">
        <x:v>MGR001</x:v>
      </x:c>
    </x:row>
    <x:row r="36" ht="15" hidden="0" customHeight="1">
      <x:c r="A36" s="18" t="str">
        <x:v>GOAL0035</x:v>
      </x:c>
      <x:c r="B36" s="18" t="str">
        <x:v>EMP003</x:v>
      </x:c>
      <x:c r="C36" s="18" t="str">
        <x:v>Business</x:v>
      </x:c>
      <x:c r="D36" s="18" t="str">
        <x:v>Improve qualified loan pipeline</x:v>
      </x:c>
      <x:c r="E36" s="21" t="str">
        <x:v>Maintain weekly prospecting activity and improve funded-loan conversion.</x:v>
      </x:c>
      <x:c r="F36" s="20" t="n">
        <x:v>46023.5</x:v>
      </x:c>
      <x:c r="G36" s="20" t="n">
        <x:v>46295.5</x:v>
      </x:c>
      <x:c r="H36" s="18" t="str">
        <x:v>In progress</x:v>
      </x:c>
      <x:c r="I36" s="18" t="str">
        <x:v>MGR001</x:v>
      </x:c>
    </x:row>
    <x:row r="37" ht="15" hidden="0" customHeight="1">
      <x:c r="A37" s="18" t="str">
        <x:v>GOAL0036</x:v>
      </x:c>
      <x:c r="B37" s="18" t="str">
        <x:v>EMP003</x:v>
      </x:c>
      <x:c r="C37" s="18" t="str">
        <x:v>Development</x:v>
      </x:c>
      <x:c r="D37" s="18" t="str">
        <x:v>Strengthen advisory conversations</x:v>
      </x:c>
      <x:c r="E37" s="21" t="str">
        <x:v>Use discovery questions and product-fit documentation in customer meetings.</x:v>
      </x:c>
      <x:c r="F37" s="20" t="n">
        <x:v>46023.5</x:v>
      </x:c>
      <x:c r="G37" s="20" t="n">
        <x:v>46295.5</x:v>
      </x:c>
      <x:c r="H37" s="18" t="str">
        <x:v>In progress</x:v>
      </x:c>
      <x:c r="I37" s="18" t="str">
        <x:v>MGR001</x:v>
      </x:c>
    </x:row>
    <x:row r="38" ht="15" hidden="0" customHeight="1">
      <x:c r="A38" s="18" t="str">
        <x:v>GOAL0037</x:v>
      </x:c>
      <x:c r="B38" s="18" t="str">
        <x:v>EMP004</x:v>
      </x:c>
      <x:c r="C38" s="18" t="str">
        <x:v>Business</x:v>
      </x:c>
      <x:c r="D38" s="18" t="str">
        <x:v>Improve qualified loan pipeline</x:v>
      </x:c>
      <x:c r="E38" s="21" t="str">
        <x:v>Maintain weekly prospecting activity and improve funded-loan conversion.</x:v>
      </x:c>
      <x:c r="F38" s="20" t="n">
        <x:v>46023.5</x:v>
      </x:c>
      <x:c r="G38" s="20" t="n">
        <x:v>46295.5</x:v>
      </x:c>
      <x:c r="H38" s="18" t="str">
        <x:v>In progress</x:v>
      </x:c>
      <x:c r="I38" s="18" t="str">
        <x:v>MGR002</x:v>
      </x:c>
    </x:row>
    <x:row r="39" ht="24" hidden="0" customHeight="1">
      <x:c r="A39" s="18" t="str">
        <x:v>GOAL0038</x:v>
      </x:c>
      <x:c r="B39" s="18" t="str">
        <x:v>EMP004</x:v>
      </x:c>
      <x:c r="C39" s="18" t="str">
        <x:v>Development</x:v>
      </x:c>
      <x:c r="D39" s="18" t="str">
        <x:v>Expand lending-policy expertise</x:v>
      </x:c>
      <x:c r="E39" s="21" t="str">
        <x:v>Complete advanced policy training and review complex scenarios with the manager.</x:v>
      </x:c>
      <x:c r="F39" s="20" t="n">
        <x:v>46023.5</x:v>
      </x:c>
      <x:c r="G39" s="20" t="n">
        <x:v>46295.5</x:v>
      </x:c>
      <x:c r="H39" s="18" t="str">
        <x:v>In progress</x:v>
      </x:c>
      <x:c r="I39" s="18" t="str">
        <x:v>MGR002</x:v>
      </x:c>
    </x:row>
    <x:row r="40" ht="15" hidden="0" customHeight="1">
      <x:c r="A40" s="18" t="str">
        <x:v>GOAL0039</x:v>
      </x:c>
      <x:c r="B40" s="18" t="str">
        <x:v>EMP005</x:v>
      </x:c>
      <x:c r="C40" s="18" t="str">
        <x:v>Business</x:v>
      </x:c>
      <x:c r="D40" s="18" t="str">
        <x:v>Improve qualified loan pipeline</x:v>
      </x:c>
      <x:c r="E40" s="21" t="str">
        <x:v>Maintain weekly prospecting activity and improve funded-loan conversion.</x:v>
      </x:c>
      <x:c r="F40" s="20" t="n">
        <x:v>46023.5</x:v>
      </x:c>
      <x:c r="G40" s="20" t="n">
        <x:v>46295.5</x:v>
      </x:c>
      <x:c r="H40" s="18" t="str">
        <x:v>In progress</x:v>
      </x:c>
      <x:c r="I40" s="18" t="str">
        <x:v>MGR002</x:v>
      </x:c>
    </x:row>
    <x:row r="41" ht="15" hidden="0" customHeight="1">
      <x:c r="A41" s="18" t="str">
        <x:v>GOAL0040</x:v>
      </x:c>
      <x:c r="B41" s="18" t="str">
        <x:v>EMP005</x:v>
      </x:c>
      <x:c r="C41" s="18" t="str">
        <x:v>Development</x:v>
      </x:c>
      <x:c r="D41" s="18" t="str">
        <x:v>Strengthen advisory conversations</x:v>
      </x:c>
      <x:c r="E41" s="21" t="str">
        <x:v>Use discovery questions and product-fit documentation in customer meetings.</x:v>
      </x:c>
      <x:c r="F41" s="20" t="n">
        <x:v>46023.5</x:v>
      </x:c>
      <x:c r="G41" s="20" t="n">
        <x:v>46295.5</x:v>
      </x:c>
      <x:c r="H41" s="18" t="str">
        <x:v>In progress</x:v>
      </x:c>
      <x:c r="I41" s="18" t="str">
        <x:v>MGR002</x:v>
      </x:c>
    </x:row>
    <x:row r="42" ht="15" hidden="0" customHeight="1">
      <x:c r="A42" s="18" t="str">
        <x:v>GOAL0041</x:v>
      </x:c>
      <x:c r="B42" s="18" t="str">
        <x:v>EMP006</x:v>
      </x:c>
      <x:c r="C42" s="18" t="str">
        <x:v>Business</x:v>
      </x:c>
      <x:c r="D42" s="18" t="str">
        <x:v>Improve qualified loan pipeline</x:v>
      </x:c>
      <x:c r="E42" s="21" t="str">
        <x:v>Maintain weekly prospecting activity and improve funded-loan conversion.</x:v>
      </x:c>
      <x:c r="F42" s="20" t="n">
        <x:v>46023.5</x:v>
      </x:c>
      <x:c r="G42" s="20" t="n">
        <x:v>46295.5</x:v>
      </x:c>
      <x:c r="H42" s="18" t="str">
        <x:v>In progress</x:v>
      </x:c>
      <x:c r="I42" s="18" t="str">
        <x:v>MGR002</x:v>
      </x:c>
    </x:row>
    <x:row r="43" ht="24" hidden="0" customHeight="1">
      <x:c r="A43" s="18" t="str">
        <x:v>GOAL0042</x:v>
      </x:c>
      <x:c r="B43" s="18" t="str">
        <x:v>EMP006</x:v>
      </x:c>
      <x:c r="C43" s="18" t="str">
        <x:v>Development</x:v>
      </x:c>
      <x:c r="D43" s="18" t="str">
        <x:v>Expand lending-policy expertise</x:v>
      </x:c>
      <x:c r="E43" s="21" t="str">
        <x:v>Complete advanced policy training and review complex scenarios with the manager.</x:v>
      </x:c>
      <x:c r="F43" s="20" t="n">
        <x:v>46023.5</x:v>
      </x:c>
      <x:c r="G43" s="20" t="n">
        <x:v>46295.5</x:v>
      </x:c>
      <x:c r="H43" s="18" t="str">
        <x:v>In progress</x:v>
      </x:c>
      <x:c r="I43" s="18" t="str">
        <x:v>MGR002</x:v>
      </x:c>
    </x:row>
    <x:row r="44" ht="15" hidden="0" customHeight="1">
      <x:c r="A44" s="18" t="str">
        <x:v>GOAL0043</x:v>
      </x:c>
      <x:c r="B44" s="18" t="str">
        <x:v>EMP007</x:v>
      </x:c>
      <x:c r="C44" s="18" t="str">
        <x:v>Business</x:v>
      </x:c>
      <x:c r="D44" s="18" t="str">
        <x:v>Improve qualified loan pipeline</x:v>
      </x:c>
      <x:c r="E44" s="21" t="str">
        <x:v>Maintain weekly prospecting activity and improve funded-loan conversion.</x:v>
      </x:c>
      <x:c r="F44" s="20" t="n">
        <x:v>46023.5</x:v>
      </x:c>
      <x:c r="G44" s="20" t="n">
        <x:v>46295.5</x:v>
      </x:c>
      <x:c r="H44" s="18" t="str">
        <x:v>In progress</x:v>
      </x:c>
      <x:c r="I44" s="18" t="str">
        <x:v>MGR003</x:v>
      </x:c>
    </x:row>
    <x:row r="45" ht="15" hidden="0" customHeight="1">
      <x:c r="A45" s="18" t="str">
        <x:v>GOAL0044</x:v>
      </x:c>
      <x:c r="B45" s="18" t="str">
        <x:v>EMP007</x:v>
      </x:c>
      <x:c r="C45" s="18" t="str">
        <x:v>Development</x:v>
      </x:c>
      <x:c r="D45" s="18" t="str">
        <x:v>Strengthen advisory conversations</x:v>
      </x:c>
      <x:c r="E45" s="21" t="str">
        <x:v>Use discovery questions and product-fit documentation in customer meetings.</x:v>
      </x:c>
      <x:c r="F45" s="20" t="n">
        <x:v>46023.5</x:v>
      </x:c>
      <x:c r="G45" s="20" t="n">
        <x:v>46295.5</x:v>
      </x:c>
      <x:c r="H45" s="18" t="str">
        <x:v>In progress</x:v>
      </x:c>
      <x:c r="I45" s="18" t="str">
        <x:v>MGR003</x:v>
      </x:c>
    </x:row>
    <x:row r="46" ht="15" hidden="0" customHeight="1">
      <x:c r="A46" s="18" t="str">
        <x:v>GOAL0045</x:v>
      </x:c>
      <x:c r="B46" s="18" t="str">
        <x:v>EMP008</x:v>
      </x:c>
      <x:c r="C46" s="18" t="str">
        <x:v>Business</x:v>
      </x:c>
      <x:c r="D46" s="18" t="str">
        <x:v>Improve qualified loan pipeline</x:v>
      </x:c>
      <x:c r="E46" s="21" t="str">
        <x:v>Maintain weekly prospecting activity and improve funded-loan conversion.</x:v>
      </x:c>
      <x:c r="F46" s="20" t="n">
        <x:v>46023.5</x:v>
      </x:c>
      <x:c r="G46" s="20" t="n">
        <x:v>46295.5</x:v>
      </x:c>
      <x:c r="H46" s="18" t="str">
        <x:v>In progress</x:v>
      </x:c>
      <x:c r="I46" s="18" t="str">
        <x:v>MGR003</x:v>
      </x:c>
    </x:row>
    <x:row r="47" ht="24" hidden="0" customHeight="1">
      <x:c r="A47" s="18" t="str">
        <x:v>GOAL0046</x:v>
      </x:c>
      <x:c r="B47" s="18" t="str">
        <x:v>EMP008</x:v>
      </x:c>
      <x:c r="C47" s="18" t="str">
        <x:v>Development</x:v>
      </x:c>
      <x:c r="D47" s="18" t="str">
        <x:v>Expand lending-policy expertise</x:v>
      </x:c>
      <x:c r="E47" s="21" t="str">
        <x:v>Complete advanced policy training and review complex scenarios with the manager.</x:v>
      </x:c>
      <x:c r="F47" s="20" t="n">
        <x:v>46023.5</x:v>
      </x:c>
      <x:c r="G47" s="20" t="n">
        <x:v>46295.5</x:v>
      </x:c>
      <x:c r="H47" s="18" t="str">
        <x:v>In progress</x:v>
      </x:c>
      <x:c r="I47" s="18" t="str">
        <x:v>MGR003</x:v>
      </x:c>
    </x:row>
    <x:row r="48" ht="15" hidden="0" customHeight="1">
      <x:c r="A48" s="18" t="str">
        <x:v>GOAL0047</x:v>
      </x:c>
      <x:c r="B48" s="18" t="str">
        <x:v>EMP009</x:v>
      </x:c>
      <x:c r="C48" s="18" t="str">
        <x:v>Business</x:v>
      </x:c>
      <x:c r="D48" s="18" t="str">
        <x:v>Improve qualified loan pipeline</x:v>
      </x:c>
      <x:c r="E48" s="21" t="str">
        <x:v>Maintain weekly prospecting activity and improve funded-loan conversion.</x:v>
      </x:c>
      <x:c r="F48" s="20" t="n">
        <x:v>46023.5</x:v>
      </x:c>
      <x:c r="G48" s="20" t="n">
        <x:v>46295.5</x:v>
      </x:c>
      <x:c r="H48" s="18" t="str">
        <x:v>In progress</x:v>
      </x:c>
      <x:c r="I48" s="18" t="str">
        <x:v>MGR004</x:v>
      </x:c>
    </x:row>
    <x:row r="49" ht="15" hidden="0" customHeight="1">
      <x:c r="A49" s="18" t="str">
        <x:v>GOAL0048</x:v>
      </x:c>
      <x:c r="B49" s="18" t="str">
        <x:v>EMP009</x:v>
      </x:c>
      <x:c r="C49" s="18" t="str">
        <x:v>Development</x:v>
      </x:c>
      <x:c r="D49" s="18" t="str">
        <x:v>Strengthen advisory conversations</x:v>
      </x:c>
      <x:c r="E49" s="21" t="str">
        <x:v>Use discovery questions and product-fit documentation in customer meetings.</x:v>
      </x:c>
      <x:c r="F49" s="20" t="n">
        <x:v>46023.5</x:v>
      </x:c>
      <x:c r="G49" s="20" t="n">
        <x:v>46295.5</x:v>
      </x:c>
      <x:c r="H49" s="18" t="str">
        <x:v>In progress</x:v>
      </x:c>
      <x:c r="I49" s="18" t="str">
        <x:v>MGR004</x:v>
      </x:c>
    </x:row>
    <x:row r="50" ht="15" hidden="0" customHeight="1">
      <x:c r="A50" s="18" t="str">
        <x:v>GOAL0049</x:v>
      </x:c>
      <x:c r="B50" s="18" t="str">
        <x:v>EMP010</x:v>
      </x:c>
      <x:c r="C50" s="18" t="str">
        <x:v>Business</x:v>
      </x:c>
      <x:c r="D50" s="18" t="str">
        <x:v>Improve qualified loan pipeline</x:v>
      </x:c>
      <x:c r="E50" s="21" t="str">
        <x:v>Maintain weekly prospecting activity and improve funded-loan conversion.</x:v>
      </x:c>
      <x:c r="F50" s="20" t="n">
        <x:v>46023.5</x:v>
      </x:c>
      <x:c r="G50" s="20" t="n">
        <x:v>46295.5</x:v>
      </x:c>
      <x:c r="H50" s="18" t="str">
        <x:v>In progress</x:v>
      </x:c>
      <x:c r="I50" s="18" t="str">
        <x:v>MGR004</x:v>
      </x:c>
    </x:row>
    <x:row r="51" ht="24" hidden="0" customHeight="1">
      <x:c r="A51" s="18" t="str">
        <x:v>GOAL0050</x:v>
      </x:c>
      <x:c r="B51" s="18" t="str">
        <x:v>EMP010</x:v>
      </x:c>
      <x:c r="C51" s="18" t="str">
        <x:v>Development</x:v>
      </x:c>
      <x:c r="D51" s="18" t="str">
        <x:v>Expand lending-policy expertise</x:v>
      </x:c>
      <x:c r="E51" s="21" t="str">
        <x:v>Complete advanced policy training and review complex scenarios with the manager.</x:v>
      </x:c>
      <x:c r="F51" s="20" t="n">
        <x:v>46023.5</x:v>
      </x:c>
      <x:c r="G51" s="20" t="n">
        <x:v>46295.5</x:v>
      </x:c>
      <x:c r="H51" s="18" t="str">
        <x:v>In progress</x:v>
      </x:c>
      <x:c r="I51" s="18" t="str">
        <x:v>MGR004</x:v>
      </x:c>
    </x:row>
    <x:row r="52" ht="15" hidden="0" customHeight="1">
      <x:c r="A52" s="18" t="str">
        <x:v>GOAL0051</x:v>
      </x:c>
      <x:c r="B52" s="18" t="str">
        <x:v>EMP011</x:v>
      </x:c>
      <x:c r="C52" s="18" t="str">
        <x:v>Business</x:v>
      </x:c>
      <x:c r="D52" s="18" t="str">
        <x:v>Improve qualified loan pipeline</x:v>
      </x:c>
      <x:c r="E52" s="21" t="str">
        <x:v>Maintain weekly prospecting activity and improve funded-loan conversion.</x:v>
      </x:c>
      <x:c r="F52" s="20" t="n">
        <x:v>46023.5</x:v>
      </x:c>
      <x:c r="G52" s="20" t="n">
        <x:v>46295.5</x:v>
      </x:c>
      <x:c r="H52" s="18" t="str">
        <x:v>In progress</x:v>
      </x:c>
      <x:c r="I52" s="18" t="str">
        <x:v>MGR004</x:v>
      </x:c>
    </x:row>
    <x:row r="53" ht="15" hidden="0" customHeight="1">
      <x:c r="A53" s="18" t="str">
        <x:v>GOAL0052</x:v>
      </x:c>
      <x:c r="B53" s="18" t="str">
        <x:v>EMP011</x:v>
      </x:c>
      <x:c r="C53" s="18" t="str">
        <x:v>Development</x:v>
      </x:c>
      <x:c r="D53" s="18" t="str">
        <x:v>Strengthen advisory conversations</x:v>
      </x:c>
      <x:c r="E53" s="21" t="str">
        <x:v>Use discovery questions and product-fit documentation in customer meetings.</x:v>
      </x:c>
      <x:c r="F53" s="20" t="n">
        <x:v>46023.5</x:v>
      </x:c>
      <x:c r="G53" s="20" t="n">
        <x:v>46295.5</x:v>
      </x:c>
      <x:c r="H53" s="18" t="str">
        <x:v>In progress</x:v>
      </x:c>
      <x:c r="I53" s="18" t="str">
        <x:v>MGR004</x:v>
      </x:c>
    </x:row>
    <x:row r="54" ht="15" hidden="0" customHeight="1">
      <x:c r="A54" s="18" t="str">
        <x:v>GOAL0053</x:v>
      </x:c>
      <x:c r="B54" s="18" t="str">
        <x:v>EMP012</x:v>
      </x:c>
      <x:c r="C54" s="18" t="str">
        <x:v>Business</x:v>
      </x:c>
      <x:c r="D54" s="18" t="str">
        <x:v>Improve qualified loan pipeline</x:v>
      </x:c>
      <x:c r="E54" s="21" t="str">
        <x:v>Maintain weekly prospecting activity and improve funded-loan conversion.</x:v>
      </x:c>
      <x:c r="F54" s="20" t="n">
        <x:v>46023.5</x:v>
      </x:c>
      <x:c r="G54" s="20" t="n">
        <x:v>46295.5</x:v>
      </x:c>
      <x:c r="H54" s="18" t="str">
        <x:v>In progress</x:v>
      </x:c>
      <x:c r="I54" s="18" t="str">
        <x:v>MGR005</x:v>
      </x:c>
    </x:row>
    <x:row r="55" ht="24" hidden="0" customHeight="1">
      <x:c r="A55" s="18" t="str">
        <x:v>GOAL0054</x:v>
      </x:c>
      <x:c r="B55" s="18" t="str">
        <x:v>EMP012</x:v>
      </x:c>
      <x:c r="C55" s="18" t="str">
        <x:v>Development</x:v>
      </x:c>
      <x:c r="D55" s="18" t="str">
        <x:v>Expand lending-policy expertise</x:v>
      </x:c>
      <x:c r="E55" s="21" t="str">
        <x:v>Complete advanced policy training and review complex scenarios with the manager.</x:v>
      </x:c>
      <x:c r="F55" s="20" t="n">
        <x:v>46023.5</x:v>
      </x:c>
      <x:c r="G55" s="20" t="n">
        <x:v>46295.5</x:v>
      </x:c>
      <x:c r="H55" s="18" t="str">
        <x:v>In progress</x:v>
      </x:c>
      <x:c r="I55" s="18" t="str">
        <x:v>MGR005</x:v>
      </x:c>
    </x:row>
    <x:row r="56" ht="15" hidden="0" customHeight="1">
      <x:c r="A56" s="18" t="str">
        <x:v>GOAL0055</x:v>
      </x:c>
      <x:c r="B56" s="18" t="str">
        <x:v>EMP013</x:v>
      </x:c>
      <x:c r="C56" s="18" t="str">
        <x:v>Business</x:v>
      </x:c>
      <x:c r="D56" s="18" t="str">
        <x:v>Improve qualified loan pipeline</x:v>
      </x:c>
      <x:c r="E56" s="21" t="str">
        <x:v>Maintain weekly prospecting activity and improve funded-loan conversion.</x:v>
      </x:c>
      <x:c r="F56" s="20" t="n">
        <x:v>46023.5</x:v>
      </x:c>
      <x:c r="G56" s="20" t="n">
        <x:v>46295.5</x:v>
      </x:c>
      <x:c r="H56" s="18" t="str">
        <x:v>In progress</x:v>
      </x:c>
      <x:c r="I56" s="18" t="str">
        <x:v>MGR005</x:v>
      </x:c>
    </x:row>
    <x:row r="57" ht="15" hidden="0" customHeight="1">
      <x:c r="A57" s="18" t="str">
        <x:v>GOAL0056</x:v>
      </x:c>
      <x:c r="B57" s="18" t="str">
        <x:v>EMP013</x:v>
      </x:c>
      <x:c r="C57" s="18" t="str">
        <x:v>Development</x:v>
      </x:c>
      <x:c r="D57" s="18" t="str">
        <x:v>Strengthen advisory conversations</x:v>
      </x:c>
      <x:c r="E57" s="21" t="str">
        <x:v>Use discovery questions and product-fit documentation in customer meetings.</x:v>
      </x:c>
      <x:c r="F57" s="20" t="n">
        <x:v>46023.5</x:v>
      </x:c>
      <x:c r="G57" s="20" t="n">
        <x:v>46295.5</x:v>
      </x:c>
      <x:c r="H57" s="18" t="str">
        <x:v>In progress</x:v>
      </x:c>
      <x:c r="I57" s="18" t="str">
        <x:v>MGR005</x:v>
      </x:c>
    </x:row>
    <x:row r="58" ht="15" hidden="0" customHeight="1">
      <x:c r="A58" s="18" t="str">
        <x:v>GOAL0057</x:v>
      </x:c>
      <x:c r="B58" s="18" t="str">
        <x:v>EMP014</x:v>
      </x:c>
      <x:c r="C58" s="18" t="str">
        <x:v>Business</x:v>
      </x:c>
      <x:c r="D58" s="18" t="str">
        <x:v>Improve qualified loan pipeline</x:v>
      </x:c>
      <x:c r="E58" s="21" t="str">
        <x:v>Maintain weekly prospecting activity and improve funded-loan conversion.</x:v>
      </x:c>
      <x:c r="F58" s="20" t="n">
        <x:v>46023.5</x:v>
      </x:c>
      <x:c r="G58" s="20" t="n">
        <x:v>46295.5</x:v>
      </x:c>
      <x:c r="H58" s="18" t="str">
        <x:v>In progress</x:v>
      </x:c>
      <x:c r="I58" s="18" t="str">
        <x:v>MGR006</x:v>
      </x:c>
    </x:row>
    <x:row r="59" ht="24" hidden="0" customHeight="1">
      <x:c r="A59" s="18" t="str">
        <x:v>GOAL0058</x:v>
      </x:c>
      <x:c r="B59" s="18" t="str">
        <x:v>EMP014</x:v>
      </x:c>
      <x:c r="C59" s="18" t="str">
        <x:v>Development</x:v>
      </x:c>
      <x:c r="D59" s="18" t="str">
        <x:v>Expand lending-policy expertise</x:v>
      </x:c>
      <x:c r="E59" s="21" t="str">
        <x:v>Complete advanced policy training and review complex scenarios with the manager.</x:v>
      </x:c>
      <x:c r="F59" s="20" t="n">
        <x:v>46023.5</x:v>
      </x:c>
      <x:c r="G59" s="20" t="n">
        <x:v>46295.5</x:v>
      </x:c>
      <x:c r="H59" s="18" t="str">
        <x:v>In progress</x:v>
      </x:c>
      <x:c r="I59" s="18" t="str">
        <x:v>MGR006</x:v>
      </x:c>
    </x:row>
    <x:row r="60" ht="15" hidden="0" customHeight="1">
      <x:c r="A60" s="18" t="str">
        <x:v>GOAL0059</x:v>
      </x:c>
      <x:c r="B60" s="18" t="str">
        <x:v>EMP015</x:v>
      </x:c>
      <x:c r="C60" s="18" t="str">
        <x:v>Business</x:v>
      </x:c>
      <x:c r="D60" s="18" t="str">
        <x:v>Improve qualified loan pipeline</x:v>
      </x:c>
      <x:c r="E60" s="21" t="str">
        <x:v>Maintain weekly prospecting activity and improve funded-loan conversion.</x:v>
      </x:c>
      <x:c r="F60" s="20" t="n">
        <x:v>46023.5</x:v>
      </x:c>
      <x:c r="G60" s="20" t="n">
        <x:v>46295.5</x:v>
      </x:c>
      <x:c r="H60" s="18" t="str">
        <x:v>In progress</x:v>
      </x:c>
      <x:c r="I60" s="18" t="str">
        <x:v>MGR006</x:v>
      </x:c>
    </x:row>
    <x:row r="61" ht="15" hidden="0" customHeight="1">
      <x:c r="A61" s="18" t="str">
        <x:v>GOAL0060</x:v>
      </x:c>
      <x:c r="B61" s="18" t="str">
        <x:v>EMP015</x:v>
      </x:c>
      <x:c r="C61" s="18" t="str">
        <x:v>Development</x:v>
      </x:c>
      <x:c r="D61" s="18" t="str">
        <x:v>Strengthen advisory conversations</x:v>
      </x:c>
      <x:c r="E61" s="21" t="str">
        <x:v>Use discovery questions and product-fit documentation in customer meetings.</x:v>
      </x:c>
      <x:c r="F61" s="20" t="n">
        <x:v>46023.5</x:v>
      </x:c>
      <x:c r="G61" s="20" t="n">
        <x:v>46295.5</x:v>
      </x:c>
      <x:c r="H61" s="18" t="str">
        <x:v>In progress</x:v>
      </x:c>
      <x:c r="I61" s="18" t="str">
        <x:v>MGR006</x:v>
      </x:c>
    </x:row>
  </x:sheetData>
  <x:pageMargins left="0.7" right="0.7" top="0.75" bottom="0.75" header="0.3" footer="0.3"/>
  <x:tableParts count="1">
    <x:tablePart xmlns:r="http://schemas.openxmlformats.org/officeDocument/2006/relationships" r:id="R21cd5ff2c87b42bf"/>
  </x:tableParts>
</x:worksheet>
</file>

<file path=xl/worksheets/sheet14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20" hidden="0" customWidth="1"/>
    <x:col min="5" max="5" width="52" hidden="0" customWidth="1"/>
    <x:col min="6" max="6" width="14" hidden="0" customWidth="1"/>
    <x:col min="7" max="7" width="14" hidden="0" customWidth="1"/>
  </x:cols>
  <x:sheetData>
    <x:row r="1" ht="30" hidden="0" customHeight="1">
      <x:c r="A1" s="15" t="str">
        <x:v>progress_id</x:v>
      </x:c>
      <x:c r="B1" s="16" t="str">
        <x:v>goal_id</x:v>
      </x:c>
      <x:c r="C1" s="16" t="str">
        <x:v>cycle_id</x:v>
      </x:c>
      <x:c r="D1" s="16" t="str">
        <x:v>completion_percent</x:v>
      </x:c>
      <x:c r="E1" s="16" t="str">
        <x:v>progress_note</x:v>
      </x:c>
      <x:c r="F1" s="16" t="str">
        <x:v>progress_date</x:v>
      </x:c>
      <x:c r="G1" s="17" t="str">
        <x:v>updated_by_employee_id</x:v>
      </x:c>
    </x:row>
    <x:row r="2" ht="15" hidden="0" customHeight="1">
      <x:c r="A2" s="18" t="str">
        <x:v>GP00001</x:v>
      </x:c>
      <x:c r="B2" s="18" t="str">
        <x:v>GOAL0001</x:v>
      </x:c>
      <x:c r="C2" s="18" t="str">
        <x:v>CY2025Q1</x:v>
      </x:c>
      <x:c r="D2" s="22" t="n">
        <x:v>55</x:v>
      </x:c>
      <x:c r="E2" s="21" t="str">
        <x:v>Ahead of plan</x:v>
      </x:c>
      <x:c r="F2" s="20" t="n">
        <x:v>45747.5</x:v>
      </x:c>
      <x:c r="G2" s="18" t="str">
        <x:v>MGR001</x:v>
      </x:c>
    </x:row>
    <x:row r="3" ht="15" hidden="0" customHeight="1">
      <x:c r="A3" s="18" t="str">
        <x:v>GP00002</x:v>
      </x:c>
      <x:c r="B3" s="18" t="str">
        <x:v>GOAL0002</x:v>
      </x:c>
      <x:c r="C3" s="18" t="str">
        <x:v>CY2025Q1</x:v>
      </x:c>
      <x:c r="D3" s="22" t="n">
        <x:v>50</x:v>
      </x:c>
      <x:c r="E3" s="21" t="str">
        <x:v>Applied learning in customer and peer discussions</x:v>
      </x:c>
      <x:c r="F3" s="20" t="n">
        <x:v>45747.5</x:v>
      </x:c>
      <x:c r="G3" s="18" t="str">
        <x:v>MGR001</x:v>
      </x:c>
    </x:row>
    <x:row r="4" ht="15" hidden="0" customHeight="1">
      <x:c r="A4" s="18" t="str">
        <x:v>GP00003</x:v>
      </x:c>
      <x:c r="B4" s="18" t="str">
        <x:v>GOAL0001</x:v>
      </x:c>
      <x:c r="C4" s="18" t="str">
        <x:v>CY2025Q2</x:v>
      </x:c>
      <x:c r="D4" s="22" t="n">
        <x:v>77</x:v>
      </x:c>
      <x:c r="E4" s="21" t="str">
        <x:v>Ahead of plan</x:v>
      </x:c>
      <x:c r="F4" s="20" t="n">
        <x:v>45838.5</x:v>
      </x:c>
      <x:c r="G4" s="18" t="str">
        <x:v>MGR001</x:v>
      </x:c>
    </x:row>
    <x:row r="5" ht="15" hidden="0" customHeight="1">
      <x:c r="A5" s="18" t="str">
        <x:v>GP00004</x:v>
      </x:c>
      <x:c r="B5" s="18" t="str">
        <x:v>GOAL0002</x:v>
      </x:c>
      <x:c r="C5" s="18" t="str">
        <x:v>CY2025Q2</x:v>
      </x:c>
      <x:c r="D5" s="22" t="n">
        <x:v>72</x:v>
      </x:c>
      <x:c r="E5" s="21" t="str">
        <x:v>Applied learning in customer and peer discussions</x:v>
      </x:c>
      <x:c r="F5" s="20" t="n">
        <x:v>45838.5</x:v>
      </x:c>
      <x:c r="G5" s="18" t="str">
        <x:v>MGR001</x:v>
      </x:c>
    </x:row>
    <x:row r="6" ht="15" hidden="0" customHeight="1">
      <x:c r="A6" s="18" t="str">
        <x:v>GP00005</x:v>
      </x:c>
      <x:c r="B6" s="18" t="str">
        <x:v>GOAL0001</x:v>
      </x:c>
      <x:c r="C6" s="18" t="str">
        <x:v>CY2025Q3</x:v>
      </x:c>
      <x:c r="D6" s="22" t="n">
        <x:v>99</x:v>
      </x:c>
      <x:c r="E6" s="21" t="str">
        <x:v>Ahead of plan</x:v>
      </x:c>
      <x:c r="F6" s="20" t="n">
        <x:v>45930.5</x:v>
      </x:c>
      <x:c r="G6" s="18" t="str">
        <x:v>MGR001</x:v>
      </x:c>
    </x:row>
    <x:row r="7" ht="15" hidden="0" customHeight="1">
      <x:c r="A7" s="18" t="str">
        <x:v>GP00006</x:v>
      </x:c>
      <x:c r="B7" s="18" t="str">
        <x:v>GOAL0002</x:v>
      </x:c>
      <x:c r="C7" s="18" t="str">
        <x:v>CY2025Q3</x:v>
      </x:c>
      <x:c r="D7" s="22" t="n">
        <x:v>94</x:v>
      </x:c>
      <x:c r="E7" s="21" t="str">
        <x:v>Applied learning in customer and peer discussions</x:v>
      </x:c>
      <x:c r="F7" s="20" t="n">
        <x:v>45930.5</x:v>
      </x:c>
      <x:c r="G7" s="18" t="str">
        <x:v>MGR001</x:v>
      </x:c>
    </x:row>
    <x:row r="8" ht="15" hidden="0" customHeight="1">
      <x:c r="A8" s="18" t="str">
        <x:v>GP00007</x:v>
      </x:c>
      <x:c r="B8" s="18" t="str">
        <x:v>GOAL0001</x:v>
      </x:c>
      <x:c r="C8" s="18" t="str">
        <x:v>CY2025Q4</x:v>
      </x:c>
      <x:c r="D8" s="22" t="n">
        <x:v>100</x:v>
      </x:c>
      <x:c r="E8" s="21" t="str">
        <x:v>Ahead of plan</x:v>
      </x:c>
      <x:c r="F8" s="20" t="n">
        <x:v>46022.5</x:v>
      </x:c>
      <x:c r="G8" s="18" t="str">
        <x:v>MGR001</x:v>
      </x:c>
    </x:row>
    <x:row r="9" ht="15" hidden="0" customHeight="1">
      <x:c r="A9" s="18" t="str">
        <x:v>GP00008</x:v>
      </x:c>
      <x:c r="B9" s="18" t="str">
        <x:v>GOAL0002</x:v>
      </x:c>
      <x:c r="C9" s="18" t="str">
        <x:v>CY2025Q4</x:v>
      </x:c>
      <x:c r="D9" s="22" t="n">
        <x:v>95</x:v>
      </x:c>
      <x:c r="E9" s="21" t="str">
        <x:v>Applied learning in customer and peer discussions</x:v>
      </x:c>
      <x:c r="F9" s="20" t="n">
        <x:v>46022.5</x:v>
      </x:c>
      <x:c r="G9" s="18" t="str">
        <x:v>MGR001</x:v>
      </x:c>
    </x:row>
    <x:row r="10" ht="15" hidden="0" customHeight="1">
      <x:c r="A10" s="18" t="str">
        <x:v>GP00009</x:v>
      </x:c>
      <x:c r="B10" s="18" t="str">
        <x:v>GOAL0003</x:v>
      </x:c>
      <x:c r="C10" s="18" t="str">
        <x:v>CY2025Q1</x:v>
      </x:c>
      <x:c r="D10" s="22" t="n">
        <x:v>51</x:v>
      </x:c>
      <x:c r="E10" s="21" t="str">
        <x:v>Ahead of plan</x:v>
      </x:c>
      <x:c r="F10" s="20" t="n">
        <x:v>45747.5</x:v>
      </x:c>
      <x:c r="G10" s="18" t="str">
        <x:v>MGR001</x:v>
      </x:c>
    </x:row>
    <x:row r="11" ht="15" hidden="0" customHeight="1">
      <x:c r="A11" s="18" t="str">
        <x:v>GP00010</x:v>
      </x:c>
      <x:c r="B11" s="18" t="str">
        <x:v>GOAL0004</x:v>
      </x:c>
      <x:c r="C11" s="18" t="str">
        <x:v>CY2025Q1</x:v>
      </x:c>
      <x:c r="D11" s="22" t="n">
        <x:v>46</x:v>
      </x:c>
      <x:c r="E11" s="21" t="str">
        <x:v>Applied learning in customer and peer discussions</x:v>
      </x:c>
      <x:c r="F11" s="20" t="n">
        <x:v>45747.5</x:v>
      </x:c>
      <x:c r="G11" s="18" t="str">
        <x:v>MGR001</x:v>
      </x:c>
    </x:row>
    <x:row r="12" ht="15" hidden="0" customHeight="1">
      <x:c r="A12" s="18" t="str">
        <x:v>GP00011</x:v>
      </x:c>
      <x:c r="B12" s="18" t="str">
        <x:v>GOAL0003</x:v>
      </x:c>
      <x:c r="C12" s="18" t="str">
        <x:v>CY2025Q2</x:v>
      </x:c>
      <x:c r="D12" s="22" t="n">
        <x:v>73</x:v>
      </x:c>
      <x:c r="E12" s="21" t="str">
        <x:v>Ahead of plan</x:v>
      </x:c>
      <x:c r="F12" s="20" t="n">
        <x:v>45838.5</x:v>
      </x:c>
      <x:c r="G12" s="18" t="str">
        <x:v>MGR001</x:v>
      </x:c>
    </x:row>
    <x:row r="13" ht="15" hidden="0" customHeight="1">
      <x:c r="A13" s="18" t="str">
        <x:v>GP00012</x:v>
      </x:c>
      <x:c r="B13" s="18" t="str">
        <x:v>GOAL0004</x:v>
      </x:c>
      <x:c r="C13" s="18" t="str">
        <x:v>CY2025Q2</x:v>
      </x:c>
      <x:c r="D13" s="22" t="n">
        <x:v>68</x:v>
      </x:c>
      <x:c r="E13" s="21" t="str">
        <x:v>Applied learning in customer and peer discussions</x:v>
      </x:c>
      <x:c r="F13" s="20" t="n">
        <x:v>45838.5</x:v>
      </x:c>
      <x:c r="G13" s="18" t="str">
        <x:v>MGR001</x:v>
      </x:c>
    </x:row>
    <x:row r="14" ht="15" hidden="0" customHeight="1">
      <x:c r="A14" s="18" t="str">
        <x:v>GP00013</x:v>
      </x:c>
      <x:c r="B14" s="18" t="str">
        <x:v>GOAL0003</x:v>
      </x:c>
      <x:c r="C14" s="18" t="str">
        <x:v>CY2025Q3</x:v>
      </x:c>
      <x:c r="D14" s="22" t="n">
        <x:v>95</x:v>
      </x:c>
      <x:c r="E14" s="21" t="str">
        <x:v>Ahead of plan</x:v>
      </x:c>
      <x:c r="F14" s="20" t="n">
        <x:v>45930.5</x:v>
      </x:c>
      <x:c r="G14" s="18" t="str">
        <x:v>MGR001</x:v>
      </x:c>
    </x:row>
    <x:row r="15" ht="15" hidden="0" customHeight="1">
      <x:c r="A15" s="18" t="str">
        <x:v>GP00014</x:v>
      </x:c>
      <x:c r="B15" s="18" t="str">
        <x:v>GOAL0004</x:v>
      </x:c>
      <x:c r="C15" s="18" t="str">
        <x:v>CY2025Q3</x:v>
      </x:c>
      <x:c r="D15" s="22" t="n">
        <x:v>90</x:v>
      </x:c>
      <x:c r="E15" s="21" t="str">
        <x:v>Applied learning in customer and peer discussions</x:v>
      </x:c>
      <x:c r="F15" s="20" t="n">
        <x:v>45930.5</x:v>
      </x:c>
      <x:c r="G15" s="18" t="str">
        <x:v>MGR001</x:v>
      </x:c>
    </x:row>
    <x:row r="16" ht="15" hidden="0" customHeight="1">
      <x:c r="A16" s="18" t="str">
        <x:v>GP00015</x:v>
      </x:c>
      <x:c r="B16" s="18" t="str">
        <x:v>GOAL0003</x:v>
      </x:c>
      <x:c r="C16" s="18" t="str">
        <x:v>CY2025Q4</x:v>
      </x:c>
      <x:c r="D16" s="22" t="n">
        <x:v>100</x:v>
      </x:c>
      <x:c r="E16" s="21" t="str">
        <x:v>On plan</x:v>
      </x:c>
      <x:c r="F16" s="20" t="n">
        <x:v>46022.5</x:v>
      </x:c>
      <x:c r="G16" s="18" t="str">
        <x:v>MGR001</x:v>
      </x:c>
    </x:row>
    <x:row r="17" ht="15" hidden="0" customHeight="1">
      <x:c r="A17" s="18" t="str">
        <x:v>GP00016</x:v>
      </x:c>
      <x:c r="B17" s="18" t="str">
        <x:v>GOAL0004</x:v>
      </x:c>
      <x:c r="C17" s="18" t="str">
        <x:v>CY2025Q4</x:v>
      </x:c>
      <x:c r="D17" s="22" t="n">
        <x:v>95</x:v>
      </x:c>
      <x:c r="E17" s="21" t="str">
        <x:v>Training and coaching activities are continuing</x:v>
      </x:c>
      <x:c r="F17" s="20" t="n">
        <x:v>46022.5</x:v>
      </x:c>
      <x:c r="G17" s="18" t="str">
        <x:v>MGR001</x:v>
      </x:c>
    </x:row>
    <x:row r="18" ht="15" hidden="0" customHeight="1">
      <x:c r="A18" s="18" t="str">
        <x:v>GP00017</x:v>
      </x:c>
      <x:c r="B18" s="18" t="str">
        <x:v>GOAL0005</x:v>
      </x:c>
      <x:c r="C18" s="18" t="str">
        <x:v>CY2025Q1</x:v>
      </x:c>
      <x:c r="D18" s="22" t="n">
        <x:v>47</x:v>
      </x:c>
      <x:c r="E18" s="21" t="str">
        <x:v>On plan</x:v>
      </x:c>
      <x:c r="F18" s="20" t="n">
        <x:v>45747.5</x:v>
      </x:c>
      <x:c r="G18" s="18" t="str">
        <x:v>MGR001</x:v>
      </x:c>
    </x:row>
    <x:row r="19" ht="15" hidden="0" customHeight="1">
      <x:c r="A19" s="18" t="str">
        <x:v>GP00018</x:v>
      </x:c>
      <x:c r="B19" s="18" t="str">
        <x:v>GOAL0006</x:v>
      </x:c>
      <x:c r="C19" s="18" t="str">
        <x:v>CY2025Q1</x:v>
      </x:c>
      <x:c r="D19" s="22" t="n">
        <x:v>42</x:v>
      </x:c>
      <x:c r="E19" s="21" t="str">
        <x:v>Training and coaching activities are continuing</x:v>
      </x:c>
      <x:c r="F19" s="20" t="n">
        <x:v>45747.5</x:v>
      </x:c>
      <x:c r="G19" s="18" t="str">
        <x:v>MGR001</x:v>
      </x:c>
    </x:row>
    <x:row r="20" ht="15" hidden="0" customHeight="1">
      <x:c r="A20" s="18" t="str">
        <x:v>GP00019</x:v>
      </x:c>
      <x:c r="B20" s="18" t="str">
        <x:v>GOAL0005</x:v>
      </x:c>
      <x:c r="C20" s="18" t="str">
        <x:v>CY2025Q2</x:v>
      </x:c>
      <x:c r="D20" s="22" t="n">
        <x:v>65</x:v>
      </x:c>
      <x:c r="E20" s="21" t="str">
        <x:v>Needs additional pipeline activity</x:v>
      </x:c>
      <x:c r="F20" s="20" t="n">
        <x:v>45838.5</x:v>
      </x:c>
      <x:c r="G20" s="18" t="str">
        <x:v>MGR001</x:v>
      </x:c>
    </x:row>
    <x:row r="21" ht="15" hidden="0" customHeight="1">
      <x:c r="A21" s="18" t="str">
        <x:v>GP00020</x:v>
      </x:c>
      <x:c r="B21" s="18" t="str">
        <x:v>GOAL0006</x:v>
      </x:c>
      <x:c r="C21" s="18" t="str">
        <x:v>CY2025Q2</x:v>
      </x:c>
      <x:c r="D21" s="22" t="n">
        <x:v>60</x:v>
      </x:c>
      <x:c r="E21" s="21" t="str">
        <x:v>Training and coaching activities are continuing</x:v>
      </x:c>
      <x:c r="F21" s="20" t="n">
        <x:v>45838.5</x:v>
      </x:c>
      <x:c r="G21" s="18" t="str">
        <x:v>MGR001</x:v>
      </x:c>
    </x:row>
    <x:row r="22" ht="15" hidden="0" customHeight="1">
      <x:c r="A22" s="18" t="str">
        <x:v>GP00021</x:v>
      </x:c>
      <x:c r="B22" s="18" t="str">
        <x:v>GOAL0005</x:v>
      </x:c>
      <x:c r="C22" s="18" t="str">
        <x:v>CY2025Q3</x:v>
      </x:c>
      <x:c r="D22" s="22" t="n">
        <x:v>91</x:v>
      </x:c>
      <x:c r="E22" s="21" t="str">
        <x:v>On plan</x:v>
      </x:c>
      <x:c r="F22" s="20" t="n">
        <x:v>45930.5</x:v>
      </x:c>
      <x:c r="G22" s="18" t="str">
        <x:v>MGR001</x:v>
      </x:c>
    </x:row>
    <x:row r="23" ht="15" hidden="0" customHeight="1">
      <x:c r="A23" s="18" t="str">
        <x:v>GP00022</x:v>
      </x:c>
      <x:c r="B23" s="18" t="str">
        <x:v>GOAL0006</x:v>
      </x:c>
      <x:c r="C23" s="18" t="str">
        <x:v>CY2025Q3</x:v>
      </x:c>
      <x:c r="D23" s="22" t="n">
        <x:v>86</x:v>
      </x:c>
      <x:c r="E23" s="21" t="str">
        <x:v>Training and coaching activities are continuing</x:v>
      </x:c>
      <x:c r="F23" s="20" t="n">
        <x:v>45930.5</x:v>
      </x:c>
      <x:c r="G23" s="18" t="str">
        <x:v>MGR001</x:v>
      </x:c>
    </x:row>
    <x:row r="24" ht="15" hidden="0" customHeight="1">
      <x:c r="A24" s="18" t="str">
        <x:v>GP00023</x:v>
      </x:c>
      <x:c r="B24" s="18" t="str">
        <x:v>GOAL0005</x:v>
      </x:c>
      <x:c r="C24" s="18" t="str">
        <x:v>CY2025Q4</x:v>
      </x:c>
      <x:c r="D24" s="22" t="n">
        <x:v>100</x:v>
      </x:c>
      <x:c r="E24" s="21" t="str">
        <x:v>Ahead of plan</x:v>
      </x:c>
      <x:c r="F24" s="20" t="n">
        <x:v>46022.5</x:v>
      </x:c>
      <x:c r="G24" s="18" t="str">
        <x:v>MGR001</x:v>
      </x:c>
    </x:row>
    <x:row r="25" ht="15" hidden="0" customHeight="1">
      <x:c r="A25" s="18" t="str">
        <x:v>GP00024</x:v>
      </x:c>
      <x:c r="B25" s="18" t="str">
        <x:v>GOAL0006</x:v>
      </x:c>
      <x:c r="C25" s="18" t="str">
        <x:v>CY2025Q4</x:v>
      </x:c>
      <x:c r="D25" s="22" t="n">
        <x:v>95</x:v>
      </x:c>
      <x:c r="E25" s="21" t="str">
        <x:v>Applied learning in customer and peer discussions</x:v>
      </x:c>
      <x:c r="F25" s="20" t="n">
        <x:v>46022.5</x:v>
      </x:c>
      <x:c r="G25" s="18" t="str">
        <x:v>MGR001</x:v>
      </x:c>
    </x:row>
    <x:row r="26" ht="15" hidden="0" customHeight="1">
      <x:c r="A26" s="18" t="str">
        <x:v>GP00025</x:v>
      </x:c>
      <x:c r="B26" s="18" t="str">
        <x:v>GOAL0007</x:v>
      </x:c>
      <x:c r="C26" s="18" t="str">
        <x:v>CY2025Q1</x:v>
      </x:c>
      <x:c r="D26" s="22" t="n">
        <x:v>43</x:v>
      </x:c>
      <x:c r="E26" s="21" t="str">
        <x:v>Needs additional pipeline activity</x:v>
      </x:c>
      <x:c r="F26" s="20" t="n">
        <x:v>45747.5</x:v>
      </x:c>
      <x:c r="G26" s="18" t="str">
        <x:v>MGR002</x:v>
      </x:c>
    </x:row>
    <x:row r="27" ht="15" hidden="0" customHeight="1">
      <x:c r="A27" s="18" t="str">
        <x:v>GP00026</x:v>
      </x:c>
      <x:c r="B27" s="18" t="str">
        <x:v>GOAL0008</x:v>
      </x:c>
      <x:c r="C27" s="18" t="str">
        <x:v>CY2025Q1</x:v>
      </x:c>
      <x:c r="D27" s="22" t="n">
        <x:v>38</x:v>
      </x:c>
      <x:c r="E27" s="21" t="str">
        <x:v>Training and coaching activities are continuing</x:v>
      </x:c>
      <x:c r="F27" s="20" t="n">
        <x:v>45747.5</x:v>
      </x:c>
      <x:c r="G27" s="18" t="str">
        <x:v>MGR002</x:v>
      </x:c>
    </x:row>
    <x:row r="28" ht="15" hidden="0" customHeight="1">
      <x:c r="A28" s="18" t="str">
        <x:v>GP00027</x:v>
      </x:c>
      <x:c r="B28" s="18" t="str">
        <x:v>GOAL0007</x:v>
      </x:c>
      <x:c r="C28" s="18" t="str">
        <x:v>CY2025Q2</x:v>
      </x:c>
      <x:c r="D28" s="22" t="n">
        <x:v>65</x:v>
      </x:c>
      <x:c r="E28" s="21" t="str">
        <x:v>Needs additional pipeline activity</x:v>
      </x:c>
      <x:c r="F28" s="20" t="n">
        <x:v>45838.5</x:v>
      </x:c>
      <x:c r="G28" s="18" t="str">
        <x:v>MGR002</x:v>
      </x:c>
    </x:row>
    <x:row r="29" ht="15" hidden="0" customHeight="1">
      <x:c r="A29" s="18" t="str">
        <x:v>GP00028</x:v>
      </x:c>
      <x:c r="B29" s="18" t="str">
        <x:v>GOAL0008</x:v>
      </x:c>
      <x:c r="C29" s="18" t="str">
        <x:v>CY2025Q2</x:v>
      </x:c>
      <x:c r="D29" s="22" t="n">
        <x:v>60</x:v>
      </x:c>
      <x:c r="E29" s="21" t="str">
        <x:v>Training and coaching activities are continuing</x:v>
      </x:c>
      <x:c r="F29" s="20" t="n">
        <x:v>45838.5</x:v>
      </x:c>
      <x:c r="G29" s="18" t="str">
        <x:v>MGR002</x:v>
      </x:c>
    </x:row>
    <x:row r="30" ht="15" hidden="0" customHeight="1">
      <x:c r="A30" s="18" t="str">
        <x:v>GP00029</x:v>
      </x:c>
      <x:c r="B30" s="18" t="str">
        <x:v>GOAL0007</x:v>
      </x:c>
      <x:c r="C30" s="18" t="str">
        <x:v>CY2025Q3</x:v>
      </x:c>
      <x:c r="D30" s="22" t="n">
        <x:v>91</x:v>
      </x:c>
      <x:c r="E30" s="21" t="str">
        <x:v>On plan</x:v>
      </x:c>
      <x:c r="F30" s="20" t="n">
        <x:v>45930.5</x:v>
      </x:c>
      <x:c r="G30" s="18" t="str">
        <x:v>MGR002</x:v>
      </x:c>
    </x:row>
    <x:row r="31" ht="15" hidden="0" customHeight="1">
      <x:c r="A31" s="18" t="str">
        <x:v>GP00030</x:v>
      </x:c>
      <x:c r="B31" s="18" t="str">
        <x:v>GOAL0008</x:v>
      </x:c>
      <x:c r="C31" s="18" t="str">
        <x:v>CY2025Q3</x:v>
      </x:c>
      <x:c r="D31" s="22" t="n">
        <x:v>86</x:v>
      </x:c>
      <x:c r="E31" s="21" t="str">
        <x:v>Training and coaching activities are continuing</x:v>
      </x:c>
      <x:c r="F31" s="20" t="n">
        <x:v>45930.5</x:v>
      </x:c>
      <x:c r="G31" s="18" t="str">
        <x:v>MGR002</x:v>
      </x:c>
    </x:row>
    <x:row r="32" ht="15" hidden="0" customHeight="1">
      <x:c r="A32" s="18" t="str">
        <x:v>GP00031</x:v>
      </x:c>
      <x:c r="B32" s="18" t="str">
        <x:v>GOAL0007</x:v>
      </x:c>
      <x:c r="C32" s="18" t="str">
        <x:v>CY2025Q4</x:v>
      </x:c>
      <x:c r="D32" s="22" t="n">
        <x:v>100</x:v>
      </x:c>
      <x:c r="E32" s="21" t="str">
        <x:v>Needs additional pipeline activity</x:v>
      </x:c>
      <x:c r="F32" s="20" t="n">
        <x:v>46022.5</x:v>
      </x:c>
      <x:c r="G32" s="18" t="str">
        <x:v>MGR002</x:v>
      </x:c>
    </x:row>
    <x:row r="33" ht="15" hidden="0" customHeight="1">
      <x:c r="A33" s="18" t="str">
        <x:v>GP00032</x:v>
      </x:c>
      <x:c r="B33" s="18" t="str">
        <x:v>GOAL0008</x:v>
      </x:c>
      <x:c r="C33" s="18" t="str">
        <x:v>CY2025Q4</x:v>
      </x:c>
      <x:c r="D33" s="22" t="n">
        <x:v>95</x:v>
      </x:c>
      <x:c r="E33" s="21" t="str">
        <x:v>Training and coaching activities are continuing</x:v>
      </x:c>
      <x:c r="F33" s="20" t="n">
        <x:v>46022.5</x:v>
      </x:c>
      <x:c r="G33" s="18" t="str">
        <x:v>MGR002</x:v>
      </x:c>
    </x:row>
    <x:row r="34" ht="15" hidden="0" customHeight="1">
      <x:c r="A34" s="18" t="str">
        <x:v>GP00033</x:v>
      </x:c>
      <x:c r="B34" s="18" t="str">
        <x:v>GOAL0009</x:v>
      </x:c>
      <x:c r="C34" s="18" t="str">
        <x:v>CY2025Q1</x:v>
      </x:c>
      <x:c r="D34" s="22" t="n">
        <x:v>51</x:v>
      </x:c>
      <x:c r="E34" s="21" t="str">
        <x:v>Ahead of plan</x:v>
      </x:c>
      <x:c r="F34" s="20" t="n">
        <x:v>45747.5</x:v>
      </x:c>
      <x:c r="G34" s="18" t="str">
        <x:v>MGR002</x:v>
      </x:c>
    </x:row>
    <x:row r="35" ht="15" hidden="0" customHeight="1">
      <x:c r="A35" s="18" t="str">
        <x:v>GP00034</x:v>
      </x:c>
      <x:c r="B35" s="18" t="str">
        <x:v>GOAL0010</x:v>
      </x:c>
      <x:c r="C35" s="18" t="str">
        <x:v>CY2025Q1</x:v>
      </x:c>
      <x:c r="D35" s="22" t="n">
        <x:v>46</x:v>
      </x:c>
      <x:c r="E35" s="21" t="str">
        <x:v>Applied learning in customer and peer discussions</x:v>
      </x:c>
      <x:c r="F35" s="20" t="n">
        <x:v>45747.5</x:v>
      </x:c>
      <x:c r="G35" s="18" t="str">
        <x:v>MGR002</x:v>
      </x:c>
    </x:row>
    <x:row r="36" ht="15" hidden="0" customHeight="1">
      <x:c r="A36" s="18" t="str">
        <x:v>GP00035</x:v>
      </x:c>
      <x:c r="B36" s="18" t="str">
        <x:v>GOAL0009</x:v>
      </x:c>
      <x:c r="C36" s="18" t="str">
        <x:v>CY2025Q2</x:v>
      </x:c>
      <x:c r="D36" s="22" t="n">
        <x:v>73</x:v>
      </x:c>
      <x:c r="E36" s="21" t="str">
        <x:v>Ahead of plan</x:v>
      </x:c>
      <x:c r="F36" s="20" t="n">
        <x:v>45838.5</x:v>
      </x:c>
      <x:c r="G36" s="18" t="str">
        <x:v>MGR002</x:v>
      </x:c>
    </x:row>
    <x:row r="37" ht="15" hidden="0" customHeight="1">
      <x:c r="A37" s="18" t="str">
        <x:v>GP00036</x:v>
      </x:c>
      <x:c r="B37" s="18" t="str">
        <x:v>GOAL0010</x:v>
      </x:c>
      <x:c r="C37" s="18" t="str">
        <x:v>CY2025Q2</x:v>
      </x:c>
      <x:c r="D37" s="22" t="n">
        <x:v>68</x:v>
      </x:c>
      <x:c r="E37" s="21" t="str">
        <x:v>Applied learning in customer and peer discussions</x:v>
      </x:c>
      <x:c r="F37" s="20" t="n">
        <x:v>45838.5</x:v>
      </x:c>
      <x:c r="G37" s="18" t="str">
        <x:v>MGR002</x:v>
      </x:c>
    </x:row>
    <x:row r="38" ht="15" hidden="0" customHeight="1">
      <x:c r="A38" s="18" t="str">
        <x:v>GP00037</x:v>
      </x:c>
      <x:c r="B38" s="18" t="str">
        <x:v>GOAL0009</x:v>
      </x:c>
      <x:c r="C38" s="18" t="str">
        <x:v>CY2025Q3</x:v>
      </x:c>
      <x:c r="D38" s="22" t="n">
        <x:v>95</x:v>
      </x:c>
      <x:c r="E38" s="21" t="str">
        <x:v>Ahead of plan</x:v>
      </x:c>
      <x:c r="F38" s="20" t="n">
        <x:v>45930.5</x:v>
      </x:c>
      <x:c r="G38" s="18" t="str">
        <x:v>MGR002</x:v>
      </x:c>
    </x:row>
    <x:row r="39" ht="15" hidden="0" customHeight="1">
      <x:c r="A39" s="18" t="str">
        <x:v>GP00038</x:v>
      </x:c>
      <x:c r="B39" s="18" t="str">
        <x:v>GOAL0010</x:v>
      </x:c>
      <x:c r="C39" s="18" t="str">
        <x:v>CY2025Q3</x:v>
      </x:c>
      <x:c r="D39" s="22" t="n">
        <x:v>90</x:v>
      </x:c>
      <x:c r="E39" s="21" t="str">
        <x:v>Applied learning in customer and peer discussions</x:v>
      </x:c>
      <x:c r="F39" s="20" t="n">
        <x:v>45930.5</x:v>
      </x:c>
      <x:c r="G39" s="18" t="str">
        <x:v>MGR002</x:v>
      </x:c>
    </x:row>
    <x:row r="40" ht="15" hidden="0" customHeight="1">
      <x:c r="A40" s="18" t="str">
        <x:v>GP00039</x:v>
      </x:c>
      <x:c r="B40" s="18" t="str">
        <x:v>GOAL0009</x:v>
      </x:c>
      <x:c r="C40" s="18" t="str">
        <x:v>CY2025Q4</x:v>
      </x:c>
      <x:c r="D40" s="22" t="n">
        <x:v>100</x:v>
      </x:c>
      <x:c r="E40" s="21" t="str">
        <x:v>Ahead of plan</x:v>
      </x:c>
      <x:c r="F40" s="20" t="n">
        <x:v>46022.5</x:v>
      </x:c>
      <x:c r="G40" s="18" t="str">
        <x:v>MGR002</x:v>
      </x:c>
    </x:row>
    <x:row r="41" ht="15" hidden="0" customHeight="1">
      <x:c r="A41" s="18" t="str">
        <x:v>GP00040</x:v>
      </x:c>
      <x:c r="B41" s="18" t="str">
        <x:v>GOAL0010</x:v>
      </x:c>
      <x:c r="C41" s="18" t="str">
        <x:v>CY2025Q4</x:v>
      </x:c>
      <x:c r="D41" s="22" t="n">
        <x:v>95</x:v>
      </x:c>
      <x:c r="E41" s="21" t="str">
        <x:v>Applied learning in customer and peer discussions</x:v>
      </x:c>
      <x:c r="F41" s="20" t="n">
        <x:v>46022.5</x:v>
      </x:c>
      <x:c r="G41" s="18" t="str">
        <x:v>MGR002</x:v>
      </x:c>
    </x:row>
    <x:row r="42" ht="15" hidden="0" customHeight="1">
      <x:c r="A42" s="18" t="str">
        <x:v>GP00041</x:v>
      </x:c>
      <x:c r="B42" s="18" t="str">
        <x:v>GOAL0011</x:v>
      </x:c>
      <x:c r="C42" s="18" t="str">
        <x:v>CY2025Q1</x:v>
      </x:c>
      <x:c r="D42" s="22" t="n">
        <x:v>51</x:v>
      </x:c>
      <x:c r="E42" s="21" t="str">
        <x:v>Ahead of plan</x:v>
      </x:c>
      <x:c r="F42" s="20" t="n">
        <x:v>45747.5</x:v>
      </x:c>
      <x:c r="G42" s="18" t="str">
        <x:v>MGR002</x:v>
      </x:c>
    </x:row>
    <x:row r="43" ht="15" hidden="0" customHeight="1">
      <x:c r="A43" s="18" t="str">
        <x:v>GP00042</x:v>
      </x:c>
      <x:c r="B43" s="18" t="str">
        <x:v>GOAL0012</x:v>
      </x:c>
      <x:c r="C43" s="18" t="str">
        <x:v>CY2025Q1</x:v>
      </x:c>
      <x:c r="D43" s="22" t="n">
        <x:v>46</x:v>
      </x:c>
      <x:c r="E43" s="21" t="str">
        <x:v>Applied learning in customer and peer discussions</x:v>
      </x:c>
      <x:c r="F43" s="20" t="n">
        <x:v>45747.5</x:v>
      </x:c>
      <x:c r="G43" s="18" t="str">
        <x:v>MGR002</x:v>
      </x:c>
    </x:row>
    <x:row r="44" ht="15" hidden="0" customHeight="1">
      <x:c r="A44" s="18" t="str">
        <x:v>GP00043</x:v>
      </x:c>
      <x:c r="B44" s="18" t="str">
        <x:v>GOAL0011</x:v>
      </x:c>
      <x:c r="C44" s="18" t="str">
        <x:v>CY2025Q2</x:v>
      </x:c>
      <x:c r="D44" s="22" t="n">
        <x:v>69</x:v>
      </x:c>
      <x:c r="E44" s="21" t="str">
        <x:v>On plan</x:v>
      </x:c>
      <x:c r="F44" s="20" t="n">
        <x:v>45838.5</x:v>
      </x:c>
      <x:c r="G44" s="18" t="str">
        <x:v>MGR002</x:v>
      </x:c>
    </x:row>
    <x:row r="45" ht="15" hidden="0" customHeight="1">
      <x:c r="A45" s="18" t="str">
        <x:v>GP00044</x:v>
      </x:c>
      <x:c r="B45" s="18" t="str">
        <x:v>GOAL0012</x:v>
      </x:c>
      <x:c r="C45" s="18" t="str">
        <x:v>CY2025Q2</x:v>
      </x:c>
      <x:c r="D45" s="22" t="n">
        <x:v>64</x:v>
      </x:c>
      <x:c r="E45" s="21" t="str">
        <x:v>Training and coaching activities are continuing</x:v>
      </x:c>
      <x:c r="F45" s="20" t="n">
        <x:v>45838.5</x:v>
      </x:c>
      <x:c r="G45" s="18" t="str">
        <x:v>MGR002</x:v>
      </x:c>
    </x:row>
    <x:row r="46" ht="15" hidden="0" customHeight="1">
      <x:c r="A46" s="18" t="str">
        <x:v>GP00045</x:v>
      </x:c>
      <x:c r="B46" s="18" t="str">
        <x:v>GOAL0011</x:v>
      </x:c>
      <x:c r="C46" s="18" t="str">
        <x:v>CY2025Q3</x:v>
      </x:c>
      <x:c r="D46" s="22" t="n">
        <x:v>87</x:v>
      </x:c>
      <x:c r="E46" s="21" t="str">
        <x:v>Needs additional pipeline activity</x:v>
      </x:c>
      <x:c r="F46" s="20" t="n">
        <x:v>45930.5</x:v>
      </x:c>
      <x:c r="G46" s="18" t="str">
        <x:v>MGR002</x:v>
      </x:c>
    </x:row>
    <x:row r="47" ht="15" hidden="0" customHeight="1">
      <x:c r="A47" s="18" t="str">
        <x:v>GP00046</x:v>
      </x:c>
      <x:c r="B47" s="18" t="str">
        <x:v>GOAL0012</x:v>
      </x:c>
      <x:c r="C47" s="18" t="str">
        <x:v>CY2025Q3</x:v>
      </x:c>
      <x:c r="D47" s="22" t="n">
        <x:v>82</x:v>
      </x:c>
      <x:c r="E47" s="21" t="str">
        <x:v>Training and coaching activities are continuing</x:v>
      </x:c>
      <x:c r="F47" s="20" t="n">
        <x:v>45930.5</x:v>
      </x:c>
      <x:c r="G47" s="18" t="str">
        <x:v>MGR002</x:v>
      </x:c>
    </x:row>
    <x:row r="48" ht="15" hidden="0" customHeight="1">
      <x:c r="A48" s="18" t="str">
        <x:v>GP00047</x:v>
      </x:c>
      <x:c r="B48" s="18" t="str">
        <x:v>GOAL0011</x:v>
      </x:c>
      <x:c r="C48" s="18" t="str">
        <x:v>CY2025Q4</x:v>
      </x:c>
      <x:c r="D48" s="22" t="n">
        <x:v>100</x:v>
      </x:c>
      <x:c r="E48" s="21" t="str">
        <x:v>On plan</x:v>
      </x:c>
      <x:c r="F48" s="20" t="n">
        <x:v>46022.5</x:v>
      </x:c>
      <x:c r="G48" s="18" t="str">
        <x:v>MGR002</x:v>
      </x:c>
    </x:row>
    <x:row r="49" ht="15" hidden="0" customHeight="1">
      <x:c r="A49" s="18" t="str">
        <x:v>GP00048</x:v>
      </x:c>
      <x:c r="B49" s="18" t="str">
        <x:v>GOAL0012</x:v>
      </x:c>
      <x:c r="C49" s="18" t="str">
        <x:v>CY2025Q4</x:v>
      </x:c>
      <x:c r="D49" s="22" t="n">
        <x:v>95</x:v>
      </x:c>
      <x:c r="E49" s="21" t="str">
        <x:v>Training and coaching activities are continuing</x:v>
      </x:c>
      <x:c r="F49" s="20" t="n">
        <x:v>46022.5</x:v>
      </x:c>
      <x:c r="G49" s="18" t="str">
        <x:v>MGR002</x:v>
      </x:c>
    </x:row>
    <x:row r="50" ht="15" hidden="0" customHeight="1">
      <x:c r="A50" s="18" t="str">
        <x:v>GP00049</x:v>
      </x:c>
      <x:c r="B50" s="18" t="str">
        <x:v>GOAL0013</x:v>
      </x:c>
      <x:c r="C50" s="18" t="str">
        <x:v>CY2025Q1</x:v>
      </x:c>
      <x:c r="D50" s="22" t="n">
        <x:v>43</x:v>
      </x:c>
      <x:c r="E50" s="21" t="str">
        <x:v>Needs additional pipeline activity</x:v>
      </x:c>
      <x:c r="F50" s="20" t="n">
        <x:v>45747.5</x:v>
      </x:c>
      <x:c r="G50" s="18" t="str">
        <x:v>MGR003</x:v>
      </x:c>
    </x:row>
    <x:row r="51" ht="15" hidden="0" customHeight="1">
      <x:c r="A51" s="18" t="str">
        <x:v>GP00050</x:v>
      </x:c>
      <x:c r="B51" s="18" t="str">
        <x:v>GOAL0014</x:v>
      </x:c>
      <x:c r="C51" s="18" t="str">
        <x:v>CY2025Q1</x:v>
      </x:c>
      <x:c r="D51" s="22" t="n">
        <x:v>38</x:v>
      </x:c>
      <x:c r="E51" s="21" t="str">
        <x:v>Training and coaching activities are continuing</x:v>
      </x:c>
      <x:c r="F51" s="20" t="n">
        <x:v>45747.5</x:v>
      </x:c>
      <x:c r="G51" s="18" t="str">
        <x:v>MGR003</x:v>
      </x:c>
    </x:row>
    <x:row r="52" ht="15" hidden="0" customHeight="1">
      <x:c r="A52" s="18" t="str">
        <x:v>GP00051</x:v>
      </x:c>
      <x:c r="B52" s="18" t="str">
        <x:v>GOAL0013</x:v>
      </x:c>
      <x:c r="C52" s="18" t="str">
        <x:v>CY2025Q2</x:v>
      </x:c>
      <x:c r="D52" s="22" t="n">
        <x:v>65</x:v>
      </x:c>
      <x:c r="E52" s="21" t="str">
        <x:v>Needs additional pipeline activity</x:v>
      </x:c>
      <x:c r="F52" s="20" t="n">
        <x:v>45838.5</x:v>
      </x:c>
      <x:c r="G52" s="18" t="str">
        <x:v>MGR003</x:v>
      </x:c>
    </x:row>
    <x:row r="53" ht="15" hidden="0" customHeight="1">
      <x:c r="A53" s="18" t="str">
        <x:v>GP00052</x:v>
      </x:c>
      <x:c r="B53" s="18" t="str">
        <x:v>GOAL0014</x:v>
      </x:c>
      <x:c r="C53" s="18" t="str">
        <x:v>CY2025Q2</x:v>
      </x:c>
      <x:c r="D53" s="22" t="n">
        <x:v>60</x:v>
      </x:c>
      <x:c r="E53" s="21" t="str">
        <x:v>Training and coaching activities are continuing</x:v>
      </x:c>
      <x:c r="F53" s="20" t="n">
        <x:v>45838.5</x:v>
      </x:c>
      <x:c r="G53" s="18" t="str">
        <x:v>MGR003</x:v>
      </x:c>
    </x:row>
    <x:row r="54" ht="15" hidden="0" customHeight="1">
      <x:c r="A54" s="18" t="str">
        <x:v>GP00053</x:v>
      </x:c>
      <x:c r="B54" s="18" t="str">
        <x:v>GOAL0013</x:v>
      </x:c>
      <x:c r="C54" s="18" t="str">
        <x:v>CY2025Q3</x:v>
      </x:c>
      <x:c r="D54" s="22" t="n">
        <x:v>87</x:v>
      </x:c>
      <x:c r="E54" s="21" t="str">
        <x:v>Needs additional pipeline activity</x:v>
      </x:c>
      <x:c r="F54" s="20" t="n">
        <x:v>45930.5</x:v>
      </x:c>
      <x:c r="G54" s="18" t="str">
        <x:v>MGR003</x:v>
      </x:c>
    </x:row>
    <x:row r="55" ht="15" hidden="0" customHeight="1">
      <x:c r="A55" s="18" t="str">
        <x:v>GP00054</x:v>
      </x:c>
      <x:c r="B55" s="18" t="str">
        <x:v>GOAL0014</x:v>
      </x:c>
      <x:c r="C55" s="18" t="str">
        <x:v>CY2025Q3</x:v>
      </x:c>
      <x:c r="D55" s="22" t="n">
        <x:v>82</x:v>
      </x:c>
      <x:c r="E55" s="21" t="str">
        <x:v>Training and coaching activities are continuing</x:v>
      </x:c>
      <x:c r="F55" s="20" t="n">
        <x:v>45930.5</x:v>
      </x:c>
      <x:c r="G55" s="18" t="str">
        <x:v>MGR003</x:v>
      </x:c>
    </x:row>
    <x:row r="56" ht="15" hidden="0" customHeight="1">
      <x:c r="A56" s="18" t="str">
        <x:v>GP00055</x:v>
      </x:c>
      <x:c r="B56" s="18" t="str">
        <x:v>GOAL0013</x:v>
      </x:c>
      <x:c r="C56" s="18" t="str">
        <x:v>CY2025Q4</x:v>
      </x:c>
      <x:c r="D56" s="22" t="n">
        <x:v>100</x:v>
      </x:c>
      <x:c r="E56" s="21" t="str">
        <x:v>Needs additional pipeline activity</x:v>
      </x:c>
      <x:c r="F56" s="20" t="n">
        <x:v>46022.5</x:v>
      </x:c>
      <x:c r="G56" s="18" t="str">
        <x:v>MGR003</x:v>
      </x:c>
    </x:row>
    <x:row r="57" ht="15" hidden="0" customHeight="1">
      <x:c r="A57" s="18" t="str">
        <x:v>GP00056</x:v>
      </x:c>
      <x:c r="B57" s="18" t="str">
        <x:v>GOAL0014</x:v>
      </x:c>
      <x:c r="C57" s="18" t="str">
        <x:v>CY2025Q4</x:v>
      </x:c>
      <x:c r="D57" s="22" t="n">
        <x:v>95</x:v>
      </x:c>
      <x:c r="E57" s="21" t="str">
        <x:v>Training and coaching activities are continuing</x:v>
      </x:c>
      <x:c r="F57" s="20" t="n">
        <x:v>46022.5</x:v>
      </x:c>
      <x:c r="G57" s="18" t="str">
        <x:v>MGR003</x:v>
      </x:c>
    </x:row>
    <x:row r="58" ht="15" hidden="0" customHeight="1">
      <x:c r="A58" s="18" t="str">
        <x:v>GP00057</x:v>
      </x:c>
      <x:c r="B58" s="18" t="str">
        <x:v>GOAL0015</x:v>
      </x:c>
      <x:c r="C58" s="18" t="str">
        <x:v>CY2025Q1</x:v>
      </x:c>
      <x:c r="D58" s="22" t="n">
        <x:v>39</x:v>
      </x:c>
      <x:c r="E58" s="21" t="str">
        <x:v>Needs additional pipeline activity</x:v>
      </x:c>
      <x:c r="F58" s="20" t="n">
        <x:v>45747.5</x:v>
      </x:c>
      <x:c r="G58" s="18" t="str">
        <x:v>MGR003</x:v>
      </x:c>
    </x:row>
    <x:row r="59" ht="15" hidden="0" customHeight="1">
      <x:c r="A59" s="18" t="str">
        <x:v>GP00058</x:v>
      </x:c>
      <x:c r="B59" s="18" t="str">
        <x:v>GOAL0016</x:v>
      </x:c>
      <x:c r="C59" s="18" t="str">
        <x:v>CY2025Q1</x:v>
      </x:c>
      <x:c r="D59" s="22" t="n">
        <x:v>34</x:v>
      </x:c>
      <x:c r="E59" s="21" t="str">
        <x:v>Training and coaching activities are continuing</x:v>
      </x:c>
      <x:c r="F59" s="20" t="n">
        <x:v>45747.5</x:v>
      </x:c>
      <x:c r="G59" s="18" t="str">
        <x:v>MGR003</x:v>
      </x:c>
    </x:row>
    <x:row r="60" ht="15" hidden="0" customHeight="1">
      <x:c r="A60" s="18" t="str">
        <x:v>GP00059</x:v>
      </x:c>
      <x:c r="B60" s="18" t="str">
        <x:v>GOAL0015</x:v>
      </x:c>
      <x:c r="C60" s="18" t="str">
        <x:v>CY2025Q2</x:v>
      </x:c>
      <x:c r="D60" s="22" t="n">
        <x:v>61</x:v>
      </x:c>
      <x:c r="E60" s="21" t="str">
        <x:v>Needs additional pipeline activity</x:v>
      </x:c>
      <x:c r="F60" s="20" t="n">
        <x:v>45838.5</x:v>
      </x:c>
      <x:c r="G60" s="18" t="str">
        <x:v>MGR003</x:v>
      </x:c>
    </x:row>
    <x:row r="61" ht="15" hidden="0" customHeight="1">
      <x:c r="A61" s="18" t="str">
        <x:v>GP00060</x:v>
      </x:c>
      <x:c r="B61" s="18" t="str">
        <x:v>GOAL0016</x:v>
      </x:c>
      <x:c r="C61" s="18" t="str">
        <x:v>CY2025Q2</x:v>
      </x:c>
      <x:c r="D61" s="22" t="n">
        <x:v>56</x:v>
      </x:c>
      <x:c r="E61" s="21" t="str">
        <x:v>Training and coaching activities are continuing</x:v>
      </x:c>
      <x:c r="F61" s="20" t="n">
        <x:v>45838.5</x:v>
      </x:c>
      <x:c r="G61" s="18" t="str">
        <x:v>MGR003</x:v>
      </x:c>
    </x:row>
    <x:row r="62" ht="15" hidden="0" customHeight="1">
      <x:c r="A62" s="18" t="str">
        <x:v>GP00061</x:v>
      </x:c>
      <x:c r="B62" s="18" t="str">
        <x:v>GOAL0015</x:v>
      </x:c>
      <x:c r="C62" s="18" t="str">
        <x:v>CY2025Q3</x:v>
      </x:c>
      <x:c r="D62" s="22" t="n">
        <x:v>83</x:v>
      </x:c>
      <x:c r="E62" s="21" t="str">
        <x:v>Needs additional pipeline activity</x:v>
      </x:c>
      <x:c r="F62" s="20" t="n">
        <x:v>45930.5</x:v>
      </x:c>
      <x:c r="G62" s="18" t="str">
        <x:v>MGR003</x:v>
      </x:c>
    </x:row>
    <x:row r="63" ht="15" hidden="0" customHeight="1">
      <x:c r="A63" s="18" t="str">
        <x:v>GP00062</x:v>
      </x:c>
      <x:c r="B63" s="18" t="str">
        <x:v>GOAL0016</x:v>
      </x:c>
      <x:c r="C63" s="18" t="str">
        <x:v>CY2025Q3</x:v>
      </x:c>
      <x:c r="D63" s="22" t="n">
        <x:v>78</x:v>
      </x:c>
      <x:c r="E63" s="21" t="str">
        <x:v>Training and coaching activities are continuing</x:v>
      </x:c>
      <x:c r="F63" s="20" t="n">
        <x:v>45930.5</x:v>
      </x:c>
      <x:c r="G63" s="18" t="str">
        <x:v>MGR003</x:v>
      </x:c>
    </x:row>
    <x:row r="64" ht="15" hidden="0" customHeight="1">
      <x:c r="A64" s="18" t="str">
        <x:v>GP00063</x:v>
      </x:c>
      <x:c r="B64" s="18" t="str">
        <x:v>GOAL0015</x:v>
      </x:c>
      <x:c r="C64" s="18" t="str">
        <x:v>CY2025Q4</x:v>
      </x:c>
      <x:c r="D64" s="22" t="n">
        <x:v>100</x:v>
      </x:c>
      <x:c r="E64" s="21" t="str">
        <x:v>Needs additional pipeline activity</x:v>
      </x:c>
      <x:c r="F64" s="20" t="n">
        <x:v>46022.5</x:v>
      </x:c>
      <x:c r="G64" s="18" t="str">
        <x:v>MGR003</x:v>
      </x:c>
    </x:row>
    <x:row r="65" ht="15" hidden="0" customHeight="1">
      <x:c r="A65" s="18" t="str">
        <x:v>GP00064</x:v>
      </x:c>
      <x:c r="B65" s="18" t="str">
        <x:v>GOAL0016</x:v>
      </x:c>
      <x:c r="C65" s="18" t="str">
        <x:v>CY2025Q4</x:v>
      </x:c>
      <x:c r="D65" s="22" t="n">
        <x:v>95</x:v>
      </x:c>
      <x:c r="E65" s="21" t="str">
        <x:v>Training and coaching activities are continuing</x:v>
      </x:c>
      <x:c r="F65" s="20" t="n">
        <x:v>46022.5</x:v>
      </x:c>
      <x:c r="G65" s="18" t="str">
        <x:v>MGR003</x:v>
      </x:c>
    </x:row>
    <x:row r="66" ht="15" hidden="0" customHeight="1">
      <x:c r="A66" s="18" t="str">
        <x:v>GP00065</x:v>
      </x:c>
      <x:c r="B66" s="18" t="str">
        <x:v>GOAL0017</x:v>
      </x:c>
      <x:c r="C66" s="18" t="str">
        <x:v>CY2025Q1</x:v>
      </x:c>
      <x:c r="D66" s="22" t="n">
        <x:v>55</x:v>
      </x:c>
      <x:c r="E66" s="21" t="str">
        <x:v>Ahead of plan</x:v>
      </x:c>
      <x:c r="F66" s="20" t="n">
        <x:v>45747.5</x:v>
      </x:c>
      <x:c r="G66" s="18" t="str">
        <x:v>MGR004</x:v>
      </x:c>
    </x:row>
    <x:row r="67" ht="15" hidden="0" customHeight="1">
      <x:c r="A67" s="18" t="str">
        <x:v>GP00066</x:v>
      </x:c>
      <x:c r="B67" s="18" t="str">
        <x:v>GOAL0018</x:v>
      </x:c>
      <x:c r="C67" s="18" t="str">
        <x:v>CY2025Q1</x:v>
      </x:c>
      <x:c r="D67" s="22" t="n">
        <x:v>50</x:v>
      </x:c>
      <x:c r="E67" s="21" t="str">
        <x:v>Applied learning in customer and peer discussions</x:v>
      </x:c>
      <x:c r="F67" s="20" t="n">
        <x:v>45747.5</x:v>
      </x:c>
      <x:c r="G67" s="18" t="str">
        <x:v>MGR004</x:v>
      </x:c>
    </x:row>
    <x:row r="68" ht="15" hidden="0" customHeight="1">
      <x:c r="A68" s="18" t="str">
        <x:v>GP00067</x:v>
      </x:c>
      <x:c r="B68" s="18" t="str">
        <x:v>GOAL0017</x:v>
      </x:c>
      <x:c r="C68" s="18" t="str">
        <x:v>CY2025Q2</x:v>
      </x:c>
      <x:c r="D68" s="22" t="n">
        <x:v>77</x:v>
      </x:c>
      <x:c r="E68" s="21" t="str">
        <x:v>Ahead of plan</x:v>
      </x:c>
      <x:c r="F68" s="20" t="n">
        <x:v>45838.5</x:v>
      </x:c>
      <x:c r="G68" s="18" t="str">
        <x:v>MGR004</x:v>
      </x:c>
    </x:row>
    <x:row r="69" ht="15" hidden="0" customHeight="1">
      <x:c r="A69" s="18" t="str">
        <x:v>GP00068</x:v>
      </x:c>
      <x:c r="B69" s="18" t="str">
        <x:v>GOAL0018</x:v>
      </x:c>
      <x:c r="C69" s="18" t="str">
        <x:v>CY2025Q2</x:v>
      </x:c>
      <x:c r="D69" s="22" t="n">
        <x:v>72</x:v>
      </x:c>
      <x:c r="E69" s="21" t="str">
        <x:v>Applied learning in customer and peer discussions</x:v>
      </x:c>
      <x:c r="F69" s="20" t="n">
        <x:v>45838.5</x:v>
      </x:c>
      <x:c r="G69" s="18" t="str">
        <x:v>MGR004</x:v>
      </x:c>
    </x:row>
    <x:row r="70" ht="15" hidden="0" customHeight="1">
      <x:c r="A70" s="18" t="str">
        <x:v>GP00069</x:v>
      </x:c>
      <x:c r="B70" s="18" t="str">
        <x:v>GOAL0017</x:v>
      </x:c>
      <x:c r="C70" s="18" t="str">
        <x:v>CY2025Q3</x:v>
      </x:c>
      <x:c r="D70" s="22" t="n">
        <x:v>99</x:v>
      </x:c>
      <x:c r="E70" s="21" t="str">
        <x:v>Ahead of plan</x:v>
      </x:c>
      <x:c r="F70" s="20" t="n">
        <x:v>45930.5</x:v>
      </x:c>
      <x:c r="G70" s="18" t="str">
        <x:v>MGR004</x:v>
      </x:c>
    </x:row>
    <x:row r="71" ht="15" hidden="0" customHeight="1">
      <x:c r="A71" s="18" t="str">
        <x:v>GP00070</x:v>
      </x:c>
      <x:c r="B71" s="18" t="str">
        <x:v>GOAL0018</x:v>
      </x:c>
      <x:c r="C71" s="18" t="str">
        <x:v>CY2025Q3</x:v>
      </x:c>
      <x:c r="D71" s="22" t="n">
        <x:v>94</x:v>
      </x:c>
      <x:c r="E71" s="21" t="str">
        <x:v>Applied learning in customer and peer discussions</x:v>
      </x:c>
      <x:c r="F71" s="20" t="n">
        <x:v>45930.5</x:v>
      </x:c>
      <x:c r="G71" s="18" t="str">
        <x:v>MGR004</x:v>
      </x:c>
    </x:row>
    <x:row r="72" ht="15" hidden="0" customHeight="1">
      <x:c r="A72" s="18" t="str">
        <x:v>GP00071</x:v>
      </x:c>
      <x:c r="B72" s="18" t="str">
        <x:v>GOAL0017</x:v>
      </x:c>
      <x:c r="C72" s="18" t="str">
        <x:v>CY2025Q4</x:v>
      </x:c>
      <x:c r="D72" s="22" t="n">
        <x:v>100</x:v>
      </x:c>
      <x:c r="E72" s="21" t="str">
        <x:v>Ahead of plan</x:v>
      </x:c>
      <x:c r="F72" s="20" t="n">
        <x:v>46022.5</x:v>
      </x:c>
      <x:c r="G72" s="18" t="str">
        <x:v>MGR004</x:v>
      </x:c>
    </x:row>
    <x:row r="73" ht="15" hidden="0" customHeight="1">
      <x:c r="A73" s="18" t="str">
        <x:v>GP00072</x:v>
      </x:c>
      <x:c r="B73" s="18" t="str">
        <x:v>GOAL0018</x:v>
      </x:c>
      <x:c r="C73" s="18" t="str">
        <x:v>CY2025Q4</x:v>
      </x:c>
      <x:c r="D73" s="22" t="n">
        <x:v>95</x:v>
      </x:c>
      <x:c r="E73" s="21" t="str">
        <x:v>Applied learning in customer and peer discussions</x:v>
      </x:c>
      <x:c r="F73" s="20" t="n">
        <x:v>46022.5</x:v>
      </x:c>
      <x:c r="G73" s="18" t="str">
        <x:v>MGR004</x:v>
      </x:c>
    </x:row>
    <x:row r="74" ht="15" hidden="0" customHeight="1">
      <x:c r="A74" s="18" t="str">
        <x:v>GP00073</x:v>
      </x:c>
      <x:c r="B74" s="18" t="str">
        <x:v>GOAL0019</x:v>
      </x:c>
      <x:c r="C74" s="18" t="str">
        <x:v>CY2025Q1</x:v>
      </x:c>
      <x:c r="D74" s="22" t="n">
        <x:v>51</x:v>
      </x:c>
      <x:c r="E74" s="21" t="str">
        <x:v>Ahead of plan</x:v>
      </x:c>
      <x:c r="F74" s="20" t="n">
        <x:v>45747.5</x:v>
      </x:c>
      <x:c r="G74" s="18" t="str">
        <x:v>MGR004</x:v>
      </x:c>
    </x:row>
    <x:row r="75" ht="15" hidden="0" customHeight="1">
      <x:c r="A75" s="18" t="str">
        <x:v>GP00074</x:v>
      </x:c>
      <x:c r="B75" s="18" t="str">
        <x:v>GOAL0020</x:v>
      </x:c>
      <x:c r="C75" s="18" t="str">
        <x:v>CY2025Q1</x:v>
      </x:c>
      <x:c r="D75" s="22" t="n">
        <x:v>46</x:v>
      </x:c>
      <x:c r="E75" s="21" t="str">
        <x:v>Applied learning in customer and peer discussions</x:v>
      </x:c>
      <x:c r="F75" s="20" t="n">
        <x:v>45747.5</x:v>
      </x:c>
      <x:c r="G75" s="18" t="str">
        <x:v>MGR004</x:v>
      </x:c>
    </x:row>
    <x:row r="76" ht="15" hidden="0" customHeight="1">
      <x:c r="A76" s="18" t="str">
        <x:v>GP00075</x:v>
      </x:c>
      <x:c r="B76" s="18" t="str">
        <x:v>GOAL0019</x:v>
      </x:c>
      <x:c r="C76" s="18" t="str">
        <x:v>CY2025Q2</x:v>
      </x:c>
      <x:c r="D76" s="22" t="n">
        <x:v>69</x:v>
      </x:c>
      <x:c r="E76" s="21" t="str">
        <x:v>On plan</x:v>
      </x:c>
      <x:c r="F76" s="20" t="n">
        <x:v>45838.5</x:v>
      </x:c>
      <x:c r="G76" s="18" t="str">
        <x:v>MGR004</x:v>
      </x:c>
    </x:row>
    <x:row r="77" ht="15" hidden="0" customHeight="1">
      <x:c r="A77" s="18" t="str">
        <x:v>GP00076</x:v>
      </x:c>
      <x:c r="B77" s="18" t="str">
        <x:v>GOAL0020</x:v>
      </x:c>
      <x:c r="C77" s="18" t="str">
        <x:v>CY2025Q2</x:v>
      </x:c>
      <x:c r="D77" s="22" t="n">
        <x:v>64</x:v>
      </x:c>
      <x:c r="E77" s="21" t="str">
        <x:v>Training and coaching activities are continuing</x:v>
      </x:c>
      <x:c r="F77" s="20" t="n">
        <x:v>45838.5</x:v>
      </x:c>
      <x:c r="G77" s="18" t="str">
        <x:v>MGR004</x:v>
      </x:c>
    </x:row>
    <x:row r="78" ht="15" hidden="0" customHeight="1">
      <x:c r="A78" s="18" t="str">
        <x:v>GP00077</x:v>
      </x:c>
      <x:c r="B78" s="18" t="str">
        <x:v>GOAL0019</x:v>
      </x:c>
      <x:c r="C78" s="18" t="str">
        <x:v>CY2025Q3</x:v>
      </x:c>
      <x:c r="D78" s="22" t="n">
        <x:v>95</x:v>
      </x:c>
      <x:c r="E78" s="21" t="str">
        <x:v>Ahead of plan</x:v>
      </x:c>
      <x:c r="F78" s="20" t="n">
        <x:v>45930.5</x:v>
      </x:c>
      <x:c r="G78" s="18" t="str">
        <x:v>MGR004</x:v>
      </x:c>
    </x:row>
    <x:row r="79" ht="15" hidden="0" customHeight="1">
      <x:c r="A79" s="18" t="str">
        <x:v>GP00078</x:v>
      </x:c>
      <x:c r="B79" s="18" t="str">
        <x:v>GOAL0020</x:v>
      </x:c>
      <x:c r="C79" s="18" t="str">
        <x:v>CY2025Q3</x:v>
      </x:c>
      <x:c r="D79" s="22" t="n">
        <x:v>90</x:v>
      </x:c>
      <x:c r="E79" s="21" t="str">
        <x:v>Applied learning in customer and peer discussions</x:v>
      </x:c>
      <x:c r="F79" s="20" t="n">
        <x:v>45930.5</x:v>
      </x:c>
      <x:c r="G79" s="18" t="str">
        <x:v>MGR004</x:v>
      </x:c>
    </x:row>
    <x:row r="80" ht="15" hidden="0" customHeight="1">
      <x:c r="A80" s="18" t="str">
        <x:v>GP00079</x:v>
      </x:c>
      <x:c r="B80" s="18" t="str">
        <x:v>GOAL0019</x:v>
      </x:c>
      <x:c r="C80" s="18" t="str">
        <x:v>CY2025Q4</x:v>
      </x:c>
      <x:c r="D80" s="22" t="n">
        <x:v>100</x:v>
      </x:c>
      <x:c r="E80" s="21" t="str">
        <x:v>Ahead of plan</x:v>
      </x:c>
      <x:c r="F80" s="20" t="n">
        <x:v>46022.5</x:v>
      </x:c>
      <x:c r="G80" s="18" t="str">
        <x:v>MGR004</x:v>
      </x:c>
    </x:row>
    <x:row r="81" ht="15" hidden="0" customHeight="1">
      <x:c r="A81" s="18" t="str">
        <x:v>GP00080</x:v>
      </x:c>
      <x:c r="B81" s="18" t="str">
        <x:v>GOAL0020</x:v>
      </x:c>
      <x:c r="C81" s="18" t="str">
        <x:v>CY2025Q4</x:v>
      </x:c>
      <x:c r="D81" s="22" t="n">
        <x:v>95</x:v>
      </x:c>
      <x:c r="E81" s="21" t="str">
        <x:v>Applied learning in customer and peer discussions</x:v>
      </x:c>
      <x:c r="F81" s="20" t="n">
        <x:v>46022.5</x:v>
      </x:c>
      <x:c r="G81" s="18" t="str">
        <x:v>MGR004</x:v>
      </x:c>
    </x:row>
    <x:row r="82" ht="15" hidden="0" customHeight="1">
      <x:c r="A82" s="18" t="str">
        <x:v>GP00081</x:v>
      </x:c>
      <x:c r="B82" s="18" t="str">
        <x:v>GOAL0021</x:v>
      </x:c>
      <x:c r="C82" s="18" t="str">
        <x:v>CY2025Q1</x:v>
      </x:c>
      <x:c r="D82" s="22" t="n">
        <x:v>47</x:v>
      </x:c>
      <x:c r="E82" s="21" t="str">
        <x:v>On plan</x:v>
      </x:c>
      <x:c r="F82" s="20" t="n">
        <x:v>45747.5</x:v>
      </x:c>
      <x:c r="G82" s="18" t="str">
        <x:v>MGR004</x:v>
      </x:c>
    </x:row>
    <x:row r="83" ht="15" hidden="0" customHeight="1">
      <x:c r="A83" s="18" t="str">
        <x:v>GP00082</x:v>
      </x:c>
      <x:c r="B83" s="18" t="str">
        <x:v>GOAL0022</x:v>
      </x:c>
      <x:c r="C83" s="18" t="str">
        <x:v>CY2025Q1</x:v>
      </x:c>
      <x:c r="D83" s="22" t="n">
        <x:v>42</x:v>
      </x:c>
      <x:c r="E83" s="21" t="str">
        <x:v>Training and coaching activities are continuing</x:v>
      </x:c>
      <x:c r="F83" s="20" t="n">
        <x:v>45747.5</x:v>
      </x:c>
      <x:c r="G83" s="18" t="str">
        <x:v>MGR004</x:v>
      </x:c>
    </x:row>
    <x:row r="84" ht="15" hidden="0" customHeight="1">
      <x:c r="A84" s="18" t="str">
        <x:v>GP00083</x:v>
      </x:c>
      <x:c r="B84" s="18" t="str">
        <x:v>GOAL0021</x:v>
      </x:c>
      <x:c r="C84" s="18" t="str">
        <x:v>CY2025Q2</x:v>
      </x:c>
      <x:c r="D84" s="22" t="n">
        <x:v>73</x:v>
      </x:c>
      <x:c r="E84" s="21" t="str">
        <x:v>Ahead of plan</x:v>
      </x:c>
      <x:c r="F84" s="20" t="n">
        <x:v>45838.5</x:v>
      </x:c>
      <x:c r="G84" s="18" t="str">
        <x:v>MGR004</x:v>
      </x:c>
    </x:row>
    <x:row r="85" ht="15" hidden="0" customHeight="1">
      <x:c r="A85" s="18" t="str">
        <x:v>GP00084</x:v>
      </x:c>
      <x:c r="B85" s="18" t="str">
        <x:v>GOAL0022</x:v>
      </x:c>
      <x:c r="C85" s="18" t="str">
        <x:v>CY2025Q2</x:v>
      </x:c>
      <x:c r="D85" s="22" t="n">
        <x:v>68</x:v>
      </x:c>
      <x:c r="E85" s="21" t="str">
        <x:v>Applied learning in customer and peer discussions</x:v>
      </x:c>
      <x:c r="F85" s="20" t="n">
        <x:v>45838.5</x:v>
      </x:c>
      <x:c r="G85" s="18" t="str">
        <x:v>MGR004</x:v>
      </x:c>
    </x:row>
    <x:row r="86" ht="15" hidden="0" customHeight="1">
      <x:c r="A86" s="18" t="str">
        <x:v>GP00085</x:v>
      </x:c>
      <x:c r="B86" s="18" t="str">
        <x:v>GOAL0021</x:v>
      </x:c>
      <x:c r="C86" s="18" t="str">
        <x:v>CY2025Q3</x:v>
      </x:c>
      <x:c r="D86" s="22" t="n">
        <x:v>91</x:v>
      </x:c>
      <x:c r="E86" s="21" t="str">
        <x:v>On plan</x:v>
      </x:c>
      <x:c r="F86" s="20" t="n">
        <x:v>45930.5</x:v>
      </x:c>
      <x:c r="G86" s="18" t="str">
        <x:v>MGR004</x:v>
      </x:c>
    </x:row>
    <x:row r="87" ht="15" hidden="0" customHeight="1">
      <x:c r="A87" s="18" t="str">
        <x:v>GP00086</x:v>
      </x:c>
      <x:c r="B87" s="18" t="str">
        <x:v>GOAL0022</x:v>
      </x:c>
      <x:c r="C87" s="18" t="str">
        <x:v>CY2025Q3</x:v>
      </x:c>
      <x:c r="D87" s="22" t="n">
        <x:v>86</x:v>
      </x:c>
      <x:c r="E87" s="21" t="str">
        <x:v>Training and coaching activities are continuing</x:v>
      </x:c>
      <x:c r="F87" s="20" t="n">
        <x:v>45930.5</x:v>
      </x:c>
      <x:c r="G87" s="18" t="str">
        <x:v>MGR004</x:v>
      </x:c>
    </x:row>
    <x:row r="88" ht="15" hidden="0" customHeight="1">
      <x:c r="A88" s="18" t="str">
        <x:v>GP00087</x:v>
      </x:c>
      <x:c r="B88" s="18" t="str">
        <x:v>GOAL0021</x:v>
      </x:c>
      <x:c r="C88" s="18" t="str">
        <x:v>CY2025Q4</x:v>
      </x:c>
      <x:c r="D88" s="22" t="n">
        <x:v>100</x:v>
      </x:c>
      <x:c r="E88" s="21" t="str">
        <x:v>On plan</x:v>
      </x:c>
      <x:c r="F88" s="20" t="n">
        <x:v>46022.5</x:v>
      </x:c>
      <x:c r="G88" s="18" t="str">
        <x:v>MGR004</x:v>
      </x:c>
    </x:row>
    <x:row r="89" ht="15" hidden="0" customHeight="1">
      <x:c r="A89" s="18" t="str">
        <x:v>GP00088</x:v>
      </x:c>
      <x:c r="B89" s="18" t="str">
        <x:v>GOAL0022</x:v>
      </x:c>
      <x:c r="C89" s="18" t="str">
        <x:v>CY2025Q4</x:v>
      </x:c>
      <x:c r="D89" s="22" t="n">
        <x:v>95</x:v>
      </x:c>
      <x:c r="E89" s="21" t="str">
        <x:v>Training and coaching activities are continuing</x:v>
      </x:c>
      <x:c r="F89" s="20" t="n">
        <x:v>46022.5</x:v>
      </x:c>
      <x:c r="G89" s="18" t="str">
        <x:v>MGR004</x:v>
      </x:c>
    </x:row>
    <x:row r="90" ht="15" hidden="0" customHeight="1">
      <x:c r="A90" s="18" t="str">
        <x:v>GP00089</x:v>
      </x:c>
      <x:c r="B90" s="18" t="str">
        <x:v>GOAL0023</x:v>
      </x:c>
      <x:c r="C90" s="18" t="str">
        <x:v>CY2025Q1</x:v>
      </x:c>
      <x:c r="D90" s="22" t="n">
        <x:v>47</x:v>
      </x:c>
      <x:c r="E90" s="21" t="str">
        <x:v>On plan</x:v>
      </x:c>
      <x:c r="F90" s="20" t="n">
        <x:v>45747.5</x:v>
      </x:c>
      <x:c r="G90" s="18" t="str">
        <x:v>MGR005</x:v>
      </x:c>
    </x:row>
    <x:row r="91" ht="15" hidden="0" customHeight="1">
      <x:c r="A91" s="18" t="str">
        <x:v>GP00090</x:v>
      </x:c>
      <x:c r="B91" s="18" t="str">
        <x:v>GOAL0024</x:v>
      </x:c>
      <x:c r="C91" s="18" t="str">
        <x:v>CY2025Q1</x:v>
      </x:c>
      <x:c r="D91" s="22" t="n">
        <x:v>42</x:v>
      </x:c>
      <x:c r="E91" s="21" t="str">
        <x:v>Training and coaching activities are continuing</x:v>
      </x:c>
      <x:c r="F91" s="20" t="n">
        <x:v>45747.5</x:v>
      </x:c>
      <x:c r="G91" s="18" t="str">
        <x:v>MGR005</x:v>
      </x:c>
    </x:row>
    <x:row r="92" ht="15" hidden="0" customHeight="1">
      <x:c r="A92" s="18" t="str">
        <x:v>GP00091</x:v>
      </x:c>
      <x:c r="B92" s="18" t="str">
        <x:v>GOAL0023</x:v>
      </x:c>
      <x:c r="C92" s="18" t="str">
        <x:v>CY2025Q2</x:v>
      </x:c>
      <x:c r="D92" s="22" t="n">
        <x:v>65</x:v>
      </x:c>
      <x:c r="E92" s="21" t="str">
        <x:v>Needs additional pipeline activity</x:v>
      </x:c>
      <x:c r="F92" s="20" t="n">
        <x:v>45838.5</x:v>
      </x:c>
      <x:c r="G92" s="18" t="str">
        <x:v>MGR005</x:v>
      </x:c>
    </x:row>
    <x:row r="93" ht="15" hidden="0" customHeight="1">
      <x:c r="A93" s="18" t="str">
        <x:v>GP00092</x:v>
      </x:c>
      <x:c r="B93" s="18" t="str">
        <x:v>GOAL0024</x:v>
      </x:c>
      <x:c r="C93" s="18" t="str">
        <x:v>CY2025Q2</x:v>
      </x:c>
      <x:c r="D93" s="22" t="n">
        <x:v>60</x:v>
      </x:c>
      <x:c r="E93" s="21" t="str">
        <x:v>Training and coaching activities are continuing</x:v>
      </x:c>
      <x:c r="F93" s="20" t="n">
        <x:v>45838.5</x:v>
      </x:c>
      <x:c r="G93" s="18" t="str">
        <x:v>MGR005</x:v>
      </x:c>
    </x:row>
    <x:row r="94" ht="15" hidden="0" customHeight="1">
      <x:c r="A94" s="18" t="str">
        <x:v>GP00093</x:v>
      </x:c>
      <x:c r="B94" s="18" t="str">
        <x:v>GOAL0023</x:v>
      </x:c>
      <x:c r="C94" s="18" t="str">
        <x:v>CY2025Q3</x:v>
      </x:c>
      <x:c r="D94" s="22" t="n">
        <x:v>87</x:v>
      </x:c>
      <x:c r="E94" s="21" t="str">
        <x:v>Needs additional pipeline activity</x:v>
      </x:c>
      <x:c r="F94" s="20" t="n">
        <x:v>45930.5</x:v>
      </x:c>
      <x:c r="G94" s="18" t="str">
        <x:v>MGR005</x:v>
      </x:c>
    </x:row>
    <x:row r="95" ht="15" hidden="0" customHeight="1">
      <x:c r="A95" s="18" t="str">
        <x:v>GP00094</x:v>
      </x:c>
      <x:c r="B95" s="18" t="str">
        <x:v>GOAL0024</x:v>
      </x:c>
      <x:c r="C95" s="18" t="str">
        <x:v>CY2025Q3</x:v>
      </x:c>
      <x:c r="D95" s="22" t="n">
        <x:v>82</x:v>
      </x:c>
      <x:c r="E95" s="21" t="str">
        <x:v>Training and coaching activities are continuing</x:v>
      </x:c>
      <x:c r="F95" s="20" t="n">
        <x:v>45930.5</x:v>
      </x:c>
      <x:c r="G95" s="18" t="str">
        <x:v>MGR005</x:v>
      </x:c>
    </x:row>
    <x:row r="96" ht="15" hidden="0" customHeight="1">
      <x:c r="A96" s="18" t="str">
        <x:v>GP00095</x:v>
      </x:c>
      <x:c r="B96" s="18" t="str">
        <x:v>GOAL0023</x:v>
      </x:c>
      <x:c r="C96" s="18" t="str">
        <x:v>CY2025Q4</x:v>
      </x:c>
      <x:c r="D96" s="22" t="n">
        <x:v>100</x:v>
      </x:c>
      <x:c r="E96" s="21" t="str">
        <x:v>Needs additional pipeline activity</x:v>
      </x:c>
      <x:c r="F96" s="20" t="n">
        <x:v>46022.5</x:v>
      </x:c>
      <x:c r="G96" s="18" t="str">
        <x:v>MGR005</x:v>
      </x:c>
    </x:row>
    <x:row r="97" ht="15" hidden="0" customHeight="1">
      <x:c r="A97" s="18" t="str">
        <x:v>GP00096</x:v>
      </x:c>
      <x:c r="B97" s="18" t="str">
        <x:v>GOAL0024</x:v>
      </x:c>
      <x:c r="C97" s="18" t="str">
        <x:v>CY2025Q4</x:v>
      </x:c>
      <x:c r="D97" s="22" t="n">
        <x:v>95</x:v>
      </x:c>
      <x:c r="E97" s="21" t="str">
        <x:v>Training and coaching activities are continuing</x:v>
      </x:c>
      <x:c r="F97" s="20" t="n">
        <x:v>46022.5</x:v>
      </x:c>
      <x:c r="G97" s="18" t="str">
        <x:v>MGR005</x:v>
      </x:c>
    </x:row>
    <x:row r="98" ht="15" hidden="0" customHeight="1">
      <x:c r="A98" s="18" t="str">
        <x:v>GP00097</x:v>
      </x:c>
      <x:c r="B98" s="18" t="str">
        <x:v>GOAL0025</x:v>
      </x:c>
      <x:c r="C98" s="18" t="str">
        <x:v>CY2025Q1</x:v>
      </x:c>
      <x:c r="D98" s="22" t="n">
        <x:v>51</x:v>
      </x:c>
      <x:c r="E98" s="21" t="str">
        <x:v>Ahead of plan</x:v>
      </x:c>
      <x:c r="F98" s="20" t="n">
        <x:v>45747.5</x:v>
      </x:c>
      <x:c r="G98" s="18" t="str">
        <x:v>MGR005</x:v>
      </x:c>
    </x:row>
    <x:row r="99" ht="15" hidden="0" customHeight="1">
      <x:c r="A99" s="18" t="str">
        <x:v>GP00098</x:v>
      </x:c>
      <x:c r="B99" s="18" t="str">
        <x:v>GOAL0026</x:v>
      </x:c>
      <x:c r="C99" s="18" t="str">
        <x:v>CY2025Q1</x:v>
      </x:c>
      <x:c r="D99" s="22" t="n">
        <x:v>46</x:v>
      </x:c>
      <x:c r="E99" s="21" t="str">
        <x:v>Applied learning in customer and peer discussions</x:v>
      </x:c>
      <x:c r="F99" s="20" t="n">
        <x:v>45747.5</x:v>
      </x:c>
      <x:c r="G99" s="18" t="str">
        <x:v>MGR005</x:v>
      </x:c>
    </x:row>
    <x:row r="100" ht="15" hidden="0" customHeight="1">
      <x:c r="A100" s="18" t="str">
        <x:v>GP00099</x:v>
      </x:c>
      <x:c r="B100" s="18" t="str">
        <x:v>GOAL0025</x:v>
      </x:c>
      <x:c r="C100" s="18" t="str">
        <x:v>CY2025Q2</x:v>
      </x:c>
      <x:c r="D100" s="22" t="n">
        <x:v>73</x:v>
      </x:c>
      <x:c r="E100" s="21" t="str">
        <x:v>Ahead of plan</x:v>
      </x:c>
      <x:c r="F100" s="20" t="n">
        <x:v>45838.5</x:v>
      </x:c>
      <x:c r="G100" s="18" t="str">
        <x:v>MGR005</x:v>
      </x:c>
    </x:row>
    <x:row r="101" ht="15" hidden="0" customHeight="1">
      <x:c r="A101" s="18" t="str">
        <x:v>GP00100</x:v>
      </x:c>
      <x:c r="B101" s="18" t="str">
        <x:v>GOAL0026</x:v>
      </x:c>
      <x:c r="C101" s="18" t="str">
        <x:v>CY2025Q2</x:v>
      </x:c>
      <x:c r="D101" s="22" t="n">
        <x:v>68</x:v>
      </x:c>
      <x:c r="E101" s="21" t="str">
        <x:v>Applied learning in customer and peer discussions</x:v>
      </x:c>
      <x:c r="F101" s="20" t="n">
        <x:v>45838.5</x:v>
      </x:c>
      <x:c r="G101" s="18" t="str">
        <x:v>MGR005</x:v>
      </x:c>
    </x:row>
    <x:row r="102" ht="15" hidden="0" customHeight="1">
      <x:c r="A102" s="18" t="str">
        <x:v>GP00101</x:v>
      </x:c>
      <x:c r="B102" s="18" t="str">
        <x:v>GOAL0025</x:v>
      </x:c>
      <x:c r="C102" s="18" t="str">
        <x:v>CY2025Q3</x:v>
      </x:c>
      <x:c r="D102" s="22" t="n">
        <x:v>91</x:v>
      </x:c>
      <x:c r="E102" s="21" t="str">
        <x:v>On plan</x:v>
      </x:c>
      <x:c r="F102" s="20" t="n">
        <x:v>45930.5</x:v>
      </x:c>
      <x:c r="G102" s="18" t="str">
        <x:v>MGR005</x:v>
      </x:c>
    </x:row>
    <x:row r="103" ht="15" hidden="0" customHeight="1">
      <x:c r="A103" s="18" t="str">
        <x:v>GP00102</x:v>
      </x:c>
      <x:c r="B103" s="18" t="str">
        <x:v>GOAL0026</x:v>
      </x:c>
      <x:c r="C103" s="18" t="str">
        <x:v>CY2025Q3</x:v>
      </x:c>
      <x:c r="D103" s="22" t="n">
        <x:v>86</x:v>
      </x:c>
      <x:c r="E103" s="21" t="str">
        <x:v>Training and coaching activities are continuing</x:v>
      </x:c>
      <x:c r="F103" s="20" t="n">
        <x:v>45930.5</x:v>
      </x:c>
      <x:c r="G103" s="18" t="str">
        <x:v>MGR005</x:v>
      </x:c>
    </x:row>
    <x:row r="104" ht="15" hidden="0" customHeight="1">
      <x:c r="A104" s="18" t="str">
        <x:v>GP00103</x:v>
      </x:c>
      <x:c r="B104" s="18" t="str">
        <x:v>GOAL0025</x:v>
      </x:c>
      <x:c r="C104" s="18" t="str">
        <x:v>CY2025Q4</x:v>
      </x:c>
      <x:c r="D104" s="22" t="n">
        <x:v>100</x:v>
      </x:c>
      <x:c r="E104" s="21" t="str">
        <x:v>Ahead of plan</x:v>
      </x:c>
      <x:c r="F104" s="20" t="n">
        <x:v>46022.5</x:v>
      </x:c>
      <x:c r="G104" s="18" t="str">
        <x:v>MGR005</x:v>
      </x:c>
    </x:row>
    <x:row r="105" ht="15" hidden="0" customHeight="1">
      <x:c r="A105" s="18" t="str">
        <x:v>GP00104</x:v>
      </x:c>
      <x:c r="B105" s="18" t="str">
        <x:v>GOAL0026</x:v>
      </x:c>
      <x:c r="C105" s="18" t="str">
        <x:v>CY2025Q4</x:v>
      </x:c>
      <x:c r="D105" s="22" t="n">
        <x:v>95</x:v>
      </x:c>
      <x:c r="E105" s="21" t="str">
        <x:v>Applied learning in customer and peer discussions</x:v>
      </x:c>
      <x:c r="F105" s="20" t="n">
        <x:v>46022.5</x:v>
      </x:c>
      <x:c r="G105" s="18" t="str">
        <x:v>MGR005</x:v>
      </x:c>
    </x:row>
    <x:row r="106" ht="15" hidden="0" customHeight="1">
      <x:c r="A106" s="18" t="str">
        <x:v>GP00105</x:v>
      </x:c>
      <x:c r="B106" s="18" t="str">
        <x:v>GOAL0027</x:v>
      </x:c>
      <x:c r="C106" s="18" t="str">
        <x:v>CY2025Q1</x:v>
      </x:c>
      <x:c r="D106" s="22" t="n">
        <x:v>43</x:v>
      </x:c>
      <x:c r="E106" s="21" t="str">
        <x:v>Needs additional pipeline activity</x:v>
      </x:c>
      <x:c r="F106" s="20" t="n">
        <x:v>45747.5</x:v>
      </x:c>
      <x:c r="G106" s="18" t="str">
        <x:v>MGR006</x:v>
      </x:c>
    </x:row>
    <x:row r="107" ht="15" hidden="0" customHeight="1">
      <x:c r="A107" s="18" t="str">
        <x:v>GP00106</x:v>
      </x:c>
      <x:c r="B107" s="18" t="str">
        <x:v>GOAL0028</x:v>
      </x:c>
      <x:c r="C107" s="18" t="str">
        <x:v>CY2025Q1</x:v>
      </x:c>
      <x:c r="D107" s="22" t="n">
        <x:v>38</x:v>
      </x:c>
      <x:c r="E107" s="21" t="str">
        <x:v>Training and coaching activities are continuing</x:v>
      </x:c>
      <x:c r="F107" s="20" t="n">
        <x:v>45747.5</x:v>
      </x:c>
      <x:c r="G107" s="18" t="str">
        <x:v>MGR006</x:v>
      </x:c>
    </x:row>
    <x:row r="108" ht="15" hidden="0" customHeight="1">
      <x:c r="A108" s="18" t="str">
        <x:v>GP00107</x:v>
      </x:c>
      <x:c r="B108" s="18" t="str">
        <x:v>GOAL0027</x:v>
      </x:c>
      <x:c r="C108" s="18" t="str">
        <x:v>CY2025Q2</x:v>
      </x:c>
      <x:c r="D108" s="22" t="n">
        <x:v>69</x:v>
      </x:c>
      <x:c r="E108" s="21" t="str">
        <x:v>On plan</x:v>
      </x:c>
      <x:c r="F108" s="20" t="n">
        <x:v>45838.5</x:v>
      </x:c>
      <x:c r="G108" s="18" t="str">
        <x:v>MGR006</x:v>
      </x:c>
    </x:row>
    <x:row r="109" ht="15" hidden="0" customHeight="1">
      <x:c r="A109" s="18" t="str">
        <x:v>GP00108</x:v>
      </x:c>
      <x:c r="B109" s="18" t="str">
        <x:v>GOAL0028</x:v>
      </x:c>
      <x:c r="C109" s="18" t="str">
        <x:v>CY2025Q2</x:v>
      </x:c>
      <x:c r="D109" s="22" t="n">
        <x:v>64</x:v>
      </x:c>
      <x:c r="E109" s="21" t="str">
        <x:v>Training and coaching activities are continuing</x:v>
      </x:c>
      <x:c r="F109" s="20" t="n">
        <x:v>45838.5</x:v>
      </x:c>
      <x:c r="G109" s="18" t="str">
        <x:v>MGR006</x:v>
      </x:c>
    </x:row>
    <x:row r="110" ht="15" hidden="0" customHeight="1">
      <x:c r="A110" s="18" t="str">
        <x:v>GP00109</x:v>
      </x:c>
      <x:c r="B110" s="18" t="str">
        <x:v>GOAL0027</x:v>
      </x:c>
      <x:c r="C110" s="18" t="str">
        <x:v>CY2025Q3</x:v>
      </x:c>
      <x:c r="D110" s="22" t="n">
        <x:v>91</x:v>
      </x:c>
      <x:c r="E110" s="21" t="str">
        <x:v>On plan</x:v>
      </x:c>
      <x:c r="F110" s="20" t="n">
        <x:v>45930.5</x:v>
      </x:c>
      <x:c r="G110" s="18" t="str">
        <x:v>MGR006</x:v>
      </x:c>
    </x:row>
    <x:row r="111" ht="15" hidden="0" customHeight="1">
      <x:c r="A111" s="18" t="str">
        <x:v>GP00110</x:v>
      </x:c>
      <x:c r="B111" s="18" t="str">
        <x:v>GOAL0028</x:v>
      </x:c>
      <x:c r="C111" s="18" t="str">
        <x:v>CY2025Q3</x:v>
      </x:c>
      <x:c r="D111" s="22" t="n">
        <x:v>86</x:v>
      </x:c>
      <x:c r="E111" s="21" t="str">
        <x:v>Training and coaching activities are continuing</x:v>
      </x:c>
      <x:c r="F111" s="20" t="n">
        <x:v>45930.5</x:v>
      </x:c>
      <x:c r="G111" s="18" t="str">
        <x:v>MGR006</x:v>
      </x:c>
    </x:row>
    <x:row r="112" ht="15" hidden="0" customHeight="1">
      <x:c r="A112" s="18" t="str">
        <x:v>GP00111</x:v>
      </x:c>
      <x:c r="B112" s="18" t="str">
        <x:v>GOAL0027</x:v>
      </x:c>
      <x:c r="C112" s="18" t="str">
        <x:v>CY2025Q4</x:v>
      </x:c>
      <x:c r="D112" s="22" t="n">
        <x:v>100</x:v>
      </x:c>
      <x:c r="E112" s="21" t="str">
        <x:v>On plan</x:v>
      </x:c>
      <x:c r="F112" s="20" t="n">
        <x:v>46022.5</x:v>
      </x:c>
      <x:c r="G112" s="18" t="str">
        <x:v>MGR006</x:v>
      </x:c>
    </x:row>
    <x:row r="113" ht="15" hidden="0" customHeight="1">
      <x:c r="A113" s="18" t="str">
        <x:v>GP00112</x:v>
      </x:c>
      <x:c r="B113" s="18" t="str">
        <x:v>GOAL0028</x:v>
      </x:c>
      <x:c r="C113" s="18" t="str">
        <x:v>CY2025Q4</x:v>
      </x:c>
      <x:c r="D113" s="22" t="n">
        <x:v>95</x:v>
      </x:c>
      <x:c r="E113" s="21" t="str">
        <x:v>Training and coaching activities are continuing</x:v>
      </x:c>
      <x:c r="F113" s="20" t="n">
        <x:v>46022.5</x:v>
      </x:c>
      <x:c r="G113" s="18" t="str">
        <x:v>MGR006</x:v>
      </x:c>
    </x:row>
    <x:row r="114" ht="15" hidden="0" customHeight="1">
      <x:c r="A114" s="18" t="str">
        <x:v>GP00113</x:v>
      </x:c>
      <x:c r="B114" s="18" t="str">
        <x:v>GOAL0029</x:v>
      </x:c>
      <x:c r="C114" s="18" t="str">
        <x:v>CY2025Q1</x:v>
      </x:c>
      <x:c r="D114" s="22" t="n">
        <x:v>39</x:v>
      </x:c>
      <x:c r="E114" s="21" t="str">
        <x:v>Needs additional pipeline activity</x:v>
      </x:c>
      <x:c r="F114" s="20" t="n">
        <x:v>45747.5</x:v>
      </x:c>
      <x:c r="G114" s="18" t="str">
        <x:v>MGR006</x:v>
      </x:c>
    </x:row>
    <x:row r="115" ht="15" hidden="0" customHeight="1">
      <x:c r="A115" s="18" t="str">
        <x:v>GP00114</x:v>
      </x:c>
      <x:c r="B115" s="18" t="str">
        <x:v>GOAL0030</x:v>
      </x:c>
      <x:c r="C115" s="18" t="str">
        <x:v>CY2025Q1</x:v>
      </x:c>
      <x:c r="D115" s="22" t="n">
        <x:v>34</x:v>
      </x:c>
      <x:c r="E115" s="21" t="str">
        <x:v>Training and coaching activities are continuing</x:v>
      </x:c>
      <x:c r="F115" s="20" t="n">
        <x:v>45747.5</x:v>
      </x:c>
      <x:c r="G115" s="18" t="str">
        <x:v>MGR006</x:v>
      </x:c>
    </x:row>
    <x:row r="116" ht="15" hidden="0" customHeight="1">
      <x:c r="A116" s="18" t="str">
        <x:v>GP00115</x:v>
      </x:c>
      <x:c r="B116" s="18" t="str">
        <x:v>GOAL0029</x:v>
      </x:c>
      <x:c r="C116" s="18" t="str">
        <x:v>CY2025Q2</x:v>
      </x:c>
      <x:c r="D116" s="22" t="n">
        <x:v>61</x:v>
      </x:c>
      <x:c r="E116" s="21" t="str">
        <x:v>Needs additional pipeline activity</x:v>
      </x:c>
      <x:c r="F116" s="20" t="n">
        <x:v>45838.5</x:v>
      </x:c>
      <x:c r="G116" s="18" t="str">
        <x:v>MGR006</x:v>
      </x:c>
    </x:row>
    <x:row r="117" ht="15" hidden="0" customHeight="1">
      <x:c r="A117" s="18" t="str">
        <x:v>GP00116</x:v>
      </x:c>
      <x:c r="B117" s="18" t="str">
        <x:v>GOAL0030</x:v>
      </x:c>
      <x:c r="C117" s="18" t="str">
        <x:v>CY2025Q2</x:v>
      </x:c>
      <x:c r="D117" s="22" t="n">
        <x:v>56</x:v>
      </x:c>
      <x:c r="E117" s="21" t="str">
        <x:v>Training and coaching activities are continuing</x:v>
      </x:c>
      <x:c r="F117" s="20" t="n">
        <x:v>45838.5</x:v>
      </x:c>
      <x:c r="G117" s="18" t="str">
        <x:v>MGR006</x:v>
      </x:c>
    </x:row>
    <x:row r="118" ht="15" hidden="0" customHeight="1">
      <x:c r="A118" s="18" t="str">
        <x:v>GP00117</x:v>
      </x:c>
      <x:c r="B118" s="18" t="str">
        <x:v>GOAL0029</x:v>
      </x:c>
      <x:c r="C118" s="18" t="str">
        <x:v>CY2025Q3</x:v>
      </x:c>
      <x:c r="D118" s="22" t="n">
        <x:v>83</x:v>
      </x:c>
      <x:c r="E118" s="21" t="str">
        <x:v>Needs additional pipeline activity</x:v>
      </x:c>
      <x:c r="F118" s="20" t="n">
        <x:v>45930.5</x:v>
      </x:c>
      <x:c r="G118" s="18" t="str">
        <x:v>MGR006</x:v>
      </x:c>
    </x:row>
    <x:row r="119" ht="15" hidden="0" customHeight="1">
      <x:c r="A119" s="18" t="str">
        <x:v>GP00118</x:v>
      </x:c>
      <x:c r="B119" s="18" t="str">
        <x:v>GOAL0030</x:v>
      </x:c>
      <x:c r="C119" s="18" t="str">
        <x:v>CY2025Q3</x:v>
      </x:c>
      <x:c r="D119" s="22" t="n">
        <x:v>78</x:v>
      </x:c>
      <x:c r="E119" s="21" t="str">
        <x:v>Training and coaching activities are continuing</x:v>
      </x:c>
      <x:c r="F119" s="20" t="n">
        <x:v>45930.5</x:v>
      </x:c>
      <x:c r="G119" s="18" t="str">
        <x:v>MGR006</x:v>
      </x:c>
    </x:row>
    <x:row r="120" ht="15" hidden="0" customHeight="1">
      <x:c r="A120" s="18" t="str">
        <x:v>GP00119</x:v>
      </x:c>
      <x:c r="B120" s="18" t="str">
        <x:v>GOAL0029</x:v>
      </x:c>
      <x:c r="C120" s="18" t="str">
        <x:v>CY2025Q4</x:v>
      </x:c>
      <x:c r="D120" s="22" t="n">
        <x:v>100</x:v>
      </x:c>
      <x:c r="E120" s="21" t="str">
        <x:v>Needs additional pipeline activity</x:v>
      </x:c>
      <x:c r="F120" s="20" t="n">
        <x:v>46022.5</x:v>
      </x:c>
      <x:c r="G120" s="18" t="str">
        <x:v>MGR006</x:v>
      </x:c>
    </x:row>
    <x:row r="121" ht="15" hidden="0" customHeight="1">
      <x:c r="A121" s="18" t="str">
        <x:v>GP00120</x:v>
      </x:c>
      <x:c r="B121" s="18" t="str">
        <x:v>GOAL0030</x:v>
      </x:c>
      <x:c r="C121" s="18" t="str">
        <x:v>CY2025Q4</x:v>
      </x:c>
      <x:c r="D121" s="22" t="n">
        <x:v>95</x:v>
      </x:c>
      <x:c r="E121" s="21" t="str">
        <x:v>Training and coaching activities are continuing</x:v>
      </x:c>
      <x:c r="F121" s="20" t="n">
        <x:v>46022.5</x:v>
      </x:c>
      <x:c r="G121" s="18" t="str">
        <x:v>MGR006</x:v>
      </x:c>
    </x:row>
    <x:row r="122" ht="15" hidden="0" customHeight="1">
      <x:c r="A122" s="18" t="str">
        <x:v>GP00121</x:v>
      </x:c>
      <x:c r="B122" s="18" t="str">
        <x:v>GOAL0031</x:v>
      </x:c>
      <x:c r="C122" s="18" t="str">
        <x:v>CY2026Q1</x:v>
      </x:c>
      <x:c r="D122" s="22" t="n">
        <x:v>55</x:v>
      </x:c>
      <x:c r="E122" s="21" t="str">
        <x:v>Ahead of plan</x:v>
      </x:c>
      <x:c r="F122" s="20" t="n">
        <x:v>46112.5</x:v>
      </x:c>
      <x:c r="G122" s="18" t="str">
        <x:v>MGR001</x:v>
      </x:c>
    </x:row>
    <x:row r="123" ht="15" hidden="0" customHeight="1">
      <x:c r="A123" s="18" t="str">
        <x:v>GP00122</x:v>
      </x:c>
      <x:c r="B123" s="18" t="str">
        <x:v>GOAL0032</x:v>
      </x:c>
      <x:c r="C123" s="18" t="str">
        <x:v>CY2026Q1</x:v>
      </x:c>
      <x:c r="D123" s="22" t="n">
        <x:v>50</x:v>
      </x:c>
      <x:c r="E123" s="21" t="str">
        <x:v>Applied learning in customer and peer discussions</x:v>
      </x:c>
      <x:c r="F123" s="20" t="n">
        <x:v>46112.5</x:v>
      </x:c>
      <x:c r="G123" s="18" t="str">
        <x:v>MGR001</x:v>
      </x:c>
    </x:row>
    <x:row r="124" ht="15" hidden="0" customHeight="1">
      <x:c r="A124" s="18" t="str">
        <x:v>GP00123</x:v>
      </x:c>
      <x:c r="B124" s="18" t="str">
        <x:v>GOAL0031</x:v>
      </x:c>
      <x:c r="C124" s="18" t="str">
        <x:v>CY2026Q2</x:v>
      </x:c>
      <x:c r="D124" s="22" t="n">
        <x:v>77</x:v>
      </x:c>
      <x:c r="E124" s="21" t="str">
        <x:v>Ahead of plan</x:v>
      </x:c>
      <x:c r="F124" s="20" t="n">
        <x:v>46203.5</x:v>
      </x:c>
      <x:c r="G124" s="18" t="str">
        <x:v>MGR001</x:v>
      </x:c>
    </x:row>
    <x:row r="125" ht="15" hidden="0" customHeight="1">
      <x:c r="A125" s="18" t="str">
        <x:v>GP00124</x:v>
      </x:c>
      <x:c r="B125" s="18" t="str">
        <x:v>GOAL0032</x:v>
      </x:c>
      <x:c r="C125" s="18" t="str">
        <x:v>CY2026Q2</x:v>
      </x:c>
      <x:c r="D125" s="22" t="n">
        <x:v>72</x:v>
      </x:c>
      <x:c r="E125" s="21" t="str">
        <x:v>Applied learning in customer and peer discussions</x:v>
      </x:c>
      <x:c r="F125" s="20" t="n">
        <x:v>46203.5</x:v>
      </x:c>
      <x:c r="G125" s="18" t="str">
        <x:v>MGR001</x:v>
      </x:c>
    </x:row>
    <x:row r="126" ht="15" hidden="0" customHeight="1">
      <x:c r="A126" s="18" t="str">
        <x:v>GP00125</x:v>
      </x:c>
      <x:c r="B126" s="18" t="str">
        <x:v>GOAL0031</x:v>
      </x:c>
      <x:c r="C126" s="18" t="str">
        <x:v>CY2026Q3</x:v>
      </x:c>
      <x:c r="D126" s="22" t="n">
        <x:v>99</x:v>
      </x:c>
      <x:c r="E126" s="21" t="str">
        <x:v>Ahead of plan</x:v>
      </x:c>
      <x:c r="F126" s="20" t="n">
        <x:v>46295.5</x:v>
      </x:c>
      <x:c r="G126" s="18" t="str">
        <x:v>MGR001</x:v>
      </x:c>
    </x:row>
    <x:row r="127" ht="15" hidden="0" customHeight="1">
      <x:c r="A127" s="18" t="str">
        <x:v>GP00126</x:v>
      </x:c>
      <x:c r="B127" s="18" t="str">
        <x:v>GOAL0032</x:v>
      </x:c>
      <x:c r="C127" s="18" t="str">
        <x:v>CY2026Q3</x:v>
      </x:c>
      <x:c r="D127" s="22" t="n">
        <x:v>94</x:v>
      </x:c>
      <x:c r="E127" s="21" t="str">
        <x:v>Applied learning in customer and peer discussions</x:v>
      </x:c>
      <x:c r="F127" s="20" t="n">
        <x:v>46295.5</x:v>
      </x:c>
      <x:c r="G127" s="18" t="str">
        <x:v>MGR001</x:v>
      </x:c>
    </x:row>
    <x:row r="128" ht="15" hidden="0" customHeight="1">
      <x:c r="A128" s="18" t="str">
        <x:v>GP00127</x:v>
      </x:c>
      <x:c r="B128" s="18" t="str">
        <x:v>GOAL0033</x:v>
      </x:c>
      <x:c r="C128" s="18" t="str">
        <x:v>CY2026Q1</x:v>
      </x:c>
      <x:c r="D128" s="22" t="n">
        <x:v>51</x:v>
      </x:c>
      <x:c r="E128" s="21" t="str">
        <x:v>Ahead of plan</x:v>
      </x:c>
      <x:c r="F128" s="20" t="n">
        <x:v>46112.5</x:v>
      </x:c>
      <x:c r="G128" s="18" t="str">
        <x:v>MGR001</x:v>
      </x:c>
    </x:row>
    <x:row r="129" ht="15" hidden="0" customHeight="1">
      <x:c r="A129" s="18" t="str">
        <x:v>GP00128</x:v>
      </x:c>
      <x:c r="B129" s="18" t="str">
        <x:v>GOAL0034</x:v>
      </x:c>
      <x:c r="C129" s="18" t="str">
        <x:v>CY2026Q1</x:v>
      </x:c>
      <x:c r="D129" s="22" t="n">
        <x:v>46</x:v>
      </x:c>
      <x:c r="E129" s="21" t="str">
        <x:v>Applied learning in customer and peer discussions</x:v>
      </x:c>
      <x:c r="F129" s="20" t="n">
        <x:v>46112.5</x:v>
      </x:c>
      <x:c r="G129" s="18" t="str">
        <x:v>MGR001</x:v>
      </x:c>
    </x:row>
    <x:row r="130" ht="15" hidden="0" customHeight="1">
      <x:c r="A130" s="18" t="str">
        <x:v>GP00129</x:v>
      </x:c>
      <x:c r="B130" s="18" t="str">
        <x:v>GOAL0033</x:v>
      </x:c>
      <x:c r="C130" s="18" t="str">
        <x:v>CY2026Q2</x:v>
      </x:c>
      <x:c r="D130" s="22" t="n">
        <x:v>73</x:v>
      </x:c>
      <x:c r="E130" s="21" t="str">
        <x:v>Ahead of plan</x:v>
      </x:c>
      <x:c r="F130" s="20" t="n">
        <x:v>46203.5</x:v>
      </x:c>
      <x:c r="G130" s="18" t="str">
        <x:v>MGR001</x:v>
      </x:c>
    </x:row>
    <x:row r="131" ht="15" hidden="0" customHeight="1">
      <x:c r="A131" s="18" t="str">
        <x:v>GP00130</x:v>
      </x:c>
      <x:c r="B131" s="18" t="str">
        <x:v>GOAL0034</x:v>
      </x:c>
      <x:c r="C131" s="18" t="str">
        <x:v>CY2026Q2</x:v>
      </x:c>
      <x:c r="D131" s="22" t="n">
        <x:v>68</x:v>
      </x:c>
      <x:c r="E131" s="21" t="str">
        <x:v>Applied learning in customer and peer discussions</x:v>
      </x:c>
      <x:c r="F131" s="20" t="n">
        <x:v>46203.5</x:v>
      </x:c>
      <x:c r="G131" s="18" t="str">
        <x:v>MGR001</x:v>
      </x:c>
    </x:row>
    <x:row r="132" ht="15" hidden="0" customHeight="1">
      <x:c r="A132" s="18" t="str">
        <x:v>GP00131</x:v>
      </x:c>
      <x:c r="B132" s="18" t="str">
        <x:v>GOAL0033</x:v>
      </x:c>
      <x:c r="C132" s="18" t="str">
        <x:v>CY2026Q3</x:v>
      </x:c>
      <x:c r="D132" s="22" t="n">
        <x:v>95</x:v>
      </x:c>
      <x:c r="E132" s="21" t="str">
        <x:v>Ahead of plan</x:v>
      </x:c>
      <x:c r="F132" s="20" t="n">
        <x:v>46295.5</x:v>
      </x:c>
      <x:c r="G132" s="18" t="str">
        <x:v>MGR001</x:v>
      </x:c>
    </x:row>
    <x:row r="133" ht="15" hidden="0" customHeight="1">
      <x:c r="A133" s="18" t="str">
        <x:v>GP00132</x:v>
      </x:c>
      <x:c r="B133" s="18" t="str">
        <x:v>GOAL0034</x:v>
      </x:c>
      <x:c r="C133" s="18" t="str">
        <x:v>CY2026Q3</x:v>
      </x:c>
      <x:c r="D133" s="22" t="n">
        <x:v>90</x:v>
      </x:c>
      <x:c r="E133" s="21" t="str">
        <x:v>Applied learning in customer and peer discussions</x:v>
      </x:c>
      <x:c r="F133" s="20" t="n">
        <x:v>46295.5</x:v>
      </x:c>
      <x:c r="G133" s="18" t="str">
        <x:v>MGR001</x:v>
      </x:c>
    </x:row>
    <x:row r="134" ht="15" hidden="0" customHeight="1">
      <x:c r="A134" s="18" t="str">
        <x:v>GP00133</x:v>
      </x:c>
      <x:c r="B134" s="18" t="str">
        <x:v>GOAL0035</x:v>
      </x:c>
      <x:c r="C134" s="18" t="str">
        <x:v>CY2026Q1</x:v>
      </x:c>
      <x:c r="D134" s="22" t="n">
        <x:v>47</x:v>
      </x:c>
      <x:c r="E134" s="21" t="str">
        <x:v>On plan</x:v>
      </x:c>
      <x:c r="F134" s="20" t="n">
        <x:v>46112.5</x:v>
      </x:c>
      <x:c r="G134" s="18" t="str">
        <x:v>MGR001</x:v>
      </x:c>
    </x:row>
    <x:row r="135" ht="15" hidden="0" customHeight="1">
      <x:c r="A135" s="18" t="str">
        <x:v>GP00134</x:v>
      </x:c>
      <x:c r="B135" s="18" t="str">
        <x:v>GOAL0036</x:v>
      </x:c>
      <x:c r="C135" s="18" t="str">
        <x:v>CY2026Q1</x:v>
      </x:c>
      <x:c r="D135" s="22" t="n">
        <x:v>42</x:v>
      </x:c>
      <x:c r="E135" s="21" t="str">
        <x:v>Training and coaching activities are continuing</x:v>
      </x:c>
      <x:c r="F135" s="20" t="n">
        <x:v>46112.5</x:v>
      </x:c>
      <x:c r="G135" s="18" t="str">
        <x:v>MGR001</x:v>
      </x:c>
    </x:row>
    <x:row r="136" ht="15" hidden="0" customHeight="1">
      <x:c r="A136" s="18" t="str">
        <x:v>GP00135</x:v>
      </x:c>
      <x:c r="B136" s="18" t="str">
        <x:v>GOAL0035</x:v>
      </x:c>
      <x:c r="C136" s="18" t="str">
        <x:v>CY2026Q2</x:v>
      </x:c>
      <x:c r="D136" s="22" t="n">
        <x:v>69</x:v>
      </x:c>
      <x:c r="E136" s="21" t="str">
        <x:v>On plan</x:v>
      </x:c>
      <x:c r="F136" s="20" t="n">
        <x:v>46203.5</x:v>
      </x:c>
      <x:c r="G136" s="18" t="str">
        <x:v>MGR001</x:v>
      </x:c>
    </x:row>
    <x:row r="137" ht="15" hidden="0" customHeight="1">
      <x:c r="A137" s="18" t="str">
        <x:v>GP00136</x:v>
      </x:c>
      <x:c r="B137" s="18" t="str">
        <x:v>GOAL0036</x:v>
      </x:c>
      <x:c r="C137" s="18" t="str">
        <x:v>CY2026Q2</x:v>
      </x:c>
      <x:c r="D137" s="22" t="n">
        <x:v>64</x:v>
      </x:c>
      <x:c r="E137" s="21" t="str">
        <x:v>Training and coaching activities are continuing</x:v>
      </x:c>
      <x:c r="F137" s="20" t="n">
        <x:v>46203.5</x:v>
      </x:c>
      <x:c r="G137" s="18" t="str">
        <x:v>MGR001</x:v>
      </x:c>
    </x:row>
    <x:row r="138" ht="15" hidden="0" customHeight="1">
      <x:c r="A138" s="18" t="str">
        <x:v>GP00137</x:v>
      </x:c>
      <x:c r="B138" s="18" t="str">
        <x:v>GOAL0035</x:v>
      </x:c>
      <x:c r="C138" s="18" t="str">
        <x:v>CY2026Q3</x:v>
      </x:c>
      <x:c r="D138" s="22" t="n">
        <x:v>91</x:v>
      </x:c>
      <x:c r="E138" s="21" t="str">
        <x:v>On plan</x:v>
      </x:c>
      <x:c r="F138" s="20" t="n">
        <x:v>46295.5</x:v>
      </x:c>
      <x:c r="G138" s="18" t="str">
        <x:v>MGR001</x:v>
      </x:c>
    </x:row>
    <x:row r="139" ht="15" hidden="0" customHeight="1">
      <x:c r="A139" s="18" t="str">
        <x:v>GP00138</x:v>
      </x:c>
      <x:c r="B139" s="18" t="str">
        <x:v>GOAL0036</x:v>
      </x:c>
      <x:c r="C139" s="18" t="str">
        <x:v>CY2026Q3</x:v>
      </x:c>
      <x:c r="D139" s="22" t="n">
        <x:v>86</x:v>
      </x:c>
      <x:c r="E139" s="21" t="str">
        <x:v>Training and coaching activities are continuing</x:v>
      </x:c>
      <x:c r="F139" s="20" t="n">
        <x:v>46295.5</x:v>
      </x:c>
      <x:c r="G139" s="18" t="str">
        <x:v>MGR001</x:v>
      </x:c>
    </x:row>
    <x:row r="140" ht="15" hidden="0" customHeight="1">
      <x:c r="A140" s="18" t="str">
        <x:v>GP00139</x:v>
      </x:c>
      <x:c r="B140" s="18" t="str">
        <x:v>GOAL0037</x:v>
      </x:c>
      <x:c r="C140" s="18" t="str">
        <x:v>CY2026Q1</x:v>
      </x:c>
      <x:c r="D140" s="22" t="n">
        <x:v>43</x:v>
      </x:c>
      <x:c r="E140" s="21" t="str">
        <x:v>Needs additional pipeline activity</x:v>
      </x:c>
      <x:c r="F140" s="20" t="n">
        <x:v>46112.5</x:v>
      </x:c>
      <x:c r="G140" s="18" t="str">
        <x:v>MGR002</x:v>
      </x:c>
    </x:row>
    <x:row r="141" ht="15" hidden="0" customHeight="1">
      <x:c r="A141" s="18" t="str">
        <x:v>GP00140</x:v>
      </x:c>
      <x:c r="B141" s="18" t="str">
        <x:v>GOAL0038</x:v>
      </x:c>
      <x:c r="C141" s="18" t="str">
        <x:v>CY2026Q1</x:v>
      </x:c>
      <x:c r="D141" s="22" t="n">
        <x:v>38</x:v>
      </x:c>
      <x:c r="E141" s="21" t="str">
        <x:v>Training and coaching activities are continuing</x:v>
      </x:c>
      <x:c r="F141" s="20" t="n">
        <x:v>46112.5</x:v>
      </x:c>
      <x:c r="G141" s="18" t="str">
        <x:v>MGR002</x:v>
      </x:c>
    </x:row>
    <x:row r="142" ht="15" hidden="0" customHeight="1">
      <x:c r="A142" s="18" t="str">
        <x:v>GP00141</x:v>
      </x:c>
      <x:c r="B142" s="18" t="str">
        <x:v>GOAL0037</x:v>
      </x:c>
      <x:c r="C142" s="18" t="str">
        <x:v>CY2026Q2</x:v>
      </x:c>
      <x:c r="D142" s="22" t="n">
        <x:v>65</x:v>
      </x:c>
      <x:c r="E142" s="21" t="str">
        <x:v>Needs additional pipeline activity</x:v>
      </x:c>
      <x:c r="F142" s="20" t="n">
        <x:v>46203.5</x:v>
      </x:c>
      <x:c r="G142" s="18" t="str">
        <x:v>MGR002</x:v>
      </x:c>
    </x:row>
    <x:row r="143" ht="15" hidden="0" customHeight="1">
      <x:c r="A143" s="18" t="str">
        <x:v>GP00142</x:v>
      </x:c>
      <x:c r="B143" s="18" t="str">
        <x:v>GOAL0038</x:v>
      </x:c>
      <x:c r="C143" s="18" t="str">
        <x:v>CY2026Q2</x:v>
      </x:c>
      <x:c r="D143" s="22" t="n">
        <x:v>60</x:v>
      </x:c>
      <x:c r="E143" s="21" t="str">
        <x:v>Training and coaching activities are continuing</x:v>
      </x:c>
      <x:c r="F143" s="20" t="n">
        <x:v>46203.5</x:v>
      </x:c>
      <x:c r="G143" s="18" t="str">
        <x:v>MGR002</x:v>
      </x:c>
    </x:row>
    <x:row r="144" ht="15" hidden="0" customHeight="1">
      <x:c r="A144" s="18" t="str">
        <x:v>GP00143</x:v>
      </x:c>
      <x:c r="B144" s="18" t="str">
        <x:v>GOAL0037</x:v>
      </x:c>
      <x:c r="C144" s="18" t="str">
        <x:v>CY2026Q3</x:v>
      </x:c>
      <x:c r="D144" s="22" t="n">
        <x:v>87</x:v>
      </x:c>
      <x:c r="E144" s="21" t="str">
        <x:v>Needs additional pipeline activity</x:v>
      </x:c>
      <x:c r="F144" s="20" t="n">
        <x:v>46295.5</x:v>
      </x:c>
      <x:c r="G144" s="18" t="str">
        <x:v>MGR002</x:v>
      </x:c>
    </x:row>
    <x:row r="145" ht="15" hidden="0" customHeight="1">
      <x:c r="A145" s="18" t="str">
        <x:v>GP00144</x:v>
      </x:c>
      <x:c r="B145" s="18" t="str">
        <x:v>GOAL0038</x:v>
      </x:c>
      <x:c r="C145" s="18" t="str">
        <x:v>CY2026Q3</x:v>
      </x:c>
      <x:c r="D145" s="22" t="n">
        <x:v>82</x:v>
      </x:c>
      <x:c r="E145" s="21" t="str">
        <x:v>Training and coaching activities are continuing</x:v>
      </x:c>
      <x:c r="F145" s="20" t="n">
        <x:v>46295.5</x:v>
      </x:c>
      <x:c r="G145" s="18" t="str">
        <x:v>MGR002</x:v>
      </x:c>
    </x:row>
    <x:row r="146" ht="15" hidden="0" customHeight="1">
      <x:c r="A146" s="18" t="str">
        <x:v>GP00145</x:v>
      </x:c>
      <x:c r="B146" s="18" t="str">
        <x:v>GOAL0039</x:v>
      </x:c>
      <x:c r="C146" s="18" t="str">
        <x:v>CY2026Q1</x:v>
      </x:c>
      <x:c r="D146" s="22" t="n">
        <x:v>47</x:v>
      </x:c>
      <x:c r="E146" s="21" t="str">
        <x:v>On plan</x:v>
      </x:c>
      <x:c r="F146" s="20" t="n">
        <x:v>46112.5</x:v>
      </x:c>
      <x:c r="G146" s="18" t="str">
        <x:v>MGR002</x:v>
      </x:c>
    </x:row>
    <x:row r="147" ht="15" hidden="0" customHeight="1">
      <x:c r="A147" s="18" t="str">
        <x:v>GP00146</x:v>
      </x:c>
      <x:c r="B147" s="18" t="str">
        <x:v>GOAL0040</x:v>
      </x:c>
      <x:c r="C147" s="18" t="str">
        <x:v>CY2026Q1</x:v>
      </x:c>
      <x:c r="D147" s="22" t="n">
        <x:v>42</x:v>
      </x:c>
      <x:c r="E147" s="21" t="str">
        <x:v>Training and coaching activities are continuing</x:v>
      </x:c>
      <x:c r="F147" s="20" t="n">
        <x:v>46112.5</x:v>
      </x:c>
      <x:c r="G147" s="18" t="str">
        <x:v>MGR002</x:v>
      </x:c>
    </x:row>
    <x:row r="148" ht="15" hidden="0" customHeight="1">
      <x:c r="A148" s="18" t="str">
        <x:v>GP00147</x:v>
      </x:c>
      <x:c r="B148" s="18" t="str">
        <x:v>GOAL0039</x:v>
      </x:c>
      <x:c r="C148" s="18" t="str">
        <x:v>CY2026Q2</x:v>
      </x:c>
      <x:c r="D148" s="22" t="n">
        <x:v>73</x:v>
      </x:c>
      <x:c r="E148" s="21" t="str">
        <x:v>Ahead of plan</x:v>
      </x:c>
      <x:c r="F148" s="20" t="n">
        <x:v>46203.5</x:v>
      </x:c>
      <x:c r="G148" s="18" t="str">
        <x:v>MGR002</x:v>
      </x:c>
    </x:row>
    <x:row r="149" ht="15" hidden="0" customHeight="1">
      <x:c r="A149" s="18" t="str">
        <x:v>GP00148</x:v>
      </x:c>
      <x:c r="B149" s="18" t="str">
        <x:v>GOAL0040</x:v>
      </x:c>
      <x:c r="C149" s="18" t="str">
        <x:v>CY2026Q2</x:v>
      </x:c>
      <x:c r="D149" s="22" t="n">
        <x:v>68</x:v>
      </x:c>
      <x:c r="E149" s="21" t="str">
        <x:v>Applied learning in customer and peer discussions</x:v>
      </x:c>
      <x:c r="F149" s="20" t="n">
        <x:v>46203.5</x:v>
      </x:c>
      <x:c r="G149" s="18" t="str">
        <x:v>MGR002</x:v>
      </x:c>
    </x:row>
    <x:row r="150" ht="15" hidden="0" customHeight="1">
      <x:c r="A150" s="18" t="str">
        <x:v>GP00149</x:v>
      </x:c>
      <x:c r="B150" s="18" t="str">
        <x:v>GOAL0039</x:v>
      </x:c>
      <x:c r="C150" s="18" t="str">
        <x:v>CY2026Q3</x:v>
      </x:c>
      <x:c r="D150" s="22" t="n">
        <x:v>95</x:v>
      </x:c>
      <x:c r="E150" s="21" t="str">
        <x:v>Ahead of plan</x:v>
      </x:c>
      <x:c r="F150" s="20" t="n">
        <x:v>46295.5</x:v>
      </x:c>
      <x:c r="G150" s="18" t="str">
        <x:v>MGR002</x:v>
      </x:c>
    </x:row>
    <x:row r="151" ht="15" hidden="0" customHeight="1">
      <x:c r="A151" s="18" t="str">
        <x:v>GP00150</x:v>
      </x:c>
      <x:c r="B151" s="18" t="str">
        <x:v>GOAL0040</x:v>
      </x:c>
      <x:c r="C151" s="18" t="str">
        <x:v>CY2026Q3</x:v>
      </x:c>
      <x:c r="D151" s="22" t="n">
        <x:v>90</x:v>
      </x:c>
      <x:c r="E151" s="21" t="str">
        <x:v>Applied learning in customer and peer discussions</x:v>
      </x:c>
      <x:c r="F151" s="20" t="n">
        <x:v>46295.5</x:v>
      </x:c>
      <x:c r="G151" s="18" t="str">
        <x:v>MGR002</x:v>
      </x:c>
    </x:row>
    <x:row r="152" ht="15" hidden="0" customHeight="1">
      <x:c r="A152" s="18" t="str">
        <x:v>GP00151</x:v>
      </x:c>
      <x:c r="B152" s="18" t="str">
        <x:v>GOAL0041</x:v>
      </x:c>
      <x:c r="C152" s="18" t="str">
        <x:v>CY2026Q1</x:v>
      </x:c>
      <x:c r="D152" s="22" t="n">
        <x:v>47</x:v>
      </x:c>
      <x:c r="E152" s="21" t="str">
        <x:v>On plan</x:v>
      </x:c>
      <x:c r="F152" s="20" t="n">
        <x:v>46112.5</x:v>
      </x:c>
      <x:c r="G152" s="18" t="str">
        <x:v>MGR002</x:v>
      </x:c>
    </x:row>
    <x:row r="153" ht="15" hidden="0" customHeight="1">
      <x:c r="A153" s="18" t="str">
        <x:v>GP00152</x:v>
      </x:c>
      <x:c r="B153" s="18" t="str">
        <x:v>GOAL0042</x:v>
      </x:c>
      <x:c r="C153" s="18" t="str">
        <x:v>CY2026Q1</x:v>
      </x:c>
      <x:c r="D153" s="22" t="n">
        <x:v>42</x:v>
      </x:c>
      <x:c r="E153" s="21" t="str">
        <x:v>Training and coaching activities are continuing</x:v>
      </x:c>
      <x:c r="F153" s="20" t="n">
        <x:v>46112.5</x:v>
      </x:c>
      <x:c r="G153" s="18" t="str">
        <x:v>MGR002</x:v>
      </x:c>
    </x:row>
    <x:row r="154" ht="15" hidden="0" customHeight="1">
      <x:c r="A154" s="18" t="str">
        <x:v>GP00153</x:v>
      </x:c>
      <x:c r="B154" s="18" t="str">
        <x:v>GOAL0041</x:v>
      </x:c>
      <x:c r="C154" s="18" t="str">
        <x:v>CY2026Q2</x:v>
      </x:c>
      <x:c r="D154" s="22" t="n">
        <x:v>69</x:v>
      </x:c>
      <x:c r="E154" s="21" t="str">
        <x:v>On plan</x:v>
      </x:c>
      <x:c r="F154" s="20" t="n">
        <x:v>46203.5</x:v>
      </x:c>
      <x:c r="G154" s="18" t="str">
        <x:v>MGR002</x:v>
      </x:c>
    </x:row>
    <x:row r="155" ht="15" hidden="0" customHeight="1">
      <x:c r="A155" s="18" t="str">
        <x:v>GP00154</x:v>
      </x:c>
      <x:c r="B155" s="18" t="str">
        <x:v>GOAL0042</x:v>
      </x:c>
      <x:c r="C155" s="18" t="str">
        <x:v>CY2026Q2</x:v>
      </x:c>
      <x:c r="D155" s="22" t="n">
        <x:v>64</x:v>
      </x:c>
      <x:c r="E155" s="21" t="str">
        <x:v>Training and coaching activities are continuing</x:v>
      </x:c>
      <x:c r="F155" s="20" t="n">
        <x:v>46203.5</x:v>
      </x:c>
      <x:c r="G155" s="18" t="str">
        <x:v>MGR002</x:v>
      </x:c>
    </x:row>
    <x:row r="156" ht="15" hidden="0" customHeight="1">
      <x:c r="A156" s="18" t="str">
        <x:v>GP00155</x:v>
      </x:c>
      <x:c r="B156" s="18" t="str">
        <x:v>GOAL0041</x:v>
      </x:c>
      <x:c r="C156" s="18" t="str">
        <x:v>CY2026Q3</x:v>
      </x:c>
      <x:c r="D156" s="22" t="n">
        <x:v>95</x:v>
      </x:c>
      <x:c r="E156" s="21" t="str">
        <x:v>Ahead of plan</x:v>
      </x:c>
      <x:c r="F156" s="20" t="n">
        <x:v>46295.5</x:v>
      </x:c>
      <x:c r="G156" s="18" t="str">
        <x:v>MGR002</x:v>
      </x:c>
    </x:row>
    <x:row r="157" ht="15" hidden="0" customHeight="1">
      <x:c r="A157" s="18" t="str">
        <x:v>GP00156</x:v>
      </x:c>
      <x:c r="B157" s="18" t="str">
        <x:v>GOAL0042</x:v>
      </x:c>
      <x:c r="C157" s="18" t="str">
        <x:v>CY2026Q3</x:v>
      </x:c>
      <x:c r="D157" s="22" t="n">
        <x:v>90</x:v>
      </x:c>
      <x:c r="E157" s="21" t="str">
        <x:v>Applied learning in customer and peer discussions</x:v>
      </x:c>
      <x:c r="F157" s="20" t="n">
        <x:v>46295.5</x:v>
      </x:c>
      <x:c r="G157" s="18" t="str">
        <x:v>MGR002</x:v>
      </x:c>
    </x:row>
    <x:row r="158" ht="15" hidden="0" customHeight="1">
      <x:c r="A158" s="18" t="str">
        <x:v>GP00157</x:v>
      </x:c>
      <x:c r="B158" s="18" t="str">
        <x:v>GOAL0043</x:v>
      </x:c>
      <x:c r="C158" s="18" t="str">
        <x:v>CY2026Q1</x:v>
      </x:c>
      <x:c r="D158" s="22" t="n">
        <x:v>43</x:v>
      </x:c>
      <x:c r="E158" s="21" t="str">
        <x:v>Needs additional pipeline activity</x:v>
      </x:c>
      <x:c r="F158" s="20" t="n">
        <x:v>46112.5</x:v>
      </x:c>
      <x:c r="G158" s="18" t="str">
        <x:v>MGR003</x:v>
      </x:c>
    </x:row>
    <x:row r="159" ht="15" hidden="0" customHeight="1">
      <x:c r="A159" s="18" t="str">
        <x:v>GP00158</x:v>
      </x:c>
      <x:c r="B159" s="18" t="str">
        <x:v>GOAL0044</x:v>
      </x:c>
      <x:c r="C159" s="18" t="str">
        <x:v>CY2026Q1</x:v>
      </x:c>
      <x:c r="D159" s="22" t="n">
        <x:v>38</x:v>
      </x:c>
      <x:c r="E159" s="21" t="str">
        <x:v>Training and coaching activities are continuing</x:v>
      </x:c>
      <x:c r="F159" s="20" t="n">
        <x:v>46112.5</x:v>
      </x:c>
      <x:c r="G159" s="18" t="str">
        <x:v>MGR003</x:v>
      </x:c>
    </x:row>
    <x:row r="160" ht="15" hidden="0" customHeight="1">
      <x:c r="A160" s="18" t="str">
        <x:v>GP00159</x:v>
      </x:c>
      <x:c r="B160" s="18" t="str">
        <x:v>GOAL0043</x:v>
      </x:c>
      <x:c r="C160" s="18" t="str">
        <x:v>CY2026Q2</x:v>
      </x:c>
      <x:c r="D160" s="22" t="n">
        <x:v>69</x:v>
      </x:c>
      <x:c r="E160" s="21" t="str">
        <x:v>On plan</x:v>
      </x:c>
      <x:c r="F160" s="20" t="n">
        <x:v>46203.5</x:v>
      </x:c>
      <x:c r="G160" s="18" t="str">
        <x:v>MGR003</x:v>
      </x:c>
    </x:row>
    <x:row r="161" ht="15" hidden="0" customHeight="1">
      <x:c r="A161" s="18" t="str">
        <x:v>GP00160</x:v>
      </x:c>
      <x:c r="B161" s="18" t="str">
        <x:v>GOAL0044</x:v>
      </x:c>
      <x:c r="C161" s="18" t="str">
        <x:v>CY2026Q2</x:v>
      </x:c>
      <x:c r="D161" s="22" t="n">
        <x:v>64</x:v>
      </x:c>
      <x:c r="E161" s="21" t="str">
        <x:v>Training and coaching activities are continuing</x:v>
      </x:c>
      <x:c r="F161" s="20" t="n">
        <x:v>46203.5</x:v>
      </x:c>
      <x:c r="G161" s="18" t="str">
        <x:v>MGR003</x:v>
      </x:c>
    </x:row>
    <x:row r="162" ht="15" hidden="0" customHeight="1">
      <x:c r="A162" s="18" t="str">
        <x:v>GP00161</x:v>
      </x:c>
      <x:c r="B162" s="18" t="str">
        <x:v>GOAL0043</x:v>
      </x:c>
      <x:c r="C162" s="18" t="str">
        <x:v>CY2026Q3</x:v>
      </x:c>
      <x:c r="D162" s="22" t="n">
        <x:v>87</x:v>
      </x:c>
      <x:c r="E162" s="21" t="str">
        <x:v>Needs additional pipeline activity</x:v>
      </x:c>
      <x:c r="F162" s="20" t="n">
        <x:v>46295.5</x:v>
      </x:c>
      <x:c r="G162" s="18" t="str">
        <x:v>MGR003</x:v>
      </x:c>
    </x:row>
    <x:row r="163" ht="15" hidden="0" customHeight="1">
      <x:c r="A163" s="18" t="str">
        <x:v>GP00162</x:v>
      </x:c>
      <x:c r="B163" s="18" t="str">
        <x:v>GOAL0044</x:v>
      </x:c>
      <x:c r="C163" s="18" t="str">
        <x:v>CY2026Q3</x:v>
      </x:c>
      <x:c r="D163" s="22" t="n">
        <x:v>82</x:v>
      </x:c>
      <x:c r="E163" s="21" t="str">
        <x:v>Training and coaching activities are continuing</x:v>
      </x:c>
      <x:c r="F163" s="20" t="n">
        <x:v>46295.5</x:v>
      </x:c>
      <x:c r="G163" s="18" t="str">
        <x:v>MGR003</x:v>
      </x:c>
    </x:row>
    <x:row r="164" ht="15" hidden="0" customHeight="1">
      <x:c r="A164" s="18" t="str">
        <x:v>GP00163</x:v>
      </x:c>
      <x:c r="B164" s="18" t="str">
        <x:v>GOAL0045</x:v>
      </x:c>
      <x:c r="C164" s="18" t="str">
        <x:v>CY2026Q1</x:v>
      </x:c>
      <x:c r="D164" s="22" t="n">
        <x:v>39</x:v>
      </x:c>
      <x:c r="E164" s="21" t="str">
        <x:v>Needs additional pipeline activity</x:v>
      </x:c>
      <x:c r="F164" s="20" t="n">
        <x:v>46112.5</x:v>
      </x:c>
      <x:c r="G164" s="18" t="str">
        <x:v>MGR003</x:v>
      </x:c>
    </x:row>
    <x:row r="165" ht="15" hidden="0" customHeight="1">
      <x:c r="A165" s="18" t="str">
        <x:v>GP00164</x:v>
      </x:c>
      <x:c r="B165" s="18" t="str">
        <x:v>GOAL0046</x:v>
      </x:c>
      <x:c r="C165" s="18" t="str">
        <x:v>CY2026Q1</x:v>
      </x:c>
      <x:c r="D165" s="22" t="n">
        <x:v>34</x:v>
      </x:c>
      <x:c r="E165" s="21" t="str">
        <x:v>Training and coaching activities are continuing</x:v>
      </x:c>
      <x:c r="F165" s="20" t="n">
        <x:v>46112.5</x:v>
      </x:c>
      <x:c r="G165" s="18" t="str">
        <x:v>MGR003</x:v>
      </x:c>
    </x:row>
    <x:row r="166" ht="15" hidden="0" customHeight="1">
      <x:c r="A166" s="18" t="str">
        <x:v>GP00165</x:v>
      </x:c>
      <x:c r="B166" s="18" t="str">
        <x:v>GOAL0045</x:v>
      </x:c>
      <x:c r="C166" s="18" t="str">
        <x:v>CY2026Q2</x:v>
      </x:c>
      <x:c r="D166" s="22" t="n">
        <x:v>61</x:v>
      </x:c>
      <x:c r="E166" s="21" t="str">
        <x:v>Needs additional pipeline activity</x:v>
      </x:c>
      <x:c r="F166" s="20" t="n">
        <x:v>46203.5</x:v>
      </x:c>
      <x:c r="G166" s="18" t="str">
        <x:v>MGR003</x:v>
      </x:c>
    </x:row>
    <x:row r="167" ht="15" hidden="0" customHeight="1">
      <x:c r="A167" s="18" t="str">
        <x:v>GP00166</x:v>
      </x:c>
      <x:c r="B167" s="18" t="str">
        <x:v>GOAL0046</x:v>
      </x:c>
      <x:c r="C167" s="18" t="str">
        <x:v>CY2026Q2</x:v>
      </x:c>
      <x:c r="D167" s="22" t="n">
        <x:v>56</x:v>
      </x:c>
      <x:c r="E167" s="21" t="str">
        <x:v>Training and coaching activities are continuing</x:v>
      </x:c>
      <x:c r="F167" s="20" t="n">
        <x:v>46203.5</x:v>
      </x:c>
      <x:c r="G167" s="18" t="str">
        <x:v>MGR003</x:v>
      </x:c>
    </x:row>
    <x:row r="168" ht="15" hidden="0" customHeight="1">
      <x:c r="A168" s="18" t="str">
        <x:v>GP00167</x:v>
      </x:c>
      <x:c r="B168" s="18" t="str">
        <x:v>GOAL0045</x:v>
      </x:c>
      <x:c r="C168" s="18" t="str">
        <x:v>CY2026Q3</x:v>
      </x:c>
      <x:c r="D168" s="22" t="n">
        <x:v>83</x:v>
      </x:c>
      <x:c r="E168" s="21" t="str">
        <x:v>Needs additional pipeline activity</x:v>
      </x:c>
      <x:c r="F168" s="20" t="n">
        <x:v>46295.5</x:v>
      </x:c>
      <x:c r="G168" s="18" t="str">
        <x:v>MGR003</x:v>
      </x:c>
    </x:row>
    <x:row r="169" ht="15" hidden="0" customHeight="1">
      <x:c r="A169" s="18" t="str">
        <x:v>GP00168</x:v>
      </x:c>
      <x:c r="B169" s="18" t="str">
        <x:v>GOAL0046</x:v>
      </x:c>
      <x:c r="C169" s="18" t="str">
        <x:v>CY2026Q3</x:v>
      </x:c>
      <x:c r="D169" s="22" t="n">
        <x:v>78</x:v>
      </x:c>
      <x:c r="E169" s="21" t="str">
        <x:v>Training and coaching activities are continuing</x:v>
      </x:c>
      <x:c r="F169" s="20" t="n">
        <x:v>46295.5</x:v>
      </x:c>
      <x:c r="G169" s="18" t="str">
        <x:v>MGR003</x:v>
      </x:c>
    </x:row>
    <x:row r="170" ht="15" hidden="0" customHeight="1">
      <x:c r="A170" s="18" t="str">
        <x:v>GP00169</x:v>
      </x:c>
      <x:c r="B170" s="18" t="str">
        <x:v>GOAL0047</x:v>
      </x:c>
      <x:c r="C170" s="18" t="str">
        <x:v>CY2026Q1</x:v>
      </x:c>
      <x:c r="D170" s="22" t="n">
        <x:v>55</x:v>
      </x:c>
      <x:c r="E170" s="21" t="str">
        <x:v>Ahead of plan</x:v>
      </x:c>
      <x:c r="F170" s="20" t="n">
        <x:v>46112.5</x:v>
      </x:c>
      <x:c r="G170" s="18" t="str">
        <x:v>MGR004</x:v>
      </x:c>
    </x:row>
    <x:row r="171" ht="15" hidden="0" customHeight="1">
      <x:c r="A171" s="18" t="str">
        <x:v>GP00170</x:v>
      </x:c>
      <x:c r="B171" s="18" t="str">
        <x:v>GOAL0048</x:v>
      </x:c>
      <x:c r="C171" s="18" t="str">
        <x:v>CY2026Q1</x:v>
      </x:c>
      <x:c r="D171" s="22" t="n">
        <x:v>50</x:v>
      </x:c>
      <x:c r="E171" s="21" t="str">
        <x:v>Applied learning in customer and peer discussions</x:v>
      </x:c>
      <x:c r="F171" s="20" t="n">
        <x:v>46112.5</x:v>
      </x:c>
      <x:c r="G171" s="18" t="str">
        <x:v>MGR004</x:v>
      </x:c>
    </x:row>
    <x:row r="172" ht="15" hidden="0" customHeight="1">
      <x:c r="A172" s="18" t="str">
        <x:v>GP00171</x:v>
      </x:c>
      <x:c r="B172" s="18" t="str">
        <x:v>GOAL0047</x:v>
      </x:c>
      <x:c r="C172" s="18" t="str">
        <x:v>CY2026Q2</x:v>
      </x:c>
      <x:c r="D172" s="22" t="n">
        <x:v>77</x:v>
      </x:c>
      <x:c r="E172" s="21" t="str">
        <x:v>Ahead of plan</x:v>
      </x:c>
      <x:c r="F172" s="20" t="n">
        <x:v>46203.5</x:v>
      </x:c>
      <x:c r="G172" s="18" t="str">
        <x:v>MGR004</x:v>
      </x:c>
    </x:row>
    <x:row r="173" ht="15" hidden="0" customHeight="1">
      <x:c r="A173" s="18" t="str">
        <x:v>GP00172</x:v>
      </x:c>
      <x:c r="B173" s="18" t="str">
        <x:v>GOAL0048</x:v>
      </x:c>
      <x:c r="C173" s="18" t="str">
        <x:v>CY2026Q2</x:v>
      </x:c>
      <x:c r="D173" s="22" t="n">
        <x:v>72</x:v>
      </x:c>
      <x:c r="E173" s="21" t="str">
        <x:v>Applied learning in customer and peer discussions</x:v>
      </x:c>
      <x:c r="F173" s="20" t="n">
        <x:v>46203.5</x:v>
      </x:c>
      <x:c r="G173" s="18" t="str">
        <x:v>MGR004</x:v>
      </x:c>
    </x:row>
    <x:row r="174" ht="15" hidden="0" customHeight="1">
      <x:c r="A174" s="18" t="str">
        <x:v>GP00173</x:v>
      </x:c>
      <x:c r="B174" s="18" t="str">
        <x:v>GOAL0047</x:v>
      </x:c>
      <x:c r="C174" s="18" t="str">
        <x:v>CY2026Q3</x:v>
      </x:c>
      <x:c r="D174" s="22" t="n">
        <x:v>99</x:v>
      </x:c>
      <x:c r="E174" s="21" t="str">
        <x:v>Ahead of plan</x:v>
      </x:c>
      <x:c r="F174" s="20" t="n">
        <x:v>46295.5</x:v>
      </x:c>
      <x:c r="G174" s="18" t="str">
        <x:v>MGR004</x:v>
      </x:c>
    </x:row>
    <x:row r="175" ht="15" hidden="0" customHeight="1">
      <x:c r="A175" s="18" t="str">
        <x:v>GP00174</x:v>
      </x:c>
      <x:c r="B175" s="18" t="str">
        <x:v>GOAL0048</x:v>
      </x:c>
      <x:c r="C175" s="18" t="str">
        <x:v>CY2026Q3</x:v>
      </x:c>
      <x:c r="D175" s="22" t="n">
        <x:v>94</x:v>
      </x:c>
      <x:c r="E175" s="21" t="str">
        <x:v>Applied learning in customer and peer discussions</x:v>
      </x:c>
      <x:c r="F175" s="20" t="n">
        <x:v>46295.5</x:v>
      </x:c>
      <x:c r="G175" s="18" t="str">
        <x:v>MGR004</x:v>
      </x:c>
    </x:row>
    <x:row r="176" ht="15" hidden="0" customHeight="1">
      <x:c r="A176" s="18" t="str">
        <x:v>GP00175</x:v>
      </x:c>
      <x:c r="B176" s="18" t="str">
        <x:v>GOAL0049</x:v>
      </x:c>
      <x:c r="C176" s="18" t="str">
        <x:v>CY2026Q1</x:v>
      </x:c>
      <x:c r="D176" s="22" t="n">
        <x:v>51</x:v>
      </x:c>
      <x:c r="E176" s="21" t="str">
        <x:v>Ahead of plan</x:v>
      </x:c>
      <x:c r="F176" s="20" t="n">
        <x:v>46112.5</x:v>
      </x:c>
      <x:c r="G176" s="18" t="str">
        <x:v>MGR004</x:v>
      </x:c>
    </x:row>
    <x:row r="177" ht="15" hidden="0" customHeight="1">
      <x:c r="A177" s="18" t="str">
        <x:v>GP00176</x:v>
      </x:c>
      <x:c r="B177" s="18" t="str">
        <x:v>GOAL0050</x:v>
      </x:c>
      <x:c r="C177" s="18" t="str">
        <x:v>CY2026Q1</x:v>
      </x:c>
      <x:c r="D177" s="22" t="n">
        <x:v>46</x:v>
      </x:c>
      <x:c r="E177" s="21" t="str">
        <x:v>Applied learning in customer and peer discussions</x:v>
      </x:c>
      <x:c r="F177" s="20" t="n">
        <x:v>46112.5</x:v>
      </x:c>
      <x:c r="G177" s="18" t="str">
        <x:v>MGR004</x:v>
      </x:c>
    </x:row>
    <x:row r="178" ht="15" hidden="0" customHeight="1">
      <x:c r="A178" s="18" t="str">
        <x:v>GP00177</x:v>
      </x:c>
      <x:c r="B178" s="18" t="str">
        <x:v>GOAL0049</x:v>
      </x:c>
      <x:c r="C178" s="18" t="str">
        <x:v>CY2026Q2</x:v>
      </x:c>
      <x:c r="D178" s="22" t="n">
        <x:v>73</x:v>
      </x:c>
      <x:c r="E178" s="21" t="str">
        <x:v>Ahead of plan</x:v>
      </x:c>
      <x:c r="F178" s="20" t="n">
        <x:v>46203.5</x:v>
      </x:c>
      <x:c r="G178" s="18" t="str">
        <x:v>MGR004</x:v>
      </x:c>
    </x:row>
    <x:row r="179" ht="15" hidden="0" customHeight="1">
      <x:c r="A179" s="18" t="str">
        <x:v>GP00178</x:v>
      </x:c>
      <x:c r="B179" s="18" t="str">
        <x:v>GOAL0050</x:v>
      </x:c>
      <x:c r="C179" s="18" t="str">
        <x:v>CY2026Q2</x:v>
      </x:c>
      <x:c r="D179" s="22" t="n">
        <x:v>68</x:v>
      </x:c>
      <x:c r="E179" s="21" t="str">
        <x:v>Applied learning in customer and peer discussions</x:v>
      </x:c>
      <x:c r="F179" s="20" t="n">
        <x:v>46203.5</x:v>
      </x:c>
      <x:c r="G179" s="18" t="str">
        <x:v>MGR004</x:v>
      </x:c>
    </x:row>
    <x:row r="180" ht="15" hidden="0" customHeight="1">
      <x:c r="A180" s="18" t="str">
        <x:v>GP00179</x:v>
      </x:c>
      <x:c r="B180" s="18" t="str">
        <x:v>GOAL0049</x:v>
      </x:c>
      <x:c r="C180" s="18" t="str">
        <x:v>CY2026Q3</x:v>
      </x:c>
      <x:c r="D180" s="22" t="n">
        <x:v>95</x:v>
      </x:c>
      <x:c r="E180" s="21" t="str">
        <x:v>Ahead of plan</x:v>
      </x:c>
      <x:c r="F180" s="20" t="n">
        <x:v>46295.5</x:v>
      </x:c>
      <x:c r="G180" s="18" t="str">
        <x:v>MGR004</x:v>
      </x:c>
    </x:row>
    <x:row r="181" ht="15" hidden="0" customHeight="1">
      <x:c r="A181" s="18" t="str">
        <x:v>GP00180</x:v>
      </x:c>
      <x:c r="B181" s="18" t="str">
        <x:v>GOAL0050</x:v>
      </x:c>
      <x:c r="C181" s="18" t="str">
        <x:v>CY2026Q3</x:v>
      </x:c>
      <x:c r="D181" s="22" t="n">
        <x:v>90</x:v>
      </x:c>
      <x:c r="E181" s="21" t="str">
        <x:v>Applied learning in customer and peer discussions</x:v>
      </x:c>
      <x:c r="F181" s="20" t="n">
        <x:v>46295.5</x:v>
      </x:c>
      <x:c r="G181" s="18" t="str">
        <x:v>MGR004</x:v>
      </x:c>
    </x:row>
    <x:row r="182" ht="15" hidden="0" customHeight="1">
      <x:c r="A182" s="18" t="str">
        <x:v>GP00181</x:v>
      </x:c>
      <x:c r="B182" s="18" t="str">
        <x:v>GOAL0051</x:v>
      </x:c>
      <x:c r="C182" s="18" t="str">
        <x:v>CY2026Q1</x:v>
      </x:c>
      <x:c r="D182" s="22" t="n">
        <x:v>47</x:v>
      </x:c>
      <x:c r="E182" s="21" t="str">
        <x:v>On plan</x:v>
      </x:c>
      <x:c r="F182" s="20" t="n">
        <x:v>46112.5</x:v>
      </x:c>
      <x:c r="G182" s="18" t="str">
        <x:v>MGR004</x:v>
      </x:c>
    </x:row>
    <x:row r="183" ht="15" hidden="0" customHeight="1">
      <x:c r="A183" s="18" t="str">
        <x:v>GP00182</x:v>
      </x:c>
      <x:c r="B183" s="18" t="str">
        <x:v>GOAL0052</x:v>
      </x:c>
      <x:c r="C183" s="18" t="str">
        <x:v>CY2026Q1</x:v>
      </x:c>
      <x:c r="D183" s="22" t="n">
        <x:v>42</x:v>
      </x:c>
      <x:c r="E183" s="21" t="str">
        <x:v>Training and coaching activities are continuing</x:v>
      </x:c>
      <x:c r="F183" s="20" t="n">
        <x:v>46112.5</x:v>
      </x:c>
      <x:c r="G183" s="18" t="str">
        <x:v>MGR004</x:v>
      </x:c>
    </x:row>
    <x:row r="184" ht="15" hidden="0" customHeight="1">
      <x:c r="A184" s="18" t="str">
        <x:v>GP00183</x:v>
      </x:c>
      <x:c r="B184" s="18" t="str">
        <x:v>GOAL0051</x:v>
      </x:c>
      <x:c r="C184" s="18" t="str">
        <x:v>CY2026Q2</x:v>
      </x:c>
      <x:c r="D184" s="22" t="n">
        <x:v>69</x:v>
      </x:c>
      <x:c r="E184" s="21" t="str">
        <x:v>On plan</x:v>
      </x:c>
      <x:c r="F184" s="20" t="n">
        <x:v>46203.5</x:v>
      </x:c>
      <x:c r="G184" s="18" t="str">
        <x:v>MGR004</x:v>
      </x:c>
    </x:row>
    <x:row r="185" ht="15" hidden="0" customHeight="1">
      <x:c r="A185" s="18" t="str">
        <x:v>GP00184</x:v>
      </x:c>
      <x:c r="B185" s="18" t="str">
        <x:v>GOAL0052</x:v>
      </x:c>
      <x:c r="C185" s="18" t="str">
        <x:v>CY2026Q2</x:v>
      </x:c>
      <x:c r="D185" s="22" t="n">
        <x:v>64</x:v>
      </x:c>
      <x:c r="E185" s="21" t="str">
        <x:v>Training and coaching activities are continuing</x:v>
      </x:c>
      <x:c r="F185" s="20" t="n">
        <x:v>46203.5</x:v>
      </x:c>
      <x:c r="G185" s="18" t="str">
        <x:v>MGR004</x:v>
      </x:c>
    </x:row>
    <x:row r="186" ht="15" hidden="0" customHeight="1">
      <x:c r="A186" s="18" t="str">
        <x:v>GP00185</x:v>
      </x:c>
      <x:c r="B186" s="18" t="str">
        <x:v>GOAL0051</x:v>
      </x:c>
      <x:c r="C186" s="18" t="str">
        <x:v>CY2026Q3</x:v>
      </x:c>
      <x:c r="D186" s="22" t="n">
        <x:v>87</x:v>
      </x:c>
      <x:c r="E186" s="21" t="str">
        <x:v>Needs additional pipeline activity</x:v>
      </x:c>
      <x:c r="F186" s="20" t="n">
        <x:v>46295.5</x:v>
      </x:c>
      <x:c r="G186" s="18" t="str">
        <x:v>MGR004</x:v>
      </x:c>
    </x:row>
    <x:row r="187" ht="15" hidden="0" customHeight="1">
      <x:c r="A187" s="18" t="str">
        <x:v>GP00186</x:v>
      </x:c>
      <x:c r="B187" s="18" t="str">
        <x:v>GOAL0052</x:v>
      </x:c>
      <x:c r="C187" s="18" t="str">
        <x:v>CY2026Q3</x:v>
      </x:c>
      <x:c r="D187" s="22" t="n">
        <x:v>82</x:v>
      </x:c>
      <x:c r="E187" s="21" t="str">
        <x:v>Training and coaching activities are continuing</x:v>
      </x:c>
      <x:c r="F187" s="20" t="n">
        <x:v>46295.5</x:v>
      </x:c>
      <x:c r="G187" s="18" t="str">
        <x:v>MGR004</x:v>
      </x:c>
    </x:row>
    <x:row r="188" ht="15" hidden="0" customHeight="1">
      <x:c r="A188" s="18" t="str">
        <x:v>GP00187</x:v>
      </x:c>
      <x:c r="B188" s="18" t="str">
        <x:v>GOAL0053</x:v>
      </x:c>
      <x:c r="C188" s="18" t="str">
        <x:v>CY2026Q1</x:v>
      </x:c>
      <x:c r="D188" s="22" t="n">
        <x:v>43</x:v>
      </x:c>
      <x:c r="E188" s="21" t="str">
        <x:v>Needs additional pipeline activity</x:v>
      </x:c>
      <x:c r="F188" s="20" t="n">
        <x:v>46112.5</x:v>
      </x:c>
      <x:c r="G188" s="18" t="str">
        <x:v>MGR005</x:v>
      </x:c>
    </x:row>
    <x:row r="189" ht="15" hidden="0" customHeight="1">
      <x:c r="A189" s="18" t="str">
        <x:v>GP00188</x:v>
      </x:c>
      <x:c r="B189" s="18" t="str">
        <x:v>GOAL0054</x:v>
      </x:c>
      <x:c r="C189" s="18" t="str">
        <x:v>CY2026Q1</x:v>
      </x:c>
      <x:c r="D189" s="22" t="n">
        <x:v>38</x:v>
      </x:c>
      <x:c r="E189" s="21" t="str">
        <x:v>Training and coaching activities are continuing</x:v>
      </x:c>
      <x:c r="F189" s="20" t="n">
        <x:v>46112.5</x:v>
      </x:c>
      <x:c r="G189" s="18" t="str">
        <x:v>MGR005</x:v>
      </x:c>
    </x:row>
    <x:row r="190" ht="15" hidden="0" customHeight="1">
      <x:c r="A190" s="18" t="str">
        <x:v>GP00189</x:v>
      </x:c>
      <x:c r="B190" s="18" t="str">
        <x:v>GOAL0053</x:v>
      </x:c>
      <x:c r="C190" s="18" t="str">
        <x:v>CY2026Q2</x:v>
      </x:c>
      <x:c r="D190" s="22" t="n">
        <x:v>65</x:v>
      </x:c>
      <x:c r="E190" s="21" t="str">
        <x:v>Needs additional pipeline activity</x:v>
      </x:c>
      <x:c r="F190" s="20" t="n">
        <x:v>46203.5</x:v>
      </x:c>
      <x:c r="G190" s="18" t="str">
        <x:v>MGR005</x:v>
      </x:c>
    </x:row>
    <x:row r="191" ht="15" hidden="0" customHeight="1">
      <x:c r="A191" s="18" t="str">
        <x:v>GP00190</x:v>
      </x:c>
      <x:c r="B191" s="18" t="str">
        <x:v>GOAL0054</x:v>
      </x:c>
      <x:c r="C191" s="18" t="str">
        <x:v>CY2026Q2</x:v>
      </x:c>
      <x:c r="D191" s="22" t="n">
        <x:v>60</x:v>
      </x:c>
      <x:c r="E191" s="21" t="str">
        <x:v>Training and coaching activities are continuing</x:v>
      </x:c>
      <x:c r="F191" s="20" t="n">
        <x:v>46203.5</x:v>
      </x:c>
      <x:c r="G191" s="18" t="str">
        <x:v>MGR005</x:v>
      </x:c>
    </x:row>
    <x:row r="192" ht="15" hidden="0" customHeight="1">
      <x:c r="A192" s="18" t="str">
        <x:v>GP00191</x:v>
      </x:c>
      <x:c r="B192" s="18" t="str">
        <x:v>GOAL0053</x:v>
      </x:c>
      <x:c r="C192" s="18" t="str">
        <x:v>CY2026Q3</x:v>
      </x:c>
      <x:c r="D192" s="22" t="n">
        <x:v>91</x:v>
      </x:c>
      <x:c r="E192" s="21" t="str">
        <x:v>On plan</x:v>
      </x:c>
      <x:c r="F192" s="20" t="n">
        <x:v>46295.5</x:v>
      </x:c>
      <x:c r="G192" s="18" t="str">
        <x:v>MGR005</x:v>
      </x:c>
    </x:row>
    <x:row r="193" ht="15" hidden="0" customHeight="1">
      <x:c r="A193" s="18" t="str">
        <x:v>GP00192</x:v>
      </x:c>
      <x:c r="B193" s="18" t="str">
        <x:v>GOAL0054</x:v>
      </x:c>
      <x:c r="C193" s="18" t="str">
        <x:v>CY2026Q3</x:v>
      </x:c>
      <x:c r="D193" s="22" t="n">
        <x:v>86</x:v>
      </x:c>
      <x:c r="E193" s="21" t="str">
        <x:v>Training and coaching activities are continuing</x:v>
      </x:c>
      <x:c r="F193" s="20" t="n">
        <x:v>46295.5</x:v>
      </x:c>
      <x:c r="G193" s="18" t="str">
        <x:v>MGR005</x:v>
      </x:c>
    </x:row>
    <x:row r="194" ht="15" hidden="0" customHeight="1">
      <x:c r="A194" s="18" t="str">
        <x:v>GP00193</x:v>
      </x:c>
      <x:c r="B194" s="18" t="str">
        <x:v>GOAL0055</x:v>
      </x:c>
      <x:c r="C194" s="18" t="str">
        <x:v>CY2026Q1</x:v>
      </x:c>
      <x:c r="D194" s="22" t="n">
        <x:v>51</x:v>
      </x:c>
      <x:c r="E194" s="21" t="str">
        <x:v>Ahead of plan</x:v>
      </x:c>
      <x:c r="F194" s="20" t="n">
        <x:v>46112.5</x:v>
      </x:c>
      <x:c r="G194" s="18" t="str">
        <x:v>MGR005</x:v>
      </x:c>
    </x:row>
    <x:row r="195" ht="15" hidden="0" customHeight="1">
      <x:c r="A195" s="18" t="str">
        <x:v>GP00194</x:v>
      </x:c>
      <x:c r="B195" s="18" t="str">
        <x:v>GOAL0056</x:v>
      </x:c>
      <x:c r="C195" s="18" t="str">
        <x:v>CY2026Q1</x:v>
      </x:c>
      <x:c r="D195" s="22" t="n">
        <x:v>46</x:v>
      </x:c>
      <x:c r="E195" s="21" t="str">
        <x:v>Applied learning in customer and peer discussions</x:v>
      </x:c>
      <x:c r="F195" s="20" t="n">
        <x:v>46112.5</x:v>
      </x:c>
      <x:c r="G195" s="18" t="str">
        <x:v>MGR005</x:v>
      </x:c>
    </x:row>
    <x:row r="196" ht="15" hidden="0" customHeight="1">
      <x:c r="A196" s="18" t="str">
        <x:v>GP00195</x:v>
      </x:c>
      <x:c r="B196" s="18" t="str">
        <x:v>GOAL0055</x:v>
      </x:c>
      <x:c r="C196" s="18" t="str">
        <x:v>CY2026Q2</x:v>
      </x:c>
      <x:c r="D196" s="22" t="n">
        <x:v>73</x:v>
      </x:c>
      <x:c r="E196" s="21" t="str">
        <x:v>Ahead of plan</x:v>
      </x:c>
      <x:c r="F196" s="20" t="n">
        <x:v>46203.5</x:v>
      </x:c>
      <x:c r="G196" s="18" t="str">
        <x:v>MGR005</x:v>
      </x:c>
    </x:row>
    <x:row r="197" ht="15" hidden="0" customHeight="1">
      <x:c r="A197" s="18" t="str">
        <x:v>GP00196</x:v>
      </x:c>
      <x:c r="B197" s="18" t="str">
        <x:v>GOAL0056</x:v>
      </x:c>
      <x:c r="C197" s="18" t="str">
        <x:v>CY2026Q2</x:v>
      </x:c>
      <x:c r="D197" s="22" t="n">
        <x:v>68</x:v>
      </x:c>
      <x:c r="E197" s="21" t="str">
        <x:v>Applied learning in customer and peer discussions</x:v>
      </x:c>
      <x:c r="F197" s="20" t="n">
        <x:v>46203.5</x:v>
      </x:c>
      <x:c r="G197" s="18" t="str">
        <x:v>MGR005</x:v>
      </x:c>
    </x:row>
    <x:row r="198" ht="15" hidden="0" customHeight="1">
      <x:c r="A198" s="18" t="str">
        <x:v>GP00197</x:v>
      </x:c>
      <x:c r="B198" s="18" t="str">
        <x:v>GOAL0055</x:v>
      </x:c>
      <x:c r="C198" s="18" t="str">
        <x:v>CY2026Q3</x:v>
      </x:c>
      <x:c r="D198" s="22" t="n">
        <x:v>95</x:v>
      </x:c>
      <x:c r="E198" s="21" t="str">
        <x:v>Ahead of plan</x:v>
      </x:c>
      <x:c r="F198" s="20" t="n">
        <x:v>46295.5</x:v>
      </x:c>
      <x:c r="G198" s="18" t="str">
        <x:v>MGR005</x:v>
      </x:c>
    </x:row>
    <x:row r="199" ht="15" hidden="0" customHeight="1">
      <x:c r="A199" s="18" t="str">
        <x:v>GP00198</x:v>
      </x:c>
      <x:c r="B199" s="18" t="str">
        <x:v>GOAL0056</x:v>
      </x:c>
      <x:c r="C199" s="18" t="str">
        <x:v>CY2026Q3</x:v>
      </x:c>
      <x:c r="D199" s="22" t="n">
        <x:v>90</x:v>
      </x:c>
      <x:c r="E199" s="21" t="str">
        <x:v>Applied learning in customer and peer discussions</x:v>
      </x:c>
      <x:c r="F199" s="20" t="n">
        <x:v>46295.5</x:v>
      </x:c>
      <x:c r="G199" s="18" t="str">
        <x:v>MGR005</x:v>
      </x:c>
    </x:row>
    <x:row r="200" ht="15" hidden="0" customHeight="1">
      <x:c r="A200" s="18" t="str">
        <x:v>GP00199</x:v>
      </x:c>
      <x:c r="B200" s="18" t="str">
        <x:v>GOAL0057</x:v>
      </x:c>
      <x:c r="C200" s="18" t="str">
        <x:v>CY2026Q1</x:v>
      </x:c>
      <x:c r="D200" s="22" t="n">
        <x:v>51</x:v>
      </x:c>
      <x:c r="E200" s="21" t="str">
        <x:v>Ahead of plan</x:v>
      </x:c>
      <x:c r="F200" s="20" t="n">
        <x:v>46112.5</x:v>
      </x:c>
      <x:c r="G200" s="18" t="str">
        <x:v>MGR006</x:v>
      </x:c>
    </x:row>
    <x:row r="201" ht="15" hidden="0" customHeight="1">
      <x:c r="A201" s="18" t="str">
        <x:v>GP00200</x:v>
      </x:c>
      <x:c r="B201" s="18" t="str">
        <x:v>GOAL0058</x:v>
      </x:c>
      <x:c r="C201" s="18" t="str">
        <x:v>CY2026Q1</x:v>
      </x:c>
      <x:c r="D201" s="22" t="n">
        <x:v>46</x:v>
      </x:c>
      <x:c r="E201" s="21" t="str">
        <x:v>Applied learning in customer and peer discussions</x:v>
      </x:c>
      <x:c r="F201" s="20" t="n">
        <x:v>46112.5</x:v>
      </x:c>
      <x:c r="G201" s="18" t="str">
        <x:v>MGR006</x:v>
      </x:c>
    </x:row>
    <x:row r="202" ht="15" hidden="0" customHeight="1">
      <x:c r="A202" s="18" t="str">
        <x:v>GP00201</x:v>
      </x:c>
      <x:c r="B202" s="18" t="str">
        <x:v>GOAL0057</x:v>
      </x:c>
      <x:c r="C202" s="18" t="str">
        <x:v>CY2026Q2</x:v>
      </x:c>
      <x:c r="D202" s="22" t="n">
        <x:v>69</x:v>
      </x:c>
      <x:c r="E202" s="21" t="str">
        <x:v>On plan</x:v>
      </x:c>
      <x:c r="F202" s="20" t="n">
        <x:v>46203.5</x:v>
      </x:c>
      <x:c r="G202" s="18" t="str">
        <x:v>MGR006</x:v>
      </x:c>
    </x:row>
    <x:row r="203" ht="15" hidden="0" customHeight="1">
      <x:c r="A203" s="18" t="str">
        <x:v>GP00202</x:v>
      </x:c>
      <x:c r="B203" s="18" t="str">
        <x:v>GOAL0058</x:v>
      </x:c>
      <x:c r="C203" s="18" t="str">
        <x:v>CY2026Q2</x:v>
      </x:c>
      <x:c r="D203" s="22" t="n">
        <x:v>64</x:v>
      </x:c>
      <x:c r="E203" s="21" t="str">
        <x:v>Training and coaching activities are continuing</x:v>
      </x:c>
      <x:c r="F203" s="20" t="n">
        <x:v>46203.5</x:v>
      </x:c>
      <x:c r="G203" s="18" t="str">
        <x:v>MGR006</x:v>
      </x:c>
    </x:row>
    <x:row r="204" ht="15" hidden="0" customHeight="1">
      <x:c r="A204" s="18" t="str">
        <x:v>GP00203</x:v>
      </x:c>
      <x:c r="B204" s="18" t="str">
        <x:v>GOAL0057</x:v>
      </x:c>
      <x:c r="C204" s="18" t="str">
        <x:v>CY2026Q3</x:v>
      </x:c>
      <x:c r="D204" s="22" t="n">
        <x:v>91</x:v>
      </x:c>
      <x:c r="E204" s="21" t="str">
        <x:v>On plan</x:v>
      </x:c>
      <x:c r="F204" s="20" t="n">
        <x:v>46295.5</x:v>
      </x:c>
      <x:c r="G204" s="18" t="str">
        <x:v>MGR006</x:v>
      </x:c>
    </x:row>
    <x:row r="205" ht="15" hidden="0" customHeight="1">
      <x:c r="A205" s="18" t="str">
        <x:v>GP00204</x:v>
      </x:c>
      <x:c r="B205" s="18" t="str">
        <x:v>GOAL0058</x:v>
      </x:c>
      <x:c r="C205" s="18" t="str">
        <x:v>CY2026Q3</x:v>
      </x:c>
      <x:c r="D205" s="22" t="n">
        <x:v>86</x:v>
      </x:c>
      <x:c r="E205" s="21" t="str">
        <x:v>Training and coaching activities are continuing</x:v>
      </x:c>
      <x:c r="F205" s="20" t="n">
        <x:v>46295.5</x:v>
      </x:c>
      <x:c r="G205" s="18" t="str">
        <x:v>MGR006</x:v>
      </x:c>
    </x:row>
    <x:row r="206" ht="15" hidden="0" customHeight="1">
      <x:c r="A206" s="18" t="str">
        <x:v>GP00205</x:v>
      </x:c>
      <x:c r="B206" s="18" t="str">
        <x:v>GOAL0059</x:v>
      </x:c>
      <x:c r="C206" s="18" t="str">
        <x:v>CY2026Q1</x:v>
      </x:c>
      <x:c r="D206" s="22" t="n">
        <x:v>39</x:v>
      </x:c>
      <x:c r="E206" s="21" t="str">
        <x:v>Needs additional pipeline activity</x:v>
      </x:c>
      <x:c r="F206" s="20" t="n">
        <x:v>46112.5</x:v>
      </x:c>
      <x:c r="G206" s="18" t="str">
        <x:v>MGR006</x:v>
      </x:c>
    </x:row>
    <x:row r="207" ht="15" hidden="0" customHeight="1">
      <x:c r="A207" s="18" t="str">
        <x:v>GP00206</x:v>
      </x:c>
      <x:c r="B207" s="18" t="str">
        <x:v>GOAL0060</x:v>
      </x:c>
      <x:c r="C207" s="18" t="str">
        <x:v>CY2026Q1</x:v>
      </x:c>
      <x:c r="D207" s="22" t="n">
        <x:v>34</x:v>
      </x:c>
      <x:c r="E207" s="21" t="str">
        <x:v>Training and coaching activities are continuing</x:v>
      </x:c>
      <x:c r="F207" s="20" t="n">
        <x:v>46112.5</x:v>
      </x:c>
      <x:c r="G207" s="18" t="str">
        <x:v>MGR006</x:v>
      </x:c>
    </x:row>
    <x:row r="208" ht="15" hidden="0" customHeight="1">
      <x:c r="A208" s="18" t="str">
        <x:v>GP00207</x:v>
      </x:c>
      <x:c r="B208" s="18" t="str">
        <x:v>GOAL0059</x:v>
      </x:c>
      <x:c r="C208" s="18" t="str">
        <x:v>CY2026Q2</x:v>
      </x:c>
      <x:c r="D208" s="22" t="n">
        <x:v>61</x:v>
      </x:c>
      <x:c r="E208" s="21" t="str">
        <x:v>Needs additional pipeline activity</x:v>
      </x:c>
      <x:c r="F208" s="20" t="n">
        <x:v>46203.5</x:v>
      </x:c>
      <x:c r="G208" s="18" t="str">
        <x:v>MGR006</x:v>
      </x:c>
    </x:row>
    <x:row r="209" ht="15" hidden="0" customHeight="1">
      <x:c r="A209" s="18" t="str">
        <x:v>GP00208</x:v>
      </x:c>
      <x:c r="B209" s="18" t="str">
        <x:v>GOAL0060</x:v>
      </x:c>
      <x:c r="C209" s="18" t="str">
        <x:v>CY2026Q2</x:v>
      </x:c>
      <x:c r="D209" s="22" t="n">
        <x:v>56</x:v>
      </x:c>
      <x:c r="E209" s="21" t="str">
        <x:v>Training and coaching activities are continuing</x:v>
      </x:c>
      <x:c r="F209" s="20" t="n">
        <x:v>46203.5</x:v>
      </x:c>
      <x:c r="G209" s="18" t="str">
        <x:v>MGR006</x:v>
      </x:c>
    </x:row>
    <x:row r="210" ht="15" hidden="0" customHeight="1">
      <x:c r="A210" s="18" t="str">
        <x:v>GP00209</x:v>
      </x:c>
      <x:c r="B210" s="18" t="str">
        <x:v>GOAL0059</x:v>
      </x:c>
      <x:c r="C210" s="18" t="str">
        <x:v>CY2026Q3</x:v>
      </x:c>
      <x:c r="D210" s="22" t="n">
        <x:v>83</x:v>
      </x:c>
      <x:c r="E210" s="21" t="str">
        <x:v>Needs additional pipeline activity</x:v>
      </x:c>
      <x:c r="F210" s="20" t="n">
        <x:v>46295.5</x:v>
      </x:c>
      <x:c r="G210" s="18" t="str">
        <x:v>MGR006</x:v>
      </x:c>
    </x:row>
    <x:row r="211" ht="15" hidden="0" customHeight="1">
      <x:c r="A211" s="18" t="str">
        <x:v>GP00210</x:v>
      </x:c>
      <x:c r="B211" s="18" t="str">
        <x:v>GOAL0060</x:v>
      </x:c>
      <x:c r="C211" s="18" t="str">
        <x:v>CY2026Q3</x:v>
      </x:c>
      <x:c r="D211" s="22" t="n">
        <x:v>78</x:v>
      </x:c>
      <x:c r="E211" s="21" t="str">
        <x:v>Training and coaching activities are continuing</x:v>
      </x:c>
      <x:c r="F211" s="20" t="n">
        <x:v>46295.5</x:v>
      </x:c>
      <x:c r="G211" s="18" t="str">
        <x:v>MGR006</x:v>
      </x:c>
    </x:row>
  </x:sheetData>
  <x:pageMargins left="0.7" right="0.7" top="0.75" bottom="0.75" header="0.3" footer="0.3"/>
  <x:tableParts count="1">
    <x:tablePart xmlns:r="http://schemas.openxmlformats.org/officeDocument/2006/relationships" r:id="R079846baddd046ca"/>
  </x:tableParts>
</x:worksheet>
</file>

<file path=xl/worksheets/sheet15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3" hidden="0" customWidth="1"/>
    <x:col min="3" max="3" width="17" hidden="0" customWidth="1"/>
    <x:col min="4" max="4" width="14" hidden="0" customWidth="1"/>
    <x:col min="5" max="5" width="17" hidden="0" customWidth="1"/>
    <x:col min="6" max="6" width="52" hidden="0" customWidth="1"/>
    <x:col min="7" max="7" width="24" hidden="0" customWidth="1"/>
    <x:col min="8" max="8" width="14" hidden="0" customWidth="1"/>
  </x:cols>
  <x:sheetData>
    <x:row r="1" ht="30" hidden="0" customHeight="1">
      <x:c r="A1" s="15" t="str">
        <x:v>aspiration_id</x:v>
      </x:c>
      <x:c r="B1" s="16" t="str">
        <x:v>employee_id</x:v>
      </x:c>
      <x:c r="C1" s="16" t="str">
        <x:v>aspiration_year</x:v>
      </x:c>
      <x:c r="D1" s="16" t="str">
        <x:v>desired_role</x:v>
      </x:c>
      <x:c r="E1" s="16" t="str">
        <x:v>target_timeline</x:v>
      </x:c>
      <x:c r="F1" s="16" t="str">
        <x:v>development_needs</x:v>
      </x:c>
      <x:c r="G1" s="16" t="str">
        <x:v>recorded_by_employee_id</x:v>
      </x:c>
      <x:c r="H1" s="17" t="str">
        <x:v>recorded_date</x:v>
      </x:c>
    </x:row>
    <x:row r="2" ht="24" hidden="0" customHeight="1">
      <x:c r="A2" s="18" t="str">
        <x:v>ASP0001</x:v>
      </x:c>
      <x:c r="B2" s="18" t="str">
        <x:v>EMP001</x:v>
      </x:c>
      <x:c r="C2" s="18" t="n">
        <x:v>2025</x:v>
      </x:c>
      <x:c r="D2" s="18" t="str">
        <x:v>Senior Loan Officer</x:v>
      </x:c>
      <x:c r="E2" s="18" t="str">
        <x:v>2-3 years</x:v>
      </x:c>
      <x:c r="F2" s="21" t="str">
        <x:v>Complete role-specific development plan and gain broader customer or leadership exposure.</x:v>
      </x:c>
      <x:c r="G2" s="18" t="str">
        <x:v>MGR001</x:v>
      </x:c>
      <x:c r="H2" s="20" t="n">
        <x:v>45672.5</x:v>
      </x:c>
    </x:row>
    <x:row r="3" ht="24" hidden="0" customHeight="1">
      <x:c r="A3" s="18" t="str">
        <x:v>ASP0002</x:v>
      </x:c>
      <x:c r="B3" s="18" t="str">
        <x:v>EMP002</x:v>
      </x:c>
      <x:c r="C3" s="18" t="n">
        <x:v>2025</x:v>
      </x:c>
      <x:c r="D3" s="18" t="str">
        <x:v>Branch Manager</x:v>
      </x:c>
      <x:c r="E3" s="18" t="str">
        <x:v>12-24 months</x:v>
      </x:c>
      <x:c r="F3" s="21" t="str">
        <x:v>Complete role-specific development plan and gain broader customer or leadership exposure.</x:v>
      </x:c>
      <x:c r="G3" s="18" t="str">
        <x:v>MGR001</x:v>
      </x:c>
      <x:c r="H3" s="20" t="n">
        <x:v>45672.5</x:v>
      </x:c>
    </x:row>
    <x:row r="4" ht="24" hidden="0" customHeight="1">
      <x:c r="A4" s="18" t="str">
        <x:v>ASP0003</x:v>
      </x:c>
      <x:c r="B4" s="18" t="str">
        <x:v>EMP003</x:v>
      </x:c>
      <x:c r="C4" s="18" t="n">
        <x:v>2025</x:v>
      </x:c>
      <x:c r="D4" s="18" t="str">
        <x:v>Business Banking Specialist</x:v>
      </x:c>
      <x:c r="E4" s="18" t="str">
        <x:v>2-3 years</x:v>
      </x:c>
      <x:c r="F4" s="21" t="str">
        <x:v>Complete role-specific development plan and gain broader customer or leadership exposure.</x:v>
      </x:c>
      <x:c r="G4" s="18" t="str">
        <x:v>MGR001</x:v>
      </x:c>
      <x:c r="H4" s="20" t="n">
        <x:v>45672.5</x:v>
      </x:c>
    </x:row>
    <x:row r="5" ht="24" hidden="0" customHeight="1">
      <x:c r="A5" s="18" t="str">
        <x:v>ASP0004</x:v>
      </x:c>
      <x:c r="B5" s="18" t="str">
        <x:v>EMP004</x:v>
      </x:c>
      <x:c r="C5" s="18" t="n">
        <x:v>2025</x:v>
      </x:c>
      <x:c r="D5" s="18" t="str">
        <x:v>Credit Analyst</x:v>
      </x:c>
      <x:c r="E5" s="18" t="str">
        <x:v>2-3 years</x:v>
      </x:c>
      <x:c r="F5" s="21" t="str">
        <x:v>Complete role-specific development plan and gain broader customer or leadership exposure.</x:v>
      </x:c>
      <x:c r="G5" s="18" t="str">
        <x:v>MGR002</x:v>
      </x:c>
      <x:c r="H5" s="20" t="n">
        <x:v>45672.5</x:v>
      </x:c>
    </x:row>
    <x:row r="6" ht="24" hidden="0" customHeight="1">
      <x:c r="A6" s="18" t="str">
        <x:v>ASP0005</x:v>
      </x:c>
      <x:c r="B6" s="18" t="str">
        <x:v>EMP005</x:v>
      </x:c>
      <x:c r="C6" s="18" t="n">
        <x:v>2025</x:v>
      </x:c>
      <x:c r="D6" s="18" t="str">
        <x:v>Senior Loan Officer</x:v>
      </x:c>
      <x:c r="E6" s="18" t="str">
        <x:v>2-3 years</x:v>
      </x:c>
      <x:c r="F6" s="21" t="str">
        <x:v>Complete role-specific development plan and gain broader customer or leadership exposure.</x:v>
      </x:c>
      <x:c r="G6" s="18" t="str">
        <x:v>MGR002</x:v>
      </x:c>
      <x:c r="H6" s="20" t="n">
        <x:v>45672.5</x:v>
      </x:c>
    </x:row>
    <x:row r="7" ht="24" hidden="0" customHeight="1">
      <x:c r="A7" s="18" t="str">
        <x:v>ASP0006</x:v>
      </x:c>
      <x:c r="B7" s="18" t="str">
        <x:v>EMP006</x:v>
      </x:c>
      <x:c r="C7" s="18" t="n">
        <x:v>2025</x:v>
      </x:c>
      <x:c r="D7" s="18" t="str">
        <x:v>Branch Manager</x:v>
      </x:c>
      <x:c r="E7" s="18" t="str">
        <x:v>12-24 months</x:v>
      </x:c>
      <x:c r="F7" s="21" t="str">
        <x:v>Complete role-specific development plan and gain broader customer or leadership exposure.</x:v>
      </x:c>
      <x:c r="G7" s="18" t="str">
        <x:v>MGR002</x:v>
      </x:c>
      <x:c r="H7" s="20" t="n">
        <x:v>45672.5</x:v>
      </x:c>
    </x:row>
    <x:row r="8" ht="24" hidden="0" customHeight="1">
      <x:c r="A8" s="18" t="str">
        <x:v>ASP0007</x:v>
      </x:c>
      <x:c r="B8" s="18" t="str">
        <x:v>EMP007</x:v>
      </x:c>
      <x:c r="C8" s="18" t="n">
        <x:v>2025</x:v>
      </x:c>
      <x:c r="D8" s="18" t="str">
        <x:v>Business Banking Specialist</x:v>
      </x:c>
      <x:c r="E8" s="18" t="str">
        <x:v>2-3 years</x:v>
      </x:c>
      <x:c r="F8" s="21" t="str">
        <x:v>Complete role-specific development plan and gain broader customer or leadership exposure.</x:v>
      </x:c>
      <x:c r="G8" s="18" t="str">
        <x:v>MGR003</x:v>
      </x:c>
      <x:c r="H8" s="20" t="n">
        <x:v>45672.5</x:v>
      </x:c>
    </x:row>
    <x:row r="9" ht="24" hidden="0" customHeight="1">
      <x:c r="A9" s="18" t="str">
        <x:v>ASP0008</x:v>
      </x:c>
      <x:c r="B9" s="18" t="str">
        <x:v>EMP008</x:v>
      </x:c>
      <x:c r="C9" s="18" t="n">
        <x:v>2025</x:v>
      </x:c>
      <x:c r="D9" s="18" t="str">
        <x:v>Credit Analyst</x:v>
      </x:c>
      <x:c r="E9" s="18" t="str">
        <x:v>2-3 years</x:v>
      </x:c>
      <x:c r="F9" s="21" t="str">
        <x:v>Complete role-specific development plan and gain broader customer or leadership exposure.</x:v>
      </x:c>
      <x:c r="G9" s="18" t="str">
        <x:v>MGR003</x:v>
      </x:c>
      <x:c r="H9" s="20" t="n">
        <x:v>45672.5</x:v>
      </x:c>
    </x:row>
    <x:row r="10" ht="24" hidden="0" customHeight="1">
      <x:c r="A10" s="18" t="str">
        <x:v>ASP0009</x:v>
      </x:c>
      <x:c r="B10" s="18" t="str">
        <x:v>EMP009</x:v>
      </x:c>
      <x:c r="C10" s="18" t="n">
        <x:v>2025</x:v>
      </x:c>
      <x:c r="D10" s="18" t="str">
        <x:v>Senior Loan Officer</x:v>
      </x:c>
      <x:c r="E10" s="18" t="str">
        <x:v>2-3 years</x:v>
      </x:c>
      <x:c r="F10" s="21" t="str">
        <x:v>Complete role-specific development plan and gain broader customer or leadership exposure.</x:v>
      </x:c>
      <x:c r="G10" s="18" t="str">
        <x:v>MGR004</x:v>
      </x:c>
      <x:c r="H10" s="20" t="n">
        <x:v>45672.5</x:v>
      </x:c>
    </x:row>
    <x:row r="11" ht="24" hidden="0" customHeight="1">
      <x:c r="A11" s="18" t="str">
        <x:v>ASP0010</x:v>
      </x:c>
      <x:c r="B11" s="18" t="str">
        <x:v>EMP010</x:v>
      </x:c>
      <x:c r="C11" s="18" t="n">
        <x:v>2025</x:v>
      </x:c>
      <x:c r="D11" s="18" t="str">
        <x:v>Branch Manager</x:v>
      </x:c>
      <x:c r="E11" s="18" t="str">
        <x:v>12-24 months</x:v>
      </x:c>
      <x:c r="F11" s="21" t="str">
        <x:v>Complete role-specific development plan and gain broader customer or leadership exposure.</x:v>
      </x:c>
      <x:c r="G11" s="18" t="str">
        <x:v>MGR004</x:v>
      </x:c>
      <x:c r="H11" s="20" t="n">
        <x:v>45672.5</x:v>
      </x:c>
    </x:row>
    <x:row r="12" ht="24" hidden="0" customHeight="1">
      <x:c r="A12" s="18" t="str">
        <x:v>ASP0011</x:v>
      </x:c>
      <x:c r="B12" s="18" t="str">
        <x:v>EMP011</x:v>
      </x:c>
      <x:c r="C12" s="18" t="n">
        <x:v>2025</x:v>
      </x:c>
      <x:c r="D12" s="18" t="str">
        <x:v>Business Banking Specialist</x:v>
      </x:c>
      <x:c r="E12" s="18" t="str">
        <x:v>2-3 years</x:v>
      </x:c>
      <x:c r="F12" s="21" t="str">
        <x:v>Complete role-specific development plan and gain broader customer or leadership exposure.</x:v>
      </x:c>
      <x:c r="G12" s="18" t="str">
        <x:v>MGR004</x:v>
      </x:c>
      <x:c r="H12" s="20" t="n">
        <x:v>45672.5</x:v>
      </x:c>
    </x:row>
    <x:row r="13" ht="24" hidden="0" customHeight="1">
      <x:c r="A13" s="18" t="str">
        <x:v>ASP0012</x:v>
      </x:c>
      <x:c r="B13" s="18" t="str">
        <x:v>EMP012</x:v>
      </x:c>
      <x:c r="C13" s="18" t="n">
        <x:v>2025</x:v>
      </x:c>
      <x:c r="D13" s="18" t="str">
        <x:v>Credit Analyst</x:v>
      </x:c>
      <x:c r="E13" s="18" t="str">
        <x:v>2-3 years</x:v>
      </x:c>
      <x:c r="F13" s="21" t="str">
        <x:v>Complete role-specific development plan and gain broader customer or leadership exposure.</x:v>
      </x:c>
      <x:c r="G13" s="18" t="str">
        <x:v>MGR005</x:v>
      </x:c>
      <x:c r="H13" s="20" t="n">
        <x:v>45672.5</x:v>
      </x:c>
    </x:row>
    <x:row r="14" ht="24" hidden="0" customHeight="1">
      <x:c r="A14" s="18" t="str">
        <x:v>ASP0013</x:v>
      </x:c>
      <x:c r="B14" s="18" t="str">
        <x:v>EMP013</x:v>
      </x:c>
      <x:c r="C14" s="18" t="n">
        <x:v>2025</x:v>
      </x:c>
      <x:c r="D14" s="18" t="str">
        <x:v>Senior Loan Officer</x:v>
      </x:c>
      <x:c r="E14" s="18" t="str">
        <x:v>2-3 years</x:v>
      </x:c>
      <x:c r="F14" s="21" t="str">
        <x:v>Complete role-specific development plan and gain broader customer or leadership exposure.</x:v>
      </x:c>
      <x:c r="G14" s="18" t="str">
        <x:v>MGR005</x:v>
      </x:c>
      <x:c r="H14" s="20" t="n">
        <x:v>45672.5</x:v>
      </x:c>
    </x:row>
    <x:row r="15" ht="24" hidden="0" customHeight="1">
      <x:c r="A15" s="18" t="str">
        <x:v>ASP0014</x:v>
      </x:c>
      <x:c r="B15" s="18" t="str">
        <x:v>EMP014</x:v>
      </x:c>
      <x:c r="C15" s="18" t="n">
        <x:v>2025</x:v>
      </x:c>
      <x:c r="D15" s="18" t="str">
        <x:v>Branch Manager</x:v>
      </x:c>
      <x:c r="E15" s="18" t="str">
        <x:v>12-24 months</x:v>
      </x:c>
      <x:c r="F15" s="21" t="str">
        <x:v>Complete role-specific development plan and gain broader customer or leadership exposure.</x:v>
      </x:c>
      <x:c r="G15" s="18" t="str">
        <x:v>MGR006</x:v>
      </x:c>
      <x:c r="H15" s="20" t="n">
        <x:v>45672.5</x:v>
      </x:c>
    </x:row>
    <x:row r="16" ht="24" hidden="0" customHeight="1">
      <x:c r="A16" s="18" t="str">
        <x:v>ASP0015</x:v>
      </x:c>
      <x:c r="B16" s="18" t="str">
        <x:v>EMP015</x:v>
      </x:c>
      <x:c r="C16" s="18" t="n">
        <x:v>2025</x:v>
      </x:c>
      <x:c r="D16" s="18" t="str">
        <x:v>Business Banking Specialist</x:v>
      </x:c>
      <x:c r="E16" s="18" t="str">
        <x:v>2-3 years</x:v>
      </x:c>
      <x:c r="F16" s="21" t="str">
        <x:v>Complete role-specific development plan and gain broader customer or leadership exposure.</x:v>
      </x:c>
      <x:c r="G16" s="18" t="str">
        <x:v>MGR006</x:v>
      </x:c>
      <x:c r="H16" s="20" t="n">
        <x:v>45672.5</x:v>
      </x:c>
    </x:row>
    <x:row r="17" ht="24" hidden="0" customHeight="1">
      <x:c r="A17" s="18" t="str">
        <x:v>ASP0016</x:v>
      </x:c>
      <x:c r="B17" s="18" t="str">
        <x:v>EMP001</x:v>
      </x:c>
      <x:c r="C17" s="18" t="n">
        <x:v>2026</x:v>
      </x:c>
      <x:c r="D17" s="18" t="str">
        <x:v>Senior Loan Officer</x:v>
      </x:c>
      <x:c r="E17" s="18" t="str">
        <x:v>2-3 years</x:v>
      </x:c>
      <x:c r="F17" s="21" t="str">
        <x:v>Complete role-specific development plan and gain broader customer or leadership exposure.</x:v>
      </x:c>
      <x:c r="G17" s="18" t="str">
        <x:v>MGR001</x:v>
      </x:c>
      <x:c r="H17" s="20" t="n">
        <x:v>46037.5</x:v>
      </x:c>
    </x:row>
    <x:row r="18" ht="24" hidden="0" customHeight="1">
      <x:c r="A18" s="18" t="str">
        <x:v>ASP0017</x:v>
      </x:c>
      <x:c r="B18" s="18" t="str">
        <x:v>EMP002</x:v>
      </x:c>
      <x:c r="C18" s="18" t="n">
        <x:v>2026</x:v>
      </x:c>
      <x:c r="D18" s="18" t="str">
        <x:v>Branch Manager</x:v>
      </x:c>
      <x:c r="E18" s="18" t="str">
        <x:v>12-24 months</x:v>
      </x:c>
      <x:c r="F18" s="21" t="str">
        <x:v>Complete role-specific development plan and gain broader customer or leadership exposure.</x:v>
      </x:c>
      <x:c r="G18" s="18" t="str">
        <x:v>MGR001</x:v>
      </x:c>
      <x:c r="H18" s="20" t="n">
        <x:v>46037.5</x:v>
      </x:c>
    </x:row>
    <x:row r="19" ht="24" hidden="0" customHeight="1">
      <x:c r="A19" s="18" t="str">
        <x:v>ASP0018</x:v>
      </x:c>
      <x:c r="B19" s="18" t="str">
        <x:v>EMP003</x:v>
      </x:c>
      <x:c r="C19" s="18" t="n">
        <x:v>2026</x:v>
      </x:c>
      <x:c r="D19" s="18" t="str">
        <x:v>Business Banking Specialist</x:v>
      </x:c>
      <x:c r="E19" s="18" t="str">
        <x:v>2-3 years</x:v>
      </x:c>
      <x:c r="F19" s="21" t="str">
        <x:v>Complete role-specific development plan and gain broader customer or leadership exposure.</x:v>
      </x:c>
      <x:c r="G19" s="18" t="str">
        <x:v>MGR001</x:v>
      </x:c>
      <x:c r="H19" s="20" t="n">
        <x:v>46037.5</x:v>
      </x:c>
    </x:row>
    <x:row r="20" ht="24" hidden="0" customHeight="1">
      <x:c r="A20" s="18" t="str">
        <x:v>ASP0019</x:v>
      </x:c>
      <x:c r="B20" s="18" t="str">
        <x:v>EMP004</x:v>
      </x:c>
      <x:c r="C20" s="18" t="n">
        <x:v>2026</x:v>
      </x:c>
      <x:c r="D20" s="18" t="str">
        <x:v>Credit Analyst</x:v>
      </x:c>
      <x:c r="E20" s="18" t="str">
        <x:v>2-3 years</x:v>
      </x:c>
      <x:c r="F20" s="21" t="str">
        <x:v>Complete role-specific development plan and gain broader customer or leadership exposure.</x:v>
      </x:c>
      <x:c r="G20" s="18" t="str">
        <x:v>MGR002</x:v>
      </x:c>
      <x:c r="H20" s="20" t="n">
        <x:v>46037.5</x:v>
      </x:c>
    </x:row>
    <x:row r="21" ht="24" hidden="0" customHeight="1">
      <x:c r="A21" s="18" t="str">
        <x:v>ASP0020</x:v>
      </x:c>
      <x:c r="B21" s="18" t="str">
        <x:v>EMP005</x:v>
      </x:c>
      <x:c r="C21" s="18" t="n">
        <x:v>2026</x:v>
      </x:c>
      <x:c r="D21" s="18" t="str">
        <x:v>Senior Loan Officer</x:v>
      </x:c>
      <x:c r="E21" s="18" t="str">
        <x:v>2-3 years</x:v>
      </x:c>
      <x:c r="F21" s="21" t="str">
        <x:v>Complete role-specific development plan and gain broader customer or leadership exposure.</x:v>
      </x:c>
      <x:c r="G21" s="18" t="str">
        <x:v>MGR002</x:v>
      </x:c>
      <x:c r="H21" s="20" t="n">
        <x:v>46037.5</x:v>
      </x:c>
    </x:row>
    <x:row r="22" ht="24" hidden="0" customHeight="1">
      <x:c r="A22" s="18" t="str">
        <x:v>ASP0021</x:v>
      </x:c>
      <x:c r="B22" s="18" t="str">
        <x:v>EMP006</x:v>
      </x:c>
      <x:c r="C22" s="18" t="n">
        <x:v>2026</x:v>
      </x:c>
      <x:c r="D22" s="18" t="str">
        <x:v>Branch Manager</x:v>
      </x:c>
      <x:c r="E22" s="18" t="str">
        <x:v>12-24 months</x:v>
      </x:c>
      <x:c r="F22" s="21" t="str">
        <x:v>Complete role-specific development plan and gain broader customer or leadership exposure.</x:v>
      </x:c>
      <x:c r="G22" s="18" t="str">
        <x:v>MGR002</x:v>
      </x:c>
      <x:c r="H22" s="20" t="n">
        <x:v>46037.5</x:v>
      </x:c>
    </x:row>
    <x:row r="23" ht="24" hidden="0" customHeight="1">
      <x:c r="A23" s="18" t="str">
        <x:v>ASP0022</x:v>
      </x:c>
      <x:c r="B23" s="18" t="str">
        <x:v>EMP007</x:v>
      </x:c>
      <x:c r="C23" s="18" t="n">
        <x:v>2026</x:v>
      </x:c>
      <x:c r="D23" s="18" t="str">
        <x:v>Business Banking Specialist</x:v>
      </x:c>
      <x:c r="E23" s="18" t="str">
        <x:v>2-3 years</x:v>
      </x:c>
      <x:c r="F23" s="21" t="str">
        <x:v>Complete role-specific development plan and gain broader customer or leadership exposure.</x:v>
      </x:c>
      <x:c r="G23" s="18" t="str">
        <x:v>MGR003</x:v>
      </x:c>
      <x:c r="H23" s="20" t="n">
        <x:v>46037.5</x:v>
      </x:c>
    </x:row>
    <x:row r="24" ht="24" hidden="0" customHeight="1">
      <x:c r="A24" s="18" t="str">
        <x:v>ASP0023</x:v>
      </x:c>
      <x:c r="B24" s="18" t="str">
        <x:v>EMP008</x:v>
      </x:c>
      <x:c r="C24" s="18" t="n">
        <x:v>2026</x:v>
      </x:c>
      <x:c r="D24" s="18" t="str">
        <x:v>Credit Analyst</x:v>
      </x:c>
      <x:c r="E24" s="18" t="str">
        <x:v>2-3 years</x:v>
      </x:c>
      <x:c r="F24" s="21" t="str">
        <x:v>Complete role-specific development plan and gain broader customer or leadership exposure.</x:v>
      </x:c>
      <x:c r="G24" s="18" t="str">
        <x:v>MGR003</x:v>
      </x:c>
      <x:c r="H24" s="20" t="n">
        <x:v>46037.5</x:v>
      </x:c>
    </x:row>
    <x:row r="25" ht="24" hidden="0" customHeight="1">
      <x:c r="A25" s="18" t="str">
        <x:v>ASP0024</x:v>
      </x:c>
      <x:c r="B25" s="18" t="str">
        <x:v>EMP009</x:v>
      </x:c>
      <x:c r="C25" s="18" t="n">
        <x:v>2026</x:v>
      </x:c>
      <x:c r="D25" s="18" t="str">
        <x:v>Senior Loan Officer</x:v>
      </x:c>
      <x:c r="E25" s="18" t="str">
        <x:v>2-3 years</x:v>
      </x:c>
      <x:c r="F25" s="21" t="str">
        <x:v>Complete role-specific development plan and gain broader customer or leadership exposure.</x:v>
      </x:c>
      <x:c r="G25" s="18" t="str">
        <x:v>MGR004</x:v>
      </x:c>
      <x:c r="H25" s="20" t="n">
        <x:v>46037.5</x:v>
      </x:c>
    </x:row>
    <x:row r="26" ht="24" hidden="0" customHeight="1">
      <x:c r="A26" s="18" t="str">
        <x:v>ASP0025</x:v>
      </x:c>
      <x:c r="B26" s="18" t="str">
        <x:v>EMP010</x:v>
      </x:c>
      <x:c r="C26" s="18" t="n">
        <x:v>2026</x:v>
      </x:c>
      <x:c r="D26" s="18" t="str">
        <x:v>Branch Manager</x:v>
      </x:c>
      <x:c r="E26" s="18" t="str">
        <x:v>12-24 months</x:v>
      </x:c>
      <x:c r="F26" s="21" t="str">
        <x:v>Complete role-specific development plan and gain broader customer or leadership exposure.</x:v>
      </x:c>
      <x:c r="G26" s="18" t="str">
        <x:v>MGR004</x:v>
      </x:c>
      <x:c r="H26" s="20" t="n">
        <x:v>46037.5</x:v>
      </x:c>
    </x:row>
    <x:row r="27" ht="24" hidden="0" customHeight="1">
      <x:c r="A27" s="18" t="str">
        <x:v>ASP0026</x:v>
      </x:c>
      <x:c r="B27" s="18" t="str">
        <x:v>EMP011</x:v>
      </x:c>
      <x:c r="C27" s="18" t="n">
        <x:v>2026</x:v>
      </x:c>
      <x:c r="D27" s="18" t="str">
        <x:v>Business Banking Specialist</x:v>
      </x:c>
      <x:c r="E27" s="18" t="str">
        <x:v>2-3 years</x:v>
      </x:c>
      <x:c r="F27" s="21" t="str">
        <x:v>Complete role-specific development plan and gain broader customer or leadership exposure.</x:v>
      </x:c>
      <x:c r="G27" s="18" t="str">
        <x:v>MGR004</x:v>
      </x:c>
      <x:c r="H27" s="20" t="n">
        <x:v>46037.5</x:v>
      </x:c>
    </x:row>
    <x:row r="28" ht="24" hidden="0" customHeight="1">
      <x:c r="A28" s="18" t="str">
        <x:v>ASP0027</x:v>
      </x:c>
      <x:c r="B28" s="18" t="str">
        <x:v>EMP012</x:v>
      </x:c>
      <x:c r="C28" s="18" t="n">
        <x:v>2026</x:v>
      </x:c>
      <x:c r="D28" s="18" t="str">
        <x:v>Credit Analyst</x:v>
      </x:c>
      <x:c r="E28" s="18" t="str">
        <x:v>2-3 years</x:v>
      </x:c>
      <x:c r="F28" s="21" t="str">
        <x:v>Complete role-specific development plan and gain broader customer or leadership exposure.</x:v>
      </x:c>
      <x:c r="G28" s="18" t="str">
        <x:v>MGR005</x:v>
      </x:c>
      <x:c r="H28" s="20" t="n">
        <x:v>46037.5</x:v>
      </x:c>
    </x:row>
    <x:row r="29" ht="24" hidden="0" customHeight="1">
      <x:c r="A29" s="18" t="str">
        <x:v>ASP0028</x:v>
      </x:c>
      <x:c r="B29" s="18" t="str">
        <x:v>EMP013</x:v>
      </x:c>
      <x:c r="C29" s="18" t="n">
        <x:v>2026</x:v>
      </x:c>
      <x:c r="D29" s="18" t="str">
        <x:v>Senior Loan Officer</x:v>
      </x:c>
      <x:c r="E29" s="18" t="str">
        <x:v>2-3 years</x:v>
      </x:c>
      <x:c r="F29" s="21" t="str">
        <x:v>Complete role-specific development plan and gain broader customer or leadership exposure.</x:v>
      </x:c>
      <x:c r="G29" s="18" t="str">
        <x:v>MGR005</x:v>
      </x:c>
      <x:c r="H29" s="20" t="n">
        <x:v>46037.5</x:v>
      </x:c>
    </x:row>
    <x:row r="30" ht="24" hidden="0" customHeight="1">
      <x:c r="A30" s="18" t="str">
        <x:v>ASP0029</x:v>
      </x:c>
      <x:c r="B30" s="18" t="str">
        <x:v>EMP014</x:v>
      </x:c>
      <x:c r="C30" s="18" t="n">
        <x:v>2026</x:v>
      </x:c>
      <x:c r="D30" s="18" t="str">
        <x:v>Branch Manager</x:v>
      </x:c>
      <x:c r="E30" s="18" t="str">
        <x:v>12-24 months</x:v>
      </x:c>
      <x:c r="F30" s="21" t="str">
        <x:v>Complete role-specific development plan and gain broader customer or leadership exposure.</x:v>
      </x:c>
      <x:c r="G30" s="18" t="str">
        <x:v>MGR006</x:v>
      </x:c>
      <x:c r="H30" s="20" t="n">
        <x:v>46037.5</x:v>
      </x:c>
    </x:row>
    <x:row r="31" ht="24" hidden="0" customHeight="1">
      <x:c r="A31" s="18" t="str">
        <x:v>ASP0030</x:v>
      </x:c>
      <x:c r="B31" s="18" t="str">
        <x:v>EMP015</x:v>
      </x:c>
      <x:c r="C31" s="18" t="n">
        <x:v>2026</x:v>
      </x:c>
      <x:c r="D31" s="18" t="str">
        <x:v>Business Banking Specialist</x:v>
      </x:c>
      <x:c r="E31" s="18" t="str">
        <x:v>2-3 years</x:v>
      </x:c>
      <x:c r="F31" s="21" t="str">
        <x:v>Complete role-specific development plan and gain broader customer or leadership exposure.</x:v>
      </x:c>
      <x:c r="G31" s="18" t="str">
        <x:v>MGR006</x:v>
      </x:c>
      <x:c r="H31" s="20" t="n">
        <x:v>46037.5</x:v>
      </x:c>
    </x:row>
  </x:sheetData>
  <x:pageMargins left="0.7" right="0.7" top="0.75" bottom="0.75" header="0.3" footer="0.3"/>
  <x:tableParts count="1">
    <x:tablePart xmlns:r="http://schemas.openxmlformats.org/officeDocument/2006/relationships" r:id="R9eff95b28efb4ba3"/>
  </x:tableParts>
</x:worksheet>
</file>

<file path=xl/worksheets/sheet16.xml><?xml version="1.0" encoding="utf-8"?>
<x:worksheet xmlns:x="http://schemas.openxmlformats.org/spreadsheetml/2006/main">
  <x:sheetPr>
    <x:tabColor rgb="FFED7D3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3" hidden="0" customWidth="1"/>
    <x:col min="4" max="4" width="12" hidden="0" customWidth="1"/>
    <x:col min="5" max="5" width="12" hidden="0" customWidth="1"/>
    <x:col min="6" max="6" width="14" hidden="0" customWidth="1"/>
    <x:col min="7" max="7" width="13" hidden="0" customWidth="1"/>
    <x:col min="8" max="8" width="13" hidden="0" customWidth="1"/>
    <x:col min="9" max="9" width="24" hidden="0" customWidth="1"/>
    <x:col min="10" max="10" width="18" hidden="0" customWidth="1"/>
    <x:col min="11" max="11" width="14" hidden="0" customWidth="1"/>
  </x:cols>
  <x:sheetData>
    <x:row r="1" ht="30" hidden="0" customHeight="1">
      <x:c r="A1" s="15" t="str">
        <x:v>loan_id</x:v>
      </x:c>
      <x:c r="B1" s="16" t="str">
        <x:v>source_loan_id</x:v>
      </x:c>
      <x:c r="C1" s="16" t="str">
        <x:v>employee_id</x:v>
      </x:c>
      <x:c r="D1" s="16" t="str">
        <x:v>cycle_id</x:v>
      </x:c>
      <x:c r="E1" s="16" t="str">
        <x:v>branch_id</x:v>
      </x:c>
      <x:c r="F1" s="16" t="str">
        <x:v>application_date</x:v>
      </x:c>
      <x:c r="G1" s="16" t="str">
        <x:v>loan_status</x:v>
      </x:c>
      <x:c r="H1" s="16" t="str">
        <x:v>loan_amount</x:v>
      </x:c>
      <x:c r="I1" s="16" t="str">
        <x:v>loan_product</x:v>
      </x:c>
      <x:c r="J1" s="16" t="str">
        <x:v>borrower_segment</x:v>
      </x:c>
      <x:c r="K1" s="17" t="str">
        <x:v>funded_date</x:v>
      </x:c>
    </x:row>
    <x:row r="2" ht="15" hidden="0" customHeight="1">
      <x:c r="A2" s="18" t="str">
        <x:v>LN000001</x:v>
      </x:c>
      <x:c r="B2" s="18" t="str">
        <x:v>LOS-SYN-0000001</x:v>
      </x:c>
      <x:c r="C2" s="18" t="str">
        <x:v>EMP001</x:v>
      </x:c>
      <x:c r="D2" s="18" t="str">
        <x:v>CY2025Q1</x:v>
      </x:c>
      <x:c r="E2" s="18" t="str">
        <x:v>BR001</x:v>
      </x:c>
      <x:c r="F2" s="20" t="n">
        <x:v>45685.5</x:v>
      </x:c>
      <x:c r="G2" s="18" t="str">
        <x:v>Funded</x:v>
      </x:c>
      <x:c r="H2" s="23" t="n">
        <x:v>30000</x:v>
      </x:c>
      <x:c r="I2" s="18" t="str">
        <x:v>Auto loan</x:v>
      </x:c>
      <x:c r="J2" s="18" t="str">
        <x:v>New customer</x:v>
      </x:c>
      <x:c r="K2" s="20" t="n">
        <x:v>45693.5</x:v>
      </x:c>
    </x:row>
    <x:row r="3" ht="15" hidden="0" customHeight="1">
      <x:c r="A3" s="18" t="str">
        <x:v>LN000002</x:v>
      </x:c>
      <x:c r="B3" s="18" t="str">
        <x:v>LOS-SYN-0000002</x:v>
      </x:c>
      <x:c r="C3" s="18" t="str">
        <x:v>EMP001</x:v>
      </x:c>
      <x:c r="D3" s="18" t="str">
        <x:v>CY2025Q1</x:v>
      </x:c>
      <x:c r="E3" s="18" t="str">
        <x:v>BR001</x:v>
      </x:c>
      <x:c r="F3" s="20" t="n">
        <x:v>45710.5</x:v>
      </x:c>
      <x:c r="G3" s="18" t="str">
        <x:v>Funded</x:v>
      </x:c>
      <x:c r="H3" s="23" t="n">
        <x:v>39000</x:v>
      </x:c>
      <x:c r="I3" s="18" t="str">
        <x:v>Auto loan</x:v>
      </x:c>
      <x:c r="J3" s="18" t="str">
        <x:v>Existing customer</x:v>
      </x:c>
      <x:c r="K3" s="20" t="n">
        <x:v>45722.5</x:v>
      </x:c>
    </x:row>
    <x:row r="4" ht="15" hidden="0" customHeight="1">
      <x:c r="A4" s="18" t="str">
        <x:v>LN000003</x:v>
      </x:c>
      <x:c r="B4" s="18" t="str">
        <x:v>LOS-SYN-0000003</x:v>
      </x:c>
      <x:c r="C4" s="18" t="str">
        <x:v>EMP001</x:v>
      </x:c>
      <x:c r="D4" s="18" t="str">
        <x:v>CY2025Q1</x:v>
      </x:c>
      <x:c r="E4" s="18" t="str">
        <x:v>BR001</x:v>
      </x:c>
      <x:c r="F4" s="20" t="n">
        <x:v>45703.5</x:v>
      </x:c>
      <x:c r="G4" s="18" t="str">
        <x:v>Funded</x:v>
      </x:c>
      <x:c r="H4" s="23" t="n">
        <x:v>50500</x:v>
      </x:c>
      <x:c r="I4" s="18" t="str">
        <x:v>Personal loan</x:v>
      </x:c>
      <x:c r="J4" s="18" t="str">
        <x:v>Existing customer</x:v>
      </x:c>
      <x:c r="K4" s="20" t="n">
        <x:v>45714.5</x:v>
      </x:c>
    </x:row>
    <x:row r="5" ht="15" hidden="0" customHeight="1">
      <x:c r="A5" s="18" t="str">
        <x:v>LN000004</x:v>
      </x:c>
      <x:c r="B5" s="18" t="str">
        <x:v>LOS-SYN-0000004</x:v>
      </x:c>
      <x:c r="C5" s="18" t="str">
        <x:v>EMP001</x:v>
      </x:c>
      <x:c r="D5" s="18" t="str">
        <x:v>CY2025Q1</x:v>
      </x:c>
      <x:c r="E5" s="18" t="str">
        <x:v>BR001</x:v>
      </x:c>
      <x:c r="F5" s="20" t="n">
        <x:v>45702.5</x:v>
      </x:c>
      <x:c r="G5" s="18" t="str">
        <x:v>Funded</x:v>
      </x:c>
      <x:c r="H5" s="23" t="n">
        <x:v>41500</x:v>
      </x:c>
      <x:c r="I5" s="18" t="str">
        <x:v>Auto loan</x:v>
      </x:c>
      <x:c r="J5" s="18" t="str">
        <x:v>Existing customer</x:v>
      </x:c>
      <x:c r="K5" s="20" t="n">
        <x:v>45714.5</x:v>
      </x:c>
    </x:row>
    <x:row r="6" ht="15" hidden="0" customHeight="1">
      <x:c r="A6" s="18" t="str">
        <x:v>LN000005</x:v>
      </x:c>
      <x:c r="B6" s="18" t="str">
        <x:v>LOS-SYN-0000005</x:v>
      </x:c>
      <x:c r="C6" s="18" t="str">
        <x:v>EMP001</x:v>
      </x:c>
      <x:c r="D6" s="18" t="str">
        <x:v>CY2025Q1</x:v>
      </x:c>
      <x:c r="E6" s="18" t="str">
        <x:v>BR001</x:v>
      </x:c>
      <x:c r="F6" s="20" t="n">
        <x:v>45664.5</x:v>
      </x:c>
      <x:c r="G6" s="18" t="str">
        <x:v>Funded</x:v>
      </x:c>
      <x:c r="H6" s="23" t="n">
        <x:v>29500</x:v>
      </x:c>
      <x:c r="I6" s="18" t="str">
        <x:v>Debt consolidation loan</x:v>
      </x:c>
      <x:c r="J6" s="18" t="str">
        <x:v>Referral</x:v>
      </x:c>
      <x:c r="K6" s="20" t="n">
        <x:v>45676.5</x:v>
      </x:c>
    </x:row>
    <x:row r="7" ht="15" hidden="0" customHeight="1">
      <x:c r="A7" s="18" t="str">
        <x:v>LN000006</x:v>
      </x:c>
      <x:c r="B7" s="18" t="str">
        <x:v>LOS-SYN-0000006</x:v>
      </x:c>
      <x:c r="C7" s="18" t="str">
        <x:v>EMP001</x:v>
      </x:c>
      <x:c r="D7" s="18" t="str">
        <x:v>CY2025Q1</x:v>
      </x:c>
      <x:c r="E7" s="18" t="str">
        <x:v>BR001</x:v>
      </x:c>
      <x:c r="F7" s="20" t="n">
        <x:v>45719.5</x:v>
      </x:c>
      <x:c r="G7" s="18" t="str">
        <x:v>Funded</x:v>
      </x:c>
      <x:c r="H7" s="23" t="n">
        <x:v>34000</x:v>
      </x:c>
      <x:c r="I7" s="18" t="str">
        <x:v>Debt consolidation loan</x:v>
      </x:c>
      <x:c r="J7" s="18" t="str">
        <x:v>Referral</x:v>
      </x:c>
      <x:c r="K7" s="20" t="n">
        <x:v>45730.5</x:v>
      </x:c>
    </x:row>
    <x:row r="8" ht="15" hidden="0" customHeight="1">
      <x:c r="A8" s="18" t="str">
        <x:v>LN000007</x:v>
      </x:c>
      <x:c r="B8" s="18" t="str">
        <x:v>LOS-SYN-0000007</x:v>
      </x:c>
      <x:c r="C8" s="18" t="str">
        <x:v>EMP001</x:v>
      </x:c>
      <x:c r="D8" s="18" t="str">
        <x:v>CY2025Q1</x:v>
      </x:c>
      <x:c r="E8" s="18" t="str">
        <x:v>BR001</x:v>
      </x:c>
      <x:c r="F8" s="20" t="n">
        <x:v>45737.5</x:v>
      </x:c>
      <x:c r="G8" s="18" t="str">
        <x:v>Funded</x:v>
      </x:c>
      <x:c r="H8" s="23" t="n">
        <x:v>37000</x:v>
      </x:c>
      <x:c r="I8" s="18" t="str">
        <x:v>Personal loan</x:v>
      </x:c>
      <x:c r="J8" s="18" t="str">
        <x:v>New customer</x:v>
      </x:c>
      <x:c r="K8" s="20" t="n">
        <x:v>45747.5</x:v>
      </x:c>
    </x:row>
    <x:row r="9" ht="15" hidden="0" customHeight="1">
      <x:c r="A9" s="18" t="str">
        <x:v>LN000008</x:v>
      </x:c>
      <x:c r="B9" s="18" t="str">
        <x:v>LOS-SYN-0000008</x:v>
      </x:c>
      <x:c r="C9" s="18" t="str">
        <x:v>EMP001</x:v>
      </x:c>
      <x:c r="D9" s="18" t="str">
        <x:v>CY2025Q1</x:v>
      </x:c>
      <x:c r="E9" s="18" t="str">
        <x:v>BR001</x:v>
      </x:c>
      <x:c r="F9" s="20" t="n">
        <x:v>45695.5</x:v>
      </x:c>
      <x:c r="G9" s="18" t="str">
        <x:v>Funded</x:v>
      </x:c>
      <x:c r="H9" s="23" t="n">
        <x:v>53000</x:v>
      </x:c>
      <x:c r="I9" s="18" t="str">
        <x:v>Personal loan</x:v>
      </x:c>
      <x:c r="J9" s="18" t="str">
        <x:v>Referral</x:v>
      </x:c>
      <x:c r="K9" s="20" t="n">
        <x:v>45700.5</x:v>
      </x:c>
    </x:row>
    <x:row r="10" ht="15" hidden="0" customHeight="1">
      <x:c r="A10" s="18" t="str">
        <x:v>LN000009</x:v>
      </x:c>
      <x:c r="B10" s="18" t="str">
        <x:v>LOS-SYN-0000009</x:v>
      </x:c>
      <x:c r="C10" s="18" t="str">
        <x:v>EMP001</x:v>
      </x:c>
      <x:c r="D10" s="18" t="str">
        <x:v>CY2025Q1</x:v>
      </x:c>
      <x:c r="E10" s="18" t="str">
        <x:v>BR001</x:v>
      </x:c>
      <x:c r="F10" s="20" t="n">
        <x:v>45738.5</x:v>
      </x:c>
      <x:c r="G10" s="18" t="str">
        <x:v>Funded</x:v>
      </x:c>
      <x:c r="H10" s="23" t="n">
        <x:v>38500</x:v>
      </x:c>
      <x:c r="I10" s="18" t="str">
        <x:v>Home improvement loan</x:v>
      </x:c>
      <x:c r="J10" s="18" t="str">
        <x:v>New customer</x:v>
      </x:c>
      <x:c r="K10" s="20" t="n">
        <x:v>45744.5</x:v>
      </x:c>
    </x:row>
    <x:row r="11" ht="15" hidden="0" customHeight="1">
      <x:c r="A11" s="18" t="str">
        <x:v>LN000010</x:v>
      </x:c>
      <x:c r="B11" s="18" t="str">
        <x:v>LOS-SYN-0000010</x:v>
      </x:c>
      <x:c r="C11" s="18" t="str">
        <x:v>EMP001</x:v>
      </x:c>
      <x:c r="D11" s="18" t="str">
        <x:v>CY2025Q1</x:v>
      </x:c>
      <x:c r="E11" s="18" t="str">
        <x:v>BR001</x:v>
      </x:c>
      <x:c r="F11" s="20" t="n">
        <x:v>45702.5</x:v>
      </x:c>
      <x:c r="G11" s="18" t="str">
        <x:v>Cancelled</x:v>
      </x:c>
      <x:c r="H11" s="23" t="n">
        <x:v>56000</x:v>
      </x:c>
      <x:c r="I11" s="18" t="str">
        <x:v>Personal loan</x:v>
      </x:c>
      <x:c r="J11" s="18" t="str">
        <x:v>New customer</x:v>
      </x:c>
      <x:c r="K11" s="20"/>
    </x:row>
    <x:row r="12" ht="15" hidden="0" customHeight="1">
      <x:c r="A12" s="18" t="str">
        <x:v>LN000011</x:v>
      </x:c>
      <x:c r="B12" s="18" t="str">
        <x:v>LOS-SYN-0000011</x:v>
      </x:c>
      <x:c r="C12" s="18" t="str">
        <x:v>EMP002</x:v>
      </x:c>
      <x:c r="D12" s="18" t="str">
        <x:v>CY2025Q1</x:v>
      </x:c>
      <x:c r="E12" s="18" t="str">
        <x:v>BR001</x:v>
      </x:c>
      <x:c r="F12" s="20" t="n">
        <x:v>45739.5</x:v>
      </x:c>
      <x:c r="G12" s="18" t="str">
        <x:v>Funded</x:v>
      </x:c>
      <x:c r="H12" s="23" t="n">
        <x:v>46000</x:v>
      </x:c>
      <x:c r="I12" s="18" t="str">
        <x:v>Home improvement loan</x:v>
      </x:c>
      <x:c r="J12" s="18" t="str">
        <x:v>New customer</x:v>
      </x:c>
      <x:c r="K12" s="20" t="n">
        <x:v>45744.5</x:v>
      </x:c>
    </x:row>
    <x:row r="13" ht="15" hidden="0" customHeight="1">
      <x:c r="A13" s="18" t="str">
        <x:v>LN000012</x:v>
      </x:c>
      <x:c r="B13" s="18" t="str">
        <x:v>LOS-SYN-0000012</x:v>
      </x:c>
      <x:c r="C13" s="18" t="str">
        <x:v>EMP002</x:v>
      </x:c>
      <x:c r="D13" s="18" t="str">
        <x:v>CY2025Q1</x:v>
      </x:c>
      <x:c r="E13" s="18" t="str">
        <x:v>BR001</x:v>
      </x:c>
      <x:c r="F13" s="20" t="n">
        <x:v>45701.5</x:v>
      </x:c>
      <x:c r="G13" s="18" t="str">
        <x:v>Funded</x:v>
      </x:c>
      <x:c r="H13" s="23" t="n">
        <x:v>38000</x:v>
      </x:c>
      <x:c r="I13" s="18" t="str">
        <x:v>Auto loan</x:v>
      </x:c>
      <x:c r="J13" s="18" t="str">
        <x:v>Existing customer</x:v>
      </x:c>
      <x:c r="K13" s="20" t="n">
        <x:v>45712.5</x:v>
      </x:c>
    </x:row>
    <x:row r="14" ht="15" hidden="0" customHeight="1">
      <x:c r="A14" s="18" t="str">
        <x:v>LN000013</x:v>
      </x:c>
      <x:c r="B14" s="18" t="str">
        <x:v>LOS-SYN-0000013</x:v>
      </x:c>
      <x:c r="C14" s="18" t="str">
        <x:v>EMP002</x:v>
      </x:c>
      <x:c r="D14" s="18" t="str">
        <x:v>CY2025Q1</x:v>
      </x:c>
      <x:c r="E14" s="18" t="str">
        <x:v>BR001</x:v>
      </x:c>
      <x:c r="F14" s="20" t="n">
        <x:v>45679.5</x:v>
      </x:c>
      <x:c r="G14" s="18" t="str">
        <x:v>Funded</x:v>
      </x:c>
      <x:c r="H14" s="23" t="n">
        <x:v>59500</x:v>
      </x:c>
      <x:c r="I14" s="18" t="str">
        <x:v>Auto loan</x:v>
      </x:c>
      <x:c r="J14" s="18" t="str">
        <x:v>Existing customer</x:v>
      </x:c>
      <x:c r="K14" s="20" t="n">
        <x:v>45687.5</x:v>
      </x:c>
    </x:row>
    <x:row r="15" ht="15" hidden="0" customHeight="1">
      <x:c r="A15" s="18" t="str">
        <x:v>LN000014</x:v>
      </x:c>
      <x:c r="B15" s="18" t="str">
        <x:v>LOS-SYN-0000014</x:v>
      </x:c>
      <x:c r="C15" s="18" t="str">
        <x:v>EMP002</x:v>
      </x:c>
      <x:c r="D15" s="18" t="str">
        <x:v>CY2025Q1</x:v>
      </x:c>
      <x:c r="E15" s="18" t="str">
        <x:v>BR001</x:v>
      </x:c>
      <x:c r="F15" s="20" t="n">
        <x:v>45711.5</x:v>
      </x:c>
      <x:c r="G15" s="18" t="str">
        <x:v>Funded</x:v>
      </x:c>
      <x:c r="H15" s="23" t="n">
        <x:v>51500</x:v>
      </x:c>
      <x:c r="I15" s="18" t="str">
        <x:v>Personal loan</x:v>
      </x:c>
      <x:c r="J15" s="18" t="str">
        <x:v>Referral</x:v>
      </x:c>
      <x:c r="K15" s="20" t="n">
        <x:v>45722.5</x:v>
      </x:c>
    </x:row>
    <x:row r="16" ht="15" hidden="0" customHeight="1">
      <x:c r="A16" s="18" t="str">
        <x:v>LN000015</x:v>
      </x:c>
      <x:c r="B16" s="18" t="str">
        <x:v>LOS-SYN-0000015</x:v>
      </x:c>
      <x:c r="C16" s="18" t="str">
        <x:v>EMP002</x:v>
      </x:c>
      <x:c r="D16" s="18" t="str">
        <x:v>CY2025Q1</x:v>
      </x:c>
      <x:c r="E16" s="18" t="str">
        <x:v>BR001</x:v>
      </x:c>
      <x:c r="F16" s="20" t="n">
        <x:v>45717.5</x:v>
      </x:c>
      <x:c r="G16" s="18" t="str">
        <x:v>Funded</x:v>
      </x:c>
      <x:c r="H16" s="23" t="n">
        <x:v>33000</x:v>
      </x:c>
      <x:c r="I16" s="18" t="str">
        <x:v>Auto loan</x:v>
      </x:c>
      <x:c r="J16" s="18" t="str">
        <x:v>Referral</x:v>
      </x:c>
      <x:c r="K16" s="20" t="n">
        <x:v>45724.5</x:v>
      </x:c>
    </x:row>
    <x:row r="17" ht="15" hidden="0" customHeight="1">
      <x:c r="A17" s="18" t="str">
        <x:v>LN000016</x:v>
      </x:c>
      <x:c r="B17" s="18" t="str">
        <x:v>LOS-SYN-0000016</x:v>
      </x:c>
      <x:c r="C17" s="18" t="str">
        <x:v>EMP002</x:v>
      </x:c>
      <x:c r="D17" s="18" t="str">
        <x:v>CY2025Q1</x:v>
      </x:c>
      <x:c r="E17" s="18" t="str">
        <x:v>BR001</x:v>
      </x:c>
      <x:c r="F17" s="20" t="n">
        <x:v>45659.5</x:v>
      </x:c>
      <x:c r="G17" s="18" t="str">
        <x:v>Funded</x:v>
      </x:c>
      <x:c r="H17" s="23" t="n">
        <x:v>48500</x:v>
      </x:c>
      <x:c r="I17" s="18" t="str">
        <x:v>Auto loan</x:v>
      </x:c>
      <x:c r="J17" s="18" t="str">
        <x:v>New customer</x:v>
      </x:c>
      <x:c r="K17" s="20" t="n">
        <x:v>45670.5</x:v>
      </x:c>
    </x:row>
    <x:row r="18" ht="15" hidden="0" customHeight="1">
      <x:c r="A18" s="18" t="str">
        <x:v>LN000017</x:v>
      </x:c>
      <x:c r="B18" s="18" t="str">
        <x:v>LOS-SYN-0000017</x:v>
      </x:c>
      <x:c r="C18" s="18" t="str">
        <x:v>EMP002</x:v>
      </x:c>
      <x:c r="D18" s="18" t="str">
        <x:v>CY2025Q1</x:v>
      </x:c>
      <x:c r="E18" s="18" t="str">
        <x:v>BR001</x:v>
      </x:c>
      <x:c r="F18" s="20" t="n">
        <x:v>45726.5</x:v>
      </x:c>
      <x:c r="G18" s="18" t="str">
        <x:v>Funded</x:v>
      </x:c>
      <x:c r="H18" s="23" t="n">
        <x:v>48500</x:v>
      </x:c>
      <x:c r="I18" s="18" t="str">
        <x:v>Home improvement loan</x:v>
      </x:c>
      <x:c r="J18" s="18" t="str">
        <x:v>New customer</x:v>
      </x:c>
      <x:c r="K18" s="20" t="n">
        <x:v>45735.5</x:v>
      </x:c>
    </x:row>
    <x:row r="19" ht="15" hidden="0" customHeight="1">
      <x:c r="A19" s="18" t="str">
        <x:v>LN000018</x:v>
      </x:c>
      <x:c r="B19" s="18" t="str">
        <x:v>LOS-SYN-0000018</x:v>
      </x:c>
      <x:c r="C19" s="18" t="str">
        <x:v>EMP003</x:v>
      </x:c>
      <x:c r="D19" s="18" t="str">
        <x:v>CY2025Q1</x:v>
      </x:c>
      <x:c r="E19" s="18" t="str">
        <x:v>BR001</x:v>
      </x:c>
      <x:c r="F19" s="20" t="n">
        <x:v>45724.5</x:v>
      </x:c>
      <x:c r="G19" s="18" t="str">
        <x:v>Funded</x:v>
      </x:c>
      <x:c r="H19" s="23" t="n">
        <x:v>41000</x:v>
      </x:c>
      <x:c r="I19" s="18" t="str">
        <x:v>Home improvement loan</x:v>
      </x:c>
      <x:c r="J19" s="18" t="str">
        <x:v>Referral</x:v>
      </x:c>
      <x:c r="K19" s="20" t="n">
        <x:v>45736.5</x:v>
      </x:c>
    </x:row>
    <x:row r="20" ht="15" hidden="0" customHeight="1">
      <x:c r="A20" s="18" t="str">
        <x:v>LN000019</x:v>
      </x:c>
      <x:c r="B20" s="18" t="str">
        <x:v>LOS-SYN-0000019</x:v>
      </x:c>
      <x:c r="C20" s="18" t="str">
        <x:v>EMP003</x:v>
      </x:c>
      <x:c r="D20" s="18" t="str">
        <x:v>CY2025Q1</x:v>
      </x:c>
      <x:c r="E20" s="18" t="str">
        <x:v>BR001</x:v>
      </x:c>
      <x:c r="F20" s="20" t="n">
        <x:v>45712.5</x:v>
      </x:c>
      <x:c r="G20" s="18" t="str">
        <x:v>Funded</x:v>
      </x:c>
      <x:c r="H20" s="23" t="n">
        <x:v>48000</x:v>
      </x:c>
      <x:c r="I20" s="18" t="str">
        <x:v>Debt consolidation loan</x:v>
      </x:c>
      <x:c r="J20" s="18" t="str">
        <x:v>Existing customer</x:v>
      </x:c>
      <x:c r="K20" s="20" t="n">
        <x:v>45720.5</x:v>
      </x:c>
    </x:row>
    <x:row r="21" ht="15" hidden="0" customHeight="1">
      <x:c r="A21" s="18" t="str">
        <x:v>LN000020</x:v>
      </x:c>
      <x:c r="B21" s="18" t="str">
        <x:v>LOS-SYN-0000020</x:v>
      </x:c>
      <x:c r="C21" s="18" t="str">
        <x:v>EMP003</x:v>
      </x:c>
      <x:c r="D21" s="18" t="str">
        <x:v>CY2025Q1</x:v>
      </x:c>
      <x:c r="E21" s="18" t="str">
        <x:v>BR001</x:v>
      </x:c>
      <x:c r="F21" s="20" t="n">
        <x:v>45670.5</x:v>
      </x:c>
      <x:c r="G21" s="18" t="str">
        <x:v>Funded</x:v>
      </x:c>
      <x:c r="H21" s="23" t="n">
        <x:v>60000</x:v>
      </x:c>
      <x:c r="I21" s="18" t="str">
        <x:v>Home improvement loan</x:v>
      </x:c>
      <x:c r="J21" s="18" t="str">
        <x:v>Referral</x:v>
      </x:c>
      <x:c r="K21" s="20" t="n">
        <x:v>45677.5</x:v>
      </x:c>
    </x:row>
    <x:row r="22" ht="15" hidden="0" customHeight="1">
      <x:c r="A22" s="18" t="str">
        <x:v>LN000021</x:v>
      </x:c>
      <x:c r="B22" s="18" t="str">
        <x:v>LOS-SYN-0000021</x:v>
      </x:c>
      <x:c r="C22" s="18" t="str">
        <x:v>EMP003</x:v>
      </x:c>
      <x:c r="D22" s="18" t="str">
        <x:v>CY2025Q1</x:v>
      </x:c>
      <x:c r="E22" s="18" t="str">
        <x:v>BR001</x:v>
      </x:c>
      <x:c r="F22" s="20" t="n">
        <x:v>45678.5</x:v>
      </x:c>
      <x:c r="G22" s="18" t="str">
        <x:v>Funded</x:v>
      </x:c>
      <x:c r="H22" s="23" t="n">
        <x:v>54500</x:v>
      </x:c>
      <x:c r="I22" s="18" t="str">
        <x:v>Debt consolidation loan</x:v>
      </x:c>
      <x:c r="J22" s="18" t="str">
        <x:v>New customer</x:v>
      </x:c>
      <x:c r="K22" s="20" t="n">
        <x:v>45683.5</x:v>
      </x:c>
    </x:row>
    <x:row r="23" ht="15" hidden="0" customHeight="1">
      <x:c r="A23" s="18" t="str">
        <x:v>LN000022</x:v>
      </x:c>
      <x:c r="B23" s="18" t="str">
        <x:v>LOS-SYN-0000022</x:v>
      </x:c>
      <x:c r="C23" s="18" t="str">
        <x:v>EMP003</x:v>
      </x:c>
      <x:c r="D23" s="18" t="str">
        <x:v>CY2025Q1</x:v>
      </x:c>
      <x:c r="E23" s="18" t="str">
        <x:v>BR001</x:v>
      </x:c>
      <x:c r="F23" s="20" t="n">
        <x:v>45712.5</x:v>
      </x:c>
      <x:c r="G23" s="18" t="str">
        <x:v>Funded</x:v>
      </x:c>
      <x:c r="H23" s="23" t="n">
        <x:v>44000</x:v>
      </x:c>
      <x:c r="I23" s="18" t="str">
        <x:v>Debt consolidation loan</x:v>
      </x:c>
      <x:c r="J23" s="18" t="str">
        <x:v>Existing customer</x:v>
      </x:c>
      <x:c r="K23" s="20" t="n">
        <x:v>45720.5</x:v>
      </x:c>
    </x:row>
    <x:row r="24" ht="15" hidden="0" customHeight="1">
      <x:c r="A24" s="18" t="str">
        <x:v>LN000023</x:v>
      </x:c>
      <x:c r="B24" s="18" t="str">
        <x:v>LOS-SYN-0000023</x:v>
      </x:c>
      <x:c r="C24" s="18" t="str">
        <x:v>EMP003</x:v>
      </x:c>
      <x:c r="D24" s="18" t="str">
        <x:v>CY2025Q1</x:v>
      </x:c>
      <x:c r="E24" s="18" t="str">
        <x:v>BR001</x:v>
      </x:c>
      <x:c r="F24" s="20" t="n">
        <x:v>45675.5</x:v>
      </x:c>
      <x:c r="G24" s="18" t="str">
        <x:v>Funded</x:v>
      </x:c>
      <x:c r="H24" s="23" t="n">
        <x:v>35500</x:v>
      </x:c>
      <x:c r="I24" s="18" t="str">
        <x:v>Debt consolidation loan</x:v>
      </x:c>
      <x:c r="J24" s="18" t="str">
        <x:v>New customer</x:v>
      </x:c>
      <x:c r="K24" s="20" t="n">
        <x:v>45681.5</x:v>
      </x:c>
    </x:row>
    <x:row r="25" ht="15" hidden="0" customHeight="1">
      <x:c r="A25" s="18" t="str">
        <x:v>LN000024</x:v>
      </x:c>
      <x:c r="B25" s="18" t="str">
        <x:v>LOS-SYN-0000024</x:v>
      </x:c>
      <x:c r="C25" s="18" t="str">
        <x:v>EMP004</x:v>
      </x:c>
      <x:c r="D25" s="18" t="str">
        <x:v>CY2025Q1</x:v>
      </x:c>
      <x:c r="E25" s="18" t="str">
        <x:v>BR002</x:v>
      </x:c>
      <x:c r="F25" s="20" t="n">
        <x:v>45696.5</x:v>
      </x:c>
      <x:c r="G25" s="18" t="str">
        <x:v>Funded</x:v>
      </x:c>
      <x:c r="H25" s="23" t="n">
        <x:v>38500</x:v>
      </x:c>
      <x:c r="I25" s="18" t="str">
        <x:v>Personal loan</x:v>
      </x:c>
      <x:c r="J25" s="18" t="str">
        <x:v>Existing customer</x:v>
      </x:c>
      <x:c r="K25" s="20" t="n">
        <x:v>45707.5</x:v>
      </x:c>
    </x:row>
    <x:row r="26" ht="15" hidden="0" customHeight="1">
      <x:c r="A26" s="18" t="str">
        <x:v>LN000025</x:v>
      </x:c>
      <x:c r="B26" s="18" t="str">
        <x:v>LOS-SYN-0000025</x:v>
      </x:c>
      <x:c r="C26" s="18" t="str">
        <x:v>EMP004</x:v>
      </x:c>
      <x:c r="D26" s="18" t="str">
        <x:v>CY2025Q1</x:v>
      </x:c>
      <x:c r="E26" s="18" t="str">
        <x:v>BR002</x:v>
      </x:c>
      <x:c r="F26" s="20" t="n">
        <x:v>45670.5</x:v>
      </x:c>
      <x:c r="G26" s="18" t="str">
        <x:v>Funded</x:v>
      </x:c>
      <x:c r="H26" s="23" t="n">
        <x:v>46500</x:v>
      </x:c>
      <x:c r="I26" s="18" t="str">
        <x:v>Auto loan</x:v>
      </x:c>
      <x:c r="J26" s="18" t="str">
        <x:v>New customer</x:v>
      </x:c>
      <x:c r="K26" s="20" t="n">
        <x:v>45678.5</x:v>
      </x:c>
    </x:row>
    <x:row r="27" ht="15" hidden="0" customHeight="1">
      <x:c r="A27" s="18" t="str">
        <x:v>LN000026</x:v>
      </x:c>
      <x:c r="B27" s="18" t="str">
        <x:v>LOS-SYN-0000026</x:v>
      </x:c>
      <x:c r="C27" s="18" t="str">
        <x:v>EMP004</x:v>
      </x:c>
      <x:c r="D27" s="18" t="str">
        <x:v>CY2025Q1</x:v>
      </x:c>
      <x:c r="E27" s="18" t="str">
        <x:v>BR002</x:v>
      </x:c>
      <x:c r="F27" s="20" t="n">
        <x:v>45670.5</x:v>
      </x:c>
      <x:c r="G27" s="18" t="str">
        <x:v>Funded</x:v>
      </x:c>
      <x:c r="H27" s="23" t="n">
        <x:v>42500</x:v>
      </x:c>
      <x:c r="I27" s="18" t="str">
        <x:v>Personal loan</x:v>
      </x:c>
      <x:c r="J27" s="18" t="str">
        <x:v>New customer</x:v>
      </x:c>
      <x:c r="K27" s="20" t="n">
        <x:v>45679.5</x:v>
      </x:c>
    </x:row>
    <x:row r="28" ht="15" hidden="0" customHeight="1">
      <x:c r="A28" s="18" t="str">
        <x:v>LN000027</x:v>
      </x:c>
      <x:c r="B28" s="18" t="str">
        <x:v>LOS-SYN-0000027</x:v>
      </x:c>
      <x:c r="C28" s="18" t="str">
        <x:v>EMP004</x:v>
      </x:c>
      <x:c r="D28" s="18" t="str">
        <x:v>CY2025Q1</x:v>
      </x:c>
      <x:c r="E28" s="18" t="str">
        <x:v>BR002</x:v>
      </x:c>
      <x:c r="F28" s="20" t="n">
        <x:v>45730.5</x:v>
      </x:c>
      <x:c r="G28" s="18" t="str">
        <x:v>Funded</x:v>
      </x:c>
      <x:c r="H28" s="23" t="n">
        <x:v>39500</x:v>
      </x:c>
      <x:c r="I28" s="18" t="str">
        <x:v>Auto loan</x:v>
      </x:c>
      <x:c r="J28" s="18" t="str">
        <x:v>New customer</x:v>
      </x:c>
      <x:c r="K28" s="20" t="n">
        <x:v>45738.5</x:v>
      </x:c>
    </x:row>
    <x:row r="29" ht="15" hidden="0" customHeight="1">
      <x:c r="A29" s="18" t="str">
        <x:v>LN000028</x:v>
      </x:c>
      <x:c r="B29" s="18" t="str">
        <x:v>LOS-SYN-0000028</x:v>
      </x:c>
      <x:c r="C29" s="18" t="str">
        <x:v>EMP004</x:v>
      </x:c>
      <x:c r="D29" s="18" t="str">
        <x:v>CY2025Q1</x:v>
      </x:c>
      <x:c r="E29" s="18" t="str">
        <x:v>BR002</x:v>
      </x:c>
      <x:c r="F29" s="20" t="n">
        <x:v>45666.5</x:v>
      </x:c>
      <x:c r="G29" s="18" t="str">
        <x:v>Funded</x:v>
      </x:c>
      <x:c r="H29" s="23" t="n">
        <x:v>51000</x:v>
      </x:c>
      <x:c r="I29" s="18" t="str">
        <x:v>Personal loan</x:v>
      </x:c>
      <x:c r="J29" s="18" t="str">
        <x:v>Referral</x:v>
      </x:c>
      <x:c r="K29" s="20" t="n">
        <x:v>45672.5</x:v>
      </x:c>
    </x:row>
    <x:row r="30" ht="15" hidden="0" customHeight="1">
      <x:c r="A30" s="18" t="str">
        <x:v>LN000029</x:v>
      </x:c>
      <x:c r="B30" s="18" t="str">
        <x:v>LOS-SYN-0000029</x:v>
      </x:c>
      <x:c r="C30" s="18" t="str">
        <x:v>EMP004</x:v>
      </x:c>
      <x:c r="D30" s="18" t="str">
        <x:v>CY2025Q1</x:v>
      </x:c>
      <x:c r="E30" s="18" t="str">
        <x:v>BR002</x:v>
      </x:c>
      <x:c r="F30" s="20" t="n">
        <x:v>45745.5</x:v>
      </x:c>
      <x:c r="G30" s="18" t="str">
        <x:v>Cancelled</x:v>
      </x:c>
      <x:c r="H30" s="23" t="n">
        <x:v>56000</x:v>
      </x:c>
      <x:c r="I30" s="18" t="str">
        <x:v>Personal loan</x:v>
      </x:c>
      <x:c r="J30" s="18" t="str">
        <x:v>New customer</x:v>
      </x:c>
      <x:c r="K30" s="20"/>
    </x:row>
    <x:row r="31" ht="15" hidden="0" customHeight="1">
      <x:c r="A31" s="18" t="str">
        <x:v>LN000030</x:v>
      </x:c>
      <x:c r="B31" s="18" t="str">
        <x:v>LOS-SYN-0000030</x:v>
      </x:c>
      <x:c r="C31" s="18" t="str">
        <x:v>EMP005</x:v>
      </x:c>
      <x:c r="D31" s="18" t="str">
        <x:v>CY2025Q1</x:v>
      </x:c>
      <x:c r="E31" s="18" t="str">
        <x:v>BR002</x:v>
      </x:c>
      <x:c r="F31" s="20" t="n">
        <x:v>45732.5</x:v>
      </x:c>
      <x:c r="G31" s="18" t="str">
        <x:v>Funded</x:v>
      </x:c>
      <x:c r="H31" s="23" t="n">
        <x:v>48500</x:v>
      </x:c>
      <x:c r="I31" s="18" t="str">
        <x:v>Auto loan</x:v>
      </x:c>
      <x:c r="J31" s="18" t="str">
        <x:v>New customer</x:v>
      </x:c>
      <x:c r="K31" s="20" t="n">
        <x:v>45743.5</x:v>
      </x:c>
    </x:row>
    <x:row r="32" ht="15" hidden="0" customHeight="1">
      <x:c r="A32" s="18" t="str">
        <x:v>LN000031</x:v>
      </x:c>
      <x:c r="B32" s="18" t="str">
        <x:v>LOS-SYN-0000031</x:v>
      </x:c>
      <x:c r="C32" s="18" t="str">
        <x:v>EMP005</x:v>
      </x:c>
      <x:c r="D32" s="18" t="str">
        <x:v>CY2025Q1</x:v>
      </x:c>
      <x:c r="E32" s="18" t="str">
        <x:v>BR002</x:v>
      </x:c>
      <x:c r="F32" s="20" t="n">
        <x:v>45659.5</x:v>
      </x:c>
      <x:c r="G32" s="18" t="str">
        <x:v>Funded</x:v>
      </x:c>
      <x:c r="H32" s="23" t="n">
        <x:v>37500</x:v>
      </x:c>
      <x:c r="I32" s="18" t="str">
        <x:v>Debt consolidation loan</x:v>
      </x:c>
      <x:c r="J32" s="18" t="str">
        <x:v>Referral</x:v>
      </x:c>
      <x:c r="K32" s="20" t="n">
        <x:v>45668.5</x:v>
      </x:c>
    </x:row>
    <x:row r="33" ht="15" hidden="0" customHeight="1">
      <x:c r="A33" s="18" t="str">
        <x:v>LN000032</x:v>
      </x:c>
      <x:c r="B33" s="18" t="str">
        <x:v>LOS-SYN-0000032</x:v>
      </x:c>
      <x:c r="C33" s="18" t="str">
        <x:v>EMP005</x:v>
      </x:c>
      <x:c r="D33" s="18" t="str">
        <x:v>CY2025Q1</x:v>
      </x:c>
      <x:c r="E33" s="18" t="str">
        <x:v>BR002</x:v>
      </x:c>
      <x:c r="F33" s="20" t="n">
        <x:v>45665.5</x:v>
      </x:c>
      <x:c r="G33" s="18" t="str">
        <x:v>Funded</x:v>
      </x:c>
      <x:c r="H33" s="23" t="n">
        <x:v>52500</x:v>
      </x:c>
      <x:c r="I33" s="18" t="str">
        <x:v>Personal loan</x:v>
      </x:c>
      <x:c r="J33" s="18" t="str">
        <x:v>New customer</x:v>
      </x:c>
      <x:c r="K33" s="20" t="n">
        <x:v>45673.5</x:v>
      </x:c>
    </x:row>
    <x:row r="34" ht="15" hidden="0" customHeight="1">
      <x:c r="A34" s="18" t="str">
        <x:v>LN000033</x:v>
      </x:c>
      <x:c r="B34" s="18" t="str">
        <x:v>LOS-SYN-0000033</x:v>
      </x:c>
      <x:c r="C34" s="18" t="str">
        <x:v>EMP005</x:v>
      </x:c>
      <x:c r="D34" s="18" t="str">
        <x:v>CY2025Q1</x:v>
      </x:c>
      <x:c r="E34" s="18" t="str">
        <x:v>BR002</x:v>
      </x:c>
      <x:c r="F34" s="20" t="n">
        <x:v>45738.5</x:v>
      </x:c>
      <x:c r="G34" s="18" t="str">
        <x:v>Funded</x:v>
      </x:c>
      <x:c r="H34" s="23" t="n">
        <x:v>48500</x:v>
      </x:c>
      <x:c r="I34" s="18" t="str">
        <x:v>Debt consolidation loan</x:v>
      </x:c>
      <x:c r="J34" s="18" t="str">
        <x:v>Referral</x:v>
      </x:c>
      <x:c r="K34" s="20" t="n">
        <x:v>45741.5</x:v>
      </x:c>
    </x:row>
    <x:row r="35" ht="15" hidden="0" customHeight="1">
      <x:c r="A35" s="18" t="str">
        <x:v>LN000034</x:v>
      </x:c>
      <x:c r="B35" s="18" t="str">
        <x:v>LOS-SYN-0000034</x:v>
      </x:c>
      <x:c r="C35" s="18" t="str">
        <x:v>EMP005</x:v>
      </x:c>
      <x:c r="D35" s="18" t="str">
        <x:v>CY2025Q1</x:v>
      </x:c>
      <x:c r="E35" s="18" t="str">
        <x:v>BR002</x:v>
      </x:c>
      <x:c r="F35" s="20" t="n">
        <x:v>45714.5</x:v>
      </x:c>
      <x:c r="G35" s="18" t="str">
        <x:v>Funded</x:v>
      </x:c>
      <x:c r="H35" s="23" t="n">
        <x:v>44000</x:v>
      </x:c>
      <x:c r="I35" s="18" t="str">
        <x:v>Home improvement loan</x:v>
      </x:c>
      <x:c r="J35" s="18" t="str">
        <x:v>Referral</x:v>
      </x:c>
      <x:c r="K35" s="20" t="n">
        <x:v>45724.5</x:v>
      </x:c>
    </x:row>
    <x:row r="36" ht="15" hidden="0" customHeight="1">
      <x:c r="A36" s="18" t="str">
        <x:v>LN000035</x:v>
      </x:c>
      <x:c r="B36" s="18" t="str">
        <x:v>LOS-SYN-0000035</x:v>
      </x:c>
      <x:c r="C36" s="18" t="str">
        <x:v>EMP005</x:v>
      </x:c>
      <x:c r="D36" s="18" t="str">
        <x:v>CY2025Q1</x:v>
      </x:c>
      <x:c r="E36" s="18" t="str">
        <x:v>BR002</x:v>
      </x:c>
      <x:c r="F36" s="20" t="n">
        <x:v>45708.5</x:v>
      </x:c>
      <x:c r="G36" s="18" t="str">
        <x:v>Funded</x:v>
      </x:c>
      <x:c r="H36" s="23" t="n">
        <x:v>57000</x:v>
      </x:c>
      <x:c r="I36" s="18" t="str">
        <x:v>Debt consolidation loan</x:v>
      </x:c>
      <x:c r="J36" s="18" t="str">
        <x:v>Referral</x:v>
      </x:c>
      <x:c r="K36" s="20" t="n">
        <x:v>45717.5</x:v>
      </x:c>
    </x:row>
    <x:row r="37" ht="15" hidden="0" customHeight="1">
      <x:c r="A37" s="18" t="str">
        <x:v>LN000036</x:v>
      </x:c>
      <x:c r="B37" s="18" t="str">
        <x:v>LOS-SYN-0000036</x:v>
      </x:c>
      <x:c r="C37" s="18" t="str">
        <x:v>EMP005</x:v>
      </x:c>
      <x:c r="D37" s="18" t="str">
        <x:v>CY2025Q1</x:v>
      </x:c>
      <x:c r="E37" s="18" t="str">
        <x:v>BR002</x:v>
      </x:c>
      <x:c r="F37" s="20" t="n">
        <x:v>45713.5</x:v>
      </x:c>
      <x:c r="G37" s="18" t="str">
        <x:v>Funded</x:v>
      </x:c>
      <x:c r="H37" s="23" t="n">
        <x:v>55000</x:v>
      </x:c>
      <x:c r="I37" s="18" t="str">
        <x:v>Personal loan</x:v>
      </x:c>
      <x:c r="J37" s="18" t="str">
        <x:v>New customer</x:v>
      </x:c>
      <x:c r="K37" s="20" t="n">
        <x:v>45718.5</x:v>
      </x:c>
    </x:row>
    <x:row r="38" ht="15" hidden="0" customHeight="1">
      <x:c r="A38" s="18" t="str">
        <x:v>LN000037</x:v>
      </x:c>
      <x:c r="B38" s="18" t="str">
        <x:v>LOS-SYN-0000037</x:v>
      </x:c>
      <x:c r="C38" s="18" t="str">
        <x:v>EMP005</x:v>
      </x:c>
      <x:c r="D38" s="18" t="str">
        <x:v>CY2025Q1</x:v>
      </x:c>
      <x:c r="E38" s="18" t="str">
        <x:v>BR002</x:v>
      </x:c>
      <x:c r="F38" s="20" t="n">
        <x:v>45716.5</x:v>
      </x:c>
      <x:c r="G38" s="18" t="str">
        <x:v>Funded</x:v>
      </x:c>
      <x:c r="H38" s="23" t="n">
        <x:v>34000</x:v>
      </x:c>
      <x:c r="I38" s="18" t="str">
        <x:v>Auto loan</x:v>
      </x:c>
      <x:c r="J38" s="18" t="str">
        <x:v>Referral</x:v>
      </x:c>
      <x:c r="K38" s="20" t="n">
        <x:v>45725.5</x:v>
      </x:c>
    </x:row>
    <x:row r="39" ht="15" hidden="0" customHeight="1">
      <x:c r="A39" s="18" t="str">
        <x:v>LN000038</x:v>
      </x:c>
      <x:c r="B39" s="18" t="str">
        <x:v>LOS-SYN-0000038</x:v>
      </x:c>
      <x:c r="C39" s="18" t="str">
        <x:v>EMP006</x:v>
      </x:c>
      <x:c r="D39" s="18" t="str">
        <x:v>CY2025Q1</x:v>
      </x:c>
      <x:c r="E39" s="18" t="str">
        <x:v>BR002</x:v>
      </x:c>
      <x:c r="F39" s="20" t="n">
        <x:v>45729.5</x:v>
      </x:c>
      <x:c r="G39" s="18" t="str">
        <x:v>Funded</x:v>
      </x:c>
      <x:c r="H39" s="23" t="n">
        <x:v>54500</x:v>
      </x:c>
      <x:c r="I39" s="18" t="str">
        <x:v>Home improvement loan</x:v>
      </x:c>
      <x:c r="J39" s="18" t="str">
        <x:v>Referral</x:v>
      </x:c>
      <x:c r="K39" s="20" t="n">
        <x:v>45740.5</x:v>
      </x:c>
    </x:row>
    <x:row r="40" ht="15" hidden="0" customHeight="1">
      <x:c r="A40" s="18" t="str">
        <x:v>LN000039</x:v>
      </x:c>
      <x:c r="B40" s="18" t="str">
        <x:v>LOS-SYN-0000039</x:v>
      </x:c>
      <x:c r="C40" s="18" t="str">
        <x:v>EMP006</x:v>
      </x:c>
      <x:c r="D40" s="18" t="str">
        <x:v>CY2025Q1</x:v>
      </x:c>
      <x:c r="E40" s="18" t="str">
        <x:v>BR002</x:v>
      </x:c>
      <x:c r="F40" s="20" t="n">
        <x:v>45732.5</x:v>
      </x:c>
      <x:c r="G40" s="18" t="str">
        <x:v>Funded</x:v>
      </x:c>
      <x:c r="H40" s="23" t="n">
        <x:v>36500</x:v>
      </x:c>
      <x:c r="I40" s="18" t="str">
        <x:v>Home improvement loan</x:v>
      </x:c>
      <x:c r="J40" s="18" t="str">
        <x:v>Referral</x:v>
      </x:c>
      <x:c r="K40" s="20" t="n">
        <x:v>45741.5</x:v>
      </x:c>
    </x:row>
    <x:row r="41" ht="15" hidden="0" customHeight="1">
      <x:c r="A41" s="18" t="str">
        <x:v>LN000040</x:v>
      </x:c>
      <x:c r="B41" s="18" t="str">
        <x:v>LOS-SYN-0000040</x:v>
      </x:c>
      <x:c r="C41" s="18" t="str">
        <x:v>EMP006</x:v>
      </x:c>
      <x:c r="D41" s="18" t="str">
        <x:v>CY2025Q1</x:v>
      </x:c>
      <x:c r="E41" s="18" t="str">
        <x:v>BR002</x:v>
      </x:c>
      <x:c r="F41" s="20" t="n">
        <x:v>45667.5</x:v>
      </x:c>
      <x:c r="G41" s="18" t="str">
        <x:v>Funded</x:v>
      </x:c>
      <x:c r="H41" s="23" t="n">
        <x:v>47500</x:v>
      </x:c>
      <x:c r="I41" s="18" t="str">
        <x:v>Personal loan</x:v>
      </x:c>
      <x:c r="J41" s="18" t="str">
        <x:v>New customer</x:v>
      </x:c>
      <x:c r="K41" s="20" t="n">
        <x:v>45670.5</x:v>
      </x:c>
    </x:row>
    <x:row r="42" ht="15" hidden="0" customHeight="1">
      <x:c r="A42" s="18" t="str">
        <x:v>LN000041</x:v>
      </x:c>
      <x:c r="B42" s="18" t="str">
        <x:v>LOS-SYN-0000041</x:v>
      </x:c>
      <x:c r="C42" s="18" t="str">
        <x:v>EMP006</x:v>
      </x:c>
      <x:c r="D42" s="18" t="str">
        <x:v>CY2025Q1</x:v>
      </x:c>
      <x:c r="E42" s="18" t="str">
        <x:v>BR002</x:v>
      </x:c>
      <x:c r="F42" s="20" t="n">
        <x:v>45709.5</x:v>
      </x:c>
      <x:c r="G42" s="18" t="str">
        <x:v>Funded</x:v>
      </x:c>
      <x:c r="H42" s="23" t="n">
        <x:v>50500</x:v>
      </x:c>
      <x:c r="I42" s="18" t="str">
        <x:v>Home improvement loan</x:v>
      </x:c>
      <x:c r="J42" s="18" t="str">
        <x:v>Existing customer</x:v>
      </x:c>
      <x:c r="K42" s="20" t="n">
        <x:v>45717.5</x:v>
      </x:c>
    </x:row>
    <x:row r="43" ht="15" hidden="0" customHeight="1">
      <x:c r="A43" s="18" t="str">
        <x:v>LN000042</x:v>
      </x:c>
      <x:c r="B43" s="18" t="str">
        <x:v>LOS-SYN-0000042</x:v>
      </x:c>
      <x:c r="C43" s="18" t="str">
        <x:v>EMP006</x:v>
      </x:c>
      <x:c r="D43" s="18" t="str">
        <x:v>CY2025Q1</x:v>
      </x:c>
      <x:c r="E43" s="18" t="str">
        <x:v>BR002</x:v>
      </x:c>
      <x:c r="F43" s="20" t="n">
        <x:v>45673.5</x:v>
      </x:c>
      <x:c r="G43" s="18" t="str">
        <x:v>Funded</x:v>
      </x:c>
      <x:c r="H43" s="23" t="n">
        <x:v>33000</x:v>
      </x:c>
      <x:c r="I43" s="18" t="str">
        <x:v>Auto loan</x:v>
      </x:c>
      <x:c r="J43" s="18" t="str">
        <x:v>New customer</x:v>
      </x:c>
      <x:c r="K43" s="20" t="n">
        <x:v>45681.5</x:v>
      </x:c>
    </x:row>
    <x:row r="44" ht="15" hidden="0" customHeight="1">
      <x:c r="A44" s="18" t="str">
        <x:v>LN000043</x:v>
      </x:c>
      <x:c r="B44" s="18" t="str">
        <x:v>LOS-SYN-0000043</x:v>
      </x:c>
      <x:c r="C44" s="18" t="str">
        <x:v>EMP006</x:v>
      </x:c>
      <x:c r="D44" s="18" t="str">
        <x:v>CY2025Q1</x:v>
      </x:c>
      <x:c r="E44" s="18" t="str">
        <x:v>BR002</x:v>
      </x:c>
      <x:c r="F44" s="20" t="n">
        <x:v>45665.5</x:v>
      </x:c>
      <x:c r="G44" s="18" t="str">
        <x:v>Funded</x:v>
      </x:c>
      <x:c r="H44" s="23" t="n">
        <x:v>47500</x:v>
      </x:c>
      <x:c r="I44" s="18" t="str">
        <x:v>Auto loan</x:v>
      </x:c>
      <x:c r="J44" s="18" t="str">
        <x:v>Referral</x:v>
      </x:c>
      <x:c r="K44" s="20" t="n">
        <x:v>45672.5</x:v>
      </x:c>
    </x:row>
    <x:row r="45" ht="15" hidden="0" customHeight="1">
      <x:c r="A45" s="18" t="str">
        <x:v>LN000044</x:v>
      </x:c>
      <x:c r="B45" s="18" t="str">
        <x:v>LOS-SYN-0000044</x:v>
      </x:c>
      <x:c r="C45" s="18" t="str">
        <x:v>EMP006</x:v>
      </x:c>
      <x:c r="D45" s="18" t="str">
        <x:v>CY2025Q1</x:v>
      </x:c>
      <x:c r="E45" s="18" t="str">
        <x:v>BR002</x:v>
      </x:c>
      <x:c r="F45" s="20" t="n">
        <x:v>45675.5</x:v>
      </x:c>
      <x:c r="G45" s="18" t="str">
        <x:v>Funded</x:v>
      </x:c>
      <x:c r="H45" s="23" t="n">
        <x:v>50500</x:v>
      </x:c>
      <x:c r="I45" s="18" t="str">
        <x:v>Home improvement loan</x:v>
      </x:c>
      <x:c r="J45" s="18" t="str">
        <x:v>Referral</x:v>
      </x:c>
      <x:c r="K45" s="20" t="n">
        <x:v>45679.5</x:v>
      </x:c>
    </x:row>
    <x:row r="46" ht="15" hidden="0" customHeight="1">
      <x:c r="A46" s="18" t="str">
        <x:v>LN000045</x:v>
      </x:c>
      <x:c r="B46" s="18" t="str">
        <x:v>LOS-SYN-0000045</x:v>
      </x:c>
      <x:c r="C46" s="18" t="str">
        <x:v>EMP006</x:v>
      </x:c>
      <x:c r="D46" s="18" t="str">
        <x:v>CY2025Q1</x:v>
      </x:c>
      <x:c r="E46" s="18" t="str">
        <x:v>BR002</x:v>
      </x:c>
      <x:c r="F46" s="20" t="n">
        <x:v>45686.5</x:v>
      </x:c>
      <x:c r="G46" s="18" t="str">
        <x:v>Funded</x:v>
      </x:c>
      <x:c r="H46" s="23" t="n">
        <x:v>29000</x:v>
      </x:c>
      <x:c r="I46" s="18" t="str">
        <x:v>Personal loan</x:v>
      </x:c>
      <x:c r="J46" s="18" t="str">
        <x:v>New customer</x:v>
      </x:c>
      <x:c r="K46" s="20" t="n">
        <x:v>45698.5</x:v>
      </x:c>
    </x:row>
    <x:row r="47" ht="15" hidden="0" customHeight="1">
      <x:c r="A47" s="18" t="str">
        <x:v>LN000046</x:v>
      </x:c>
      <x:c r="B47" s="18" t="str">
        <x:v>LOS-SYN-0000046</x:v>
      </x:c>
      <x:c r="C47" s="18" t="str">
        <x:v>EMP006</x:v>
      </x:c>
      <x:c r="D47" s="18" t="str">
        <x:v>CY2025Q1</x:v>
      </x:c>
      <x:c r="E47" s="18" t="str">
        <x:v>BR002</x:v>
      </x:c>
      <x:c r="F47" s="20" t="n">
        <x:v>45697.5</x:v>
      </x:c>
      <x:c r="G47" s="18" t="str">
        <x:v>Funded</x:v>
      </x:c>
      <x:c r="H47" s="23" t="n">
        <x:v>48000</x:v>
      </x:c>
      <x:c r="I47" s="18" t="str">
        <x:v>Debt consolidation loan</x:v>
      </x:c>
      <x:c r="J47" s="18" t="str">
        <x:v>Existing customer</x:v>
      </x:c>
      <x:c r="K47" s="20" t="n">
        <x:v>45705.5</x:v>
      </x:c>
    </x:row>
    <x:row r="48" ht="15" hidden="0" customHeight="1">
      <x:c r="A48" s="18" t="str">
        <x:v>LN000047</x:v>
      </x:c>
      <x:c r="B48" s="18" t="str">
        <x:v>LOS-SYN-0000047</x:v>
      </x:c>
      <x:c r="C48" s="18" t="str">
        <x:v>EMP007</x:v>
      </x:c>
      <x:c r="D48" s="18" t="str">
        <x:v>CY2025Q1</x:v>
      </x:c>
      <x:c r="E48" s="18" t="str">
        <x:v>BR003</x:v>
      </x:c>
      <x:c r="F48" s="20" t="n">
        <x:v>45680.5</x:v>
      </x:c>
      <x:c r="G48" s="18" t="str">
        <x:v>Funded</x:v>
      </x:c>
      <x:c r="H48" s="23" t="n">
        <x:v>35500</x:v>
      </x:c>
      <x:c r="I48" s="18" t="str">
        <x:v>Debt consolidation loan</x:v>
      </x:c>
      <x:c r="J48" s="18" t="str">
        <x:v>Existing customer</x:v>
      </x:c>
      <x:c r="K48" s="20" t="n">
        <x:v>45692.5</x:v>
      </x:c>
    </x:row>
    <x:row r="49" ht="15" hidden="0" customHeight="1">
      <x:c r="A49" s="18" t="str">
        <x:v>LN000048</x:v>
      </x:c>
      <x:c r="B49" s="18" t="str">
        <x:v>LOS-SYN-0000048</x:v>
      </x:c>
      <x:c r="C49" s="18" t="str">
        <x:v>EMP007</x:v>
      </x:c>
      <x:c r="D49" s="18" t="str">
        <x:v>CY2025Q1</x:v>
      </x:c>
      <x:c r="E49" s="18" t="str">
        <x:v>BR003</x:v>
      </x:c>
      <x:c r="F49" s="20" t="n">
        <x:v>45693.5</x:v>
      </x:c>
      <x:c r="G49" s="18" t="str">
        <x:v>Funded</x:v>
      </x:c>
      <x:c r="H49" s="23" t="n">
        <x:v>36000</x:v>
      </x:c>
      <x:c r="I49" s="18" t="str">
        <x:v>Debt consolidation loan</x:v>
      </x:c>
      <x:c r="J49" s="18" t="str">
        <x:v>Existing customer</x:v>
      </x:c>
      <x:c r="K49" s="20" t="n">
        <x:v>45703.5</x:v>
      </x:c>
    </x:row>
    <x:row r="50" ht="15" hidden="0" customHeight="1">
      <x:c r="A50" s="18" t="str">
        <x:v>LN000049</x:v>
      </x:c>
      <x:c r="B50" s="18" t="str">
        <x:v>LOS-SYN-0000049</x:v>
      </x:c>
      <x:c r="C50" s="18" t="str">
        <x:v>EMP007</x:v>
      </x:c>
      <x:c r="D50" s="18" t="str">
        <x:v>CY2025Q1</x:v>
      </x:c>
      <x:c r="E50" s="18" t="str">
        <x:v>BR003</x:v>
      </x:c>
      <x:c r="F50" s="20" t="n">
        <x:v>45664.5</x:v>
      </x:c>
      <x:c r="G50" s="18" t="str">
        <x:v>Funded</x:v>
      </x:c>
      <x:c r="H50" s="23" t="n">
        <x:v>40000</x:v>
      </x:c>
      <x:c r="I50" s="18" t="str">
        <x:v>Debt consolidation loan</x:v>
      </x:c>
      <x:c r="J50" s="18" t="str">
        <x:v>Referral</x:v>
      </x:c>
      <x:c r="K50" s="20" t="n">
        <x:v>45674.5</x:v>
      </x:c>
    </x:row>
    <x:row r="51" ht="15" hidden="0" customHeight="1">
      <x:c r="A51" s="18" t="str">
        <x:v>LN000050</x:v>
      </x:c>
      <x:c r="B51" s="18" t="str">
        <x:v>LOS-SYN-0000050</x:v>
      </x:c>
      <x:c r="C51" s="18" t="str">
        <x:v>EMP007</x:v>
      </x:c>
      <x:c r="D51" s="18" t="str">
        <x:v>CY2025Q1</x:v>
      </x:c>
      <x:c r="E51" s="18" t="str">
        <x:v>BR003</x:v>
      </x:c>
      <x:c r="F51" s="20" t="n">
        <x:v>45697.5</x:v>
      </x:c>
      <x:c r="G51" s="18" t="str">
        <x:v>Funded</x:v>
      </x:c>
      <x:c r="H51" s="23" t="n">
        <x:v>34500</x:v>
      </x:c>
      <x:c r="I51" s="18" t="str">
        <x:v>Personal loan</x:v>
      </x:c>
      <x:c r="J51" s="18" t="str">
        <x:v>Existing customer</x:v>
      </x:c>
      <x:c r="K51" s="20" t="n">
        <x:v>45704.5</x:v>
      </x:c>
    </x:row>
    <x:row r="52" ht="15" hidden="0" customHeight="1">
      <x:c r="A52" s="18" t="str">
        <x:v>LN000051</x:v>
      </x:c>
      <x:c r="B52" s="18" t="str">
        <x:v>LOS-SYN-0000051</x:v>
      </x:c>
      <x:c r="C52" s="18" t="str">
        <x:v>EMP007</x:v>
      </x:c>
      <x:c r="D52" s="18" t="str">
        <x:v>CY2025Q1</x:v>
      </x:c>
      <x:c r="E52" s="18" t="str">
        <x:v>BR003</x:v>
      </x:c>
      <x:c r="F52" s="20" t="n">
        <x:v>45694.5</x:v>
      </x:c>
      <x:c r="G52" s="18" t="str">
        <x:v>Funded</x:v>
      </x:c>
      <x:c r="H52" s="23" t="n">
        <x:v>42000</x:v>
      </x:c>
      <x:c r="I52" s="18" t="str">
        <x:v>Personal loan</x:v>
      </x:c>
      <x:c r="J52" s="18" t="str">
        <x:v>Existing customer</x:v>
      </x:c>
      <x:c r="K52" s="20" t="n">
        <x:v>45697.5</x:v>
      </x:c>
    </x:row>
    <x:row r="53" ht="15" hidden="0" customHeight="1">
      <x:c r="A53" s="18" t="str">
        <x:v>LN000052</x:v>
      </x:c>
      <x:c r="B53" s="18" t="str">
        <x:v>LOS-SYN-0000052</x:v>
      </x:c>
      <x:c r="C53" s="18" t="str">
        <x:v>EMP007</x:v>
      </x:c>
      <x:c r="D53" s="18" t="str">
        <x:v>CY2025Q1</x:v>
      </x:c>
      <x:c r="E53" s="18" t="str">
        <x:v>BR003</x:v>
      </x:c>
      <x:c r="F53" s="20" t="n">
        <x:v>45736.5</x:v>
      </x:c>
      <x:c r="G53" s="18" t="str">
        <x:v>Funded</x:v>
      </x:c>
      <x:c r="H53" s="23" t="n">
        <x:v>49000</x:v>
      </x:c>
      <x:c r="I53" s="18" t="str">
        <x:v>Personal loan</x:v>
      </x:c>
      <x:c r="J53" s="18" t="str">
        <x:v>Referral</x:v>
      </x:c>
      <x:c r="K53" s="20" t="n">
        <x:v>45743.5</x:v>
      </x:c>
    </x:row>
    <x:row r="54" ht="15" hidden="0" customHeight="1">
      <x:c r="A54" s="18" t="str">
        <x:v>LN000053</x:v>
      </x:c>
      <x:c r="B54" s="18" t="str">
        <x:v>LOS-SYN-0000053</x:v>
      </x:c>
      <x:c r="C54" s="18" t="str">
        <x:v>EMP007</x:v>
      </x:c>
      <x:c r="D54" s="18" t="str">
        <x:v>CY2025Q1</x:v>
      </x:c>
      <x:c r="E54" s="18" t="str">
        <x:v>BR003</x:v>
      </x:c>
      <x:c r="F54" s="20" t="n">
        <x:v>45747.5</x:v>
      </x:c>
      <x:c r="G54" s="18" t="str">
        <x:v>Cancelled</x:v>
      </x:c>
      <x:c r="H54" s="23" t="n">
        <x:v>61000</x:v>
      </x:c>
      <x:c r="I54" s="18" t="str">
        <x:v>Personal loan</x:v>
      </x:c>
      <x:c r="J54" s="18" t="str">
        <x:v>New customer</x:v>
      </x:c>
      <x:c r="K54" s="20"/>
    </x:row>
    <x:row r="55" ht="15" hidden="0" customHeight="1">
      <x:c r="A55" s="18" t="str">
        <x:v>LN000054</x:v>
      </x:c>
      <x:c r="B55" s="18" t="str">
        <x:v>LOS-SYN-0000054</x:v>
      </x:c>
      <x:c r="C55" s="18" t="str">
        <x:v>EMP008</x:v>
      </x:c>
      <x:c r="D55" s="18" t="str">
        <x:v>CY2025Q1</x:v>
      </x:c>
      <x:c r="E55" s="18" t="str">
        <x:v>BR003</x:v>
      </x:c>
      <x:c r="F55" s="20" t="n">
        <x:v>45730.5</x:v>
      </x:c>
      <x:c r="G55" s="18" t="str">
        <x:v>Funded</x:v>
      </x:c>
      <x:c r="H55" s="23" t="n">
        <x:v>40500</x:v>
      </x:c>
      <x:c r="I55" s="18" t="str">
        <x:v>Auto loan</x:v>
      </x:c>
      <x:c r="J55" s="18" t="str">
        <x:v>New customer</x:v>
      </x:c>
      <x:c r="K55" s="20" t="n">
        <x:v>45736.5</x:v>
      </x:c>
    </x:row>
    <x:row r="56" ht="15" hidden="0" customHeight="1">
      <x:c r="A56" s="18" t="str">
        <x:v>LN000055</x:v>
      </x:c>
      <x:c r="B56" s="18" t="str">
        <x:v>LOS-SYN-0000055</x:v>
      </x:c>
      <x:c r="C56" s="18" t="str">
        <x:v>EMP008</x:v>
      </x:c>
      <x:c r="D56" s="18" t="str">
        <x:v>CY2025Q1</x:v>
      </x:c>
      <x:c r="E56" s="18" t="str">
        <x:v>BR003</x:v>
      </x:c>
      <x:c r="F56" s="20" t="n">
        <x:v>45677.5</x:v>
      </x:c>
      <x:c r="G56" s="18" t="str">
        <x:v>Funded</x:v>
      </x:c>
      <x:c r="H56" s="23" t="n">
        <x:v>46500</x:v>
      </x:c>
      <x:c r="I56" s="18" t="str">
        <x:v>Personal loan</x:v>
      </x:c>
      <x:c r="J56" s="18" t="str">
        <x:v>New customer</x:v>
      </x:c>
      <x:c r="K56" s="20" t="n">
        <x:v>45687.5</x:v>
      </x:c>
    </x:row>
    <x:row r="57" ht="15" hidden="0" customHeight="1">
      <x:c r="A57" s="18" t="str">
        <x:v>LN000056</x:v>
      </x:c>
      <x:c r="B57" s="18" t="str">
        <x:v>LOS-SYN-0000056</x:v>
      </x:c>
      <x:c r="C57" s="18" t="str">
        <x:v>EMP008</x:v>
      </x:c>
      <x:c r="D57" s="18" t="str">
        <x:v>CY2025Q1</x:v>
      </x:c>
      <x:c r="E57" s="18" t="str">
        <x:v>BR003</x:v>
      </x:c>
      <x:c r="F57" s="20" t="n">
        <x:v>45661.5</x:v>
      </x:c>
      <x:c r="G57" s="18" t="str">
        <x:v>Funded</x:v>
      </x:c>
      <x:c r="H57" s="23" t="n">
        <x:v>47500</x:v>
      </x:c>
      <x:c r="I57" s="18" t="str">
        <x:v>Debt consolidation loan</x:v>
      </x:c>
      <x:c r="J57" s="18" t="str">
        <x:v>Existing customer</x:v>
      </x:c>
      <x:c r="K57" s="20" t="n">
        <x:v>45665.5</x:v>
      </x:c>
    </x:row>
    <x:row r="58" ht="15" hidden="0" customHeight="1">
      <x:c r="A58" s="18" t="str">
        <x:v>LN000057</x:v>
      </x:c>
      <x:c r="B58" s="18" t="str">
        <x:v>LOS-SYN-0000057</x:v>
      </x:c>
      <x:c r="C58" s="18" t="str">
        <x:v>EMP008</x:v>
      </x:c>
      <x:c r="D58" s="18" t="str">
        <x:v>CY2025Q1</x:v>
      </x:c>
      <x:c r="E58" s="18" t="str">
        <x:v>BR003</x:v>
      </x:c>
      <x:c r="F58" s="20" t="n">
        <x:v>45686.5</x:v>
      </x:c>
      <x:c r="G58" s="18" t="str">
        <x:v>Funded</x:v>
      </x:c>
      <x:c r="H58" s="23" t="n">
        <x:v>57500</x:v>
      </x:c>
      <x:c r="I58" s="18" t="str">
        <x:v>Auto loan</x:v>
      </x:c>
      <x:c r="J58" s="18" t="str">
        <x:v>Referral</x:v>
      </x:c>
      <x:c r="K58" s="20" t="n">
        <x:v>45693.5</x:v>
      </x:c>
    </x:row>
    <x:row r="59" ht="15" hidden="0" customHeight="1">
      <x:c r="A59" s="18" t="str">
        <x:v>LN000058</x:v>
      </x:c>
      <x:c r="B59" s="18" t="str">
        <x:v>LOS-SYN-0000058</x:v>
      </x:c>
      <x:c r="C59" s="18" t="str">
        <x:v>EMP009</x:v>
      </x:c>
      <x:c r="D59" s="18" t="str">
        <x:v>CY2025Q1</x:v>
      </x:c>
      <x:c r="E59" s="18" t="str">
        <x:v>BR004</x:v>
      </x:c>
      <x:c r="F59" s="20" t="n">
        <x:v>45665.5</x:v>
      </x:c>
      <x:c r="G59" s="18" t="str">
        <x:v>Funded</x:v>
      </x:c>
      <x:c r="H59" s="23" t="n">
        <x:v>33000</x:v>
      </x:c>
      <x:c r="I59" s="18" t="str">
        <x:v>Debt consolidation loan</x:v>
      </x:c>
      <x:c r="J59" s="18" t="str">
        <x:v>New customer</x:v>
      </x:c>
      <x:c r="K59" s="20" t="n">
        <x:v>45672.5</x:v>
      </x:c>
    </x:row>
    <x:row r="60" ht="15" hidden="0" customHeight="1">
      <x:c r="A60" s="18" t="str">
        <x:v>LN000059</x:v>
      </x:c>
      <x:c r="B60" s="18" t="str">
        <x:v>LOS-SYN-0000059</x:v>
      </x:c>
      <x:c r="C60" s="18" t="str">
        <x:v>EMP009</x:v>
      </x:c>
      <x:c r="D60" s="18" t="str">
        <x:v>CY2025Q1</x:v>
      </x:c>
      <x:c r="E60" s="18" t="str">
        <x:v>BR004</x:v>
      </x:c>
      <x:c r="F60" s="20" t="n">
        <x:v>45722.5</x:v>
      </x:c>
      <x:c r="G60" s="18" t="str">
        <x:v>Funded</x:v>
      </x:c>
      <x:c r="H60" s="23" t="n">
        <x:v>45000</x:v>
      </x:c>
      <x:c r="I60" s="18" t="str">
        <x:v>Debt consolidation loan</x:v>
      </x:c>
      <x:c r="J60" s="18" t="str">
        <x:v>New customer</x:v>
      </x:c>
      <x:c r="K60" s="20" t="n">
        <x:v>45734.5</x:v>
      </x:c>
    </x:row>
    <x:row r="61" ht="15" hidden="0" customHeight="1">
      <x:c r="A61" s="18" t="str">
        <x:v>LN000060</x:v>
      </x:c>
      <x:c r="B61" s="18" t="str">
        <x:v>LOS-SYN-0000060</x:v>
      </x:c>
      <x:c r="C61" s="18" t="str">
        <x:v>EMP009</x:v>
      </x:c>
      <x:c r="D61" s="18" t="str">
        <x:v>CY2025Q1</x:v>
      </x:c>
      <x:c r="E61" s="18" t="str">
        <x:v>BR004</x:v>
      </x:c>
      <x:c r="F61" s="20" t="n">
        <x:v>45667.5</x:v>
      </x:c>
      <x:c r="G61" s="18" t="str">
        <x:v>Funded</x:v>
      </x:c>
      <x:c r="H61" s="23" t="n">
        <x:v>34500</x:v>
      </x:c>
      <x:c r="I61" s="18" t="str">
        <x:v>Personal loan</x:v>
      </x:c>
      <x:c r="J61" s="18" t="str">
        <x:v>New customer</x:v>
      </x:c>
      <x:c r="K61" s="20" t="n">
        <x:v>45679.5</x:v>
      </x:c>
    </x:row>
    <x:row r="62" ht="15" hidden="0" customHeight="1">
      <x:c r="A62" s="18" t="str">
        <x:v>LN000061</x:v>
      </x:c>
      <x:c r="B62" s="18" t="str">
        <x:v>LOS-SYN-0000061</x:v>
      </x:c>
      <x:c r="C62" s="18" t="str">
        <x:v>EMP009</x:v>
      </x:c>
      <x:c r="D62" s="18" t="str">
        <x:v>CY2025Q1</x:v>
      </x:c>
      <x:c r="E62" s="18" t="str">
        <x:v>BR004</x:v>
      </x:c>
      <x:c r="F62" s="20" t="n">
        <x:v>45693.5</x:v>
      </x:c>
      <x:c r="G62" s="18" t="str">
        <x:v>Funded</x:v>
      </x:c>
      <x:c r="H62" s="23" t="n">
        <x:v>46000</x:v>
      </x:c>
      <x:c r="I62" s="18" t="str">
        <x:v>Home improvement loan</x:v>
      </x:c>
      <x:c r="J62" s="18" t="str">
        <x:v>Referral</x:v>
      </x:c>
      <x:c r="K62" s="20" t="n">
        <x:v>45702.5</x:v>
      </x:c>
    </x:row>
    <x:row r="63" ht="15" hidden="0" customHeight="1">
      <x:c r="A63" s="18" t="str">
        <x:v>LN000062</x:v>
      </x:c>
      <x:c r="B63" s="18" t="str">
        <x:v>LOS-SYN-0000062</x:v>
      </x:c>
      <x:c r="C63" s="18" t="str">
        <x:v>EMP009</x:v>
      </x:c>
      <x:c r="D63" s="18" t="str">
        <x:v>CY2025Q1</x:v>
      </x:c>
      <x:c r="E63" s="18" t="str">
        <x:v>BR004</x:v>
      </x:c>
      <x:c r="F63" s="20" t="n">
        <x:v>45700.5</x:v>
      </x:c>
      <x:c r="G63" s="18" t="str">
        <x:v>Funded</x:v>
      </x:c>
      <x:c r="H63" s="23" t="n">
        <x:v>47000</x:v>
      </x:c>
      <x:c r="I63" s="18" t="str">
        <x:v>Home improvement loan</x:v>
      </x:c>
      <x:c r="J63" s="18" t="str">
        <x:v>New customer</x:v>
      </x:c>
      <x:c r="K63" s="20" t="n">
        <x:v>45711.5</x:v>
      </x:c>
    </x:row>
    <x:row r="64" ht="15" hidden="0" customHeight="1">
      <x:c r="A64" s="18" t="str">
        <x:v>LN000063</x:v>
      </x:c>
      <x:c r="B64" s="18" t="str">
        <x:v>LOS-SYN-0000063</x:v>
      </x:c>
      <x:c r="C64" s="18" t="str">
        <x:v>EMP009</x:v>
      </x:c>
      <x:c r="D64" s="18" t="str">
        <x:v>CY2025Q1</x:v>
      </x:c>
      <x:c r="E64" s="18" t="str">
        <x:v>BR004</x:v>
      </x:c>
      <x:c r="F64" s="20" t="n">
        <x:v>45734.5</x:v>
      </x:c>
      <x:c r="G64" s="18" t="str">
        <x:v>Funded</x:v>
      </x:c>
      <x:c r="H64" s="23" t="n">
        <x:v>33000</x:v>
      </x:c>
      <x:c r="I64" s="18" t="str">
        <x:v>Auto loan</x:v>
      </x:c>
      <x:c r="J64" s="18" t="str">
        <x:v>Referral</x:v>
      </x:c>
      <x:c r="K64" s="20" t="n">
        <x:v>45744.5</x:v>
      </x:c>
    </x:row>
    <x:row r="65" ht="15" hidden="0" customHeight="1">
      <x:c r="A65" s="18" t="str">
        <x:v>LN000064</x:v>
      </x:c>
      <x:c r="B65" s="18" t="str">
        <x:v>LOS-SYN-0000064</x:v>
      </x:c>
      <x:c r="C65" s="18" t="str">
        <x:v>EMP009</x:v>
      </x:c>
      <x:c r="D65" s="18" t="str">
        <x:v>CY2025Q1</x:v>
      </x:c>
      <x:c r="E65" s="18" t="str">
        <x:v>BR004</x:v>
      </x:c>
      <x:c r="F65" s="20" t="n">
        <x:v>45688.5</x:v>
      </x:c>
      <x:c r="G65" s="18" t="str">
        <x:v>Funded</x:v>
      </x:c>
      <x:c r="H65" s="23" t="n">
        <x:v>45000</x:v>
      </x:c>
      <x:c r="I65" s="18" t="str">
        <x:v>Personal loan</x:v>
      </x:c>
      <x:c r="J65" s="18" t="str">
        <x:v>New customer</x:v>
      </x:c>
      <x:c r="K65" s="20" t="n">
        <x:v>45692.5</x:v>
      </x:c>
    </x:row>
    <x:row r="66" ht="15" hidden="0" customHeight="1">
      <x:c r="A66" s="18" t="str">
        <x:v>LN000065</x:v>
      </x:c>
      <x:c r="B66" s="18" t="str">
        <x:v>LOS-SYN-0000065</x:v>
      </x:c>
      <x:c r="C66" s="18" t="str">
        <x:v>EMP009</x:v>
      </x:c>
      <x:c r="D66" s="18" t="str">
        <x:v>CY2025Q1</x:v>
      </x:c>
      <x:c r="E66" s="18" t="str">
        <x:v>BR004</x:v>
      </x:c>
      <x:c r="F66" s="20" t="n">
        <x:v>45672.5</x:v>
      </x:c>
      <x:c r="G66" s="18" t="str">
        <x:v>Funded</x:v>
      </x:c>
      <x:c r="H66" s="23" t="n">
        <x:v>45000</x:v>
      </x:c>
      <x:c r="I66" s="18" t="str">
        <x:v>Home improvement loan</x:v>
      </x:c>
      <x:c r="J66" s="18" t="str">
        <x:v>Existing customer</x:v>
      </x:c>
      <x:c r="K66" s="20" t="n">
        <x:v>45676.5</x:v>
      </x:c>
    </x:row>
    <x:row r="67" ht="15" hidden="0" customHeight="1">
      <x:c r="A67" s="18" t="str">
        <x:v>LN000066</x:v>
      </x:c>
      <x:c r="B67" s="18" t="str">
        <x:v>LOS-SYN-0000066</x:v>
      </x:c>
      <x:c r="C67" s="18" t="str">
        <x:v>EMP009</x:v>
      </x:c>
      <x:c r="D67" s="18" t="str">
        <x:v>CY2025Q1</x:v>
      </x:c>
      <x:c r="E67" s="18" t="str">
        <x:v>BR004</x:v>
      </x:c>
      <x:c r="F67" s="20" t="n">
        <x:v>45691.5</x:v>
      </x:c>
      <x:c r="G67" s="18" t="str">
        <x:v>Funded</x:v>
      </x:c>
      <x:c r="H67" s="23" t="n">
        <x:v>44500</x:v>
      </x:c>
      <x:c r="I67" s="18" t="str">
        <x:v>Personal loan</x:v>
      </x:c>
      <x:c r="J67" s="18" t="str">
        <x:v>New customer</x:v>
      </x:c>
      <x:c r="K67" s="20" t="n">
        <x:v>45702.5</x:v>
      </x:c>
    </x:row>
    <x:row r="68" ht="15" hidden="0" customHeight="1">
      <x:c r="A68" s="18" t="str">
        <x:v>LN000067</x:v>
      </x:c>
      <x:c r="B68" s="18" t="str">
        <x:v>LOS-SYN-0000067</x:v>
      </x:c>
      <x:c r="C68" s="18" t="str">
        <x:v>EMP009</x:v>
      </x:c>
      <x:c r="D68" s="18" t="str">
        <x:v>CY2025Q1</x:v>
      </x:c>
      <x:c r="E68" s="18" t="str">
        <x:v>BR004</x:v>
      </x:c>
      <x:c r="F68" s="20" t="n">
        <x:v>45736.5</x:v>
      </x:c>
      <x:c r="G68" s="18" t="str">
        <x:v>Funded</x:v>
      </x:c>
      <x:c r="H68" s="23" t="n">
        <x:v>32000</x:v>
      </x:c>
      <x:c r="I68" s="18" t="str">
        <x:v>Personal loan</x:v>
      </x:c>
      <x:c r="J68" s="18" t="str">
        <x:v>Existing customer</x:v>
      </x:c>
      <x:c r="K68" s="20" t="n">
        <x:v>45746.5</x:v>
      </x:c>
    </x:row>
    <x:row r="69" ht="15" hidden="0" customHeight="1">
      <x:c r="A69" s="18" t="str">
        <x:v>LN000068</x:v>
      </x:c>
      <x:c r="B69" s="18" t="str">
        <x:v>LOS-SYN-0000068</x:v>
      </x:c>
      <x:c r="C69" s="18" t="str">
        <x:v>EMP009</x:v>
      </x:c>
      <x:c r="D69" s="18" t="str">
        <x:v>CY2025Q1</x:v>
      </x:c>
      <x:c r="E69" s="18" t="str">
        <x:v>BR004</x:v>
      </x:c>
      <x:c r="F69" s="20" t="n">
        <x:v>45711.5</x:v>
      </x:c>
      <x:c r="G69" s="18" t="str">
        <x:v>Funded</x:v>
      </x:c>
      <x:c r="H69" s="23" t="n">
        <x:v>42500</x:v>
      </x:c>
      <x:c r="I69" s="18" t="str">
        <x:v>Home improvement loan</x:v>
      </x:c>
      <x:c r="J69" s="18" t="str">
        <x:v>New customer</x:v>
      </x:c>
      <x:c r="K69" s="20" t="n">
        <x:v>45718.5</x:v>
      </x:c>
    </x:row>
    <x:row r="70" ht="15" hidden="0" customHeight="1">
      <x:c r="A70" s="18" t="str">
        <x:v>LN000069</x:v>
      </x:c>
      <x:c r="B70" s="18" t="str">
        <x:v>LOS-SYN-0000069</x:v>
      </x:c>
      <x:c r="C70" s="18" t="str">
        <x:v>EMP009</x:v>
      </x:c>
      <x:c r="D70" s="18" t="str">
        <x:v>CY2025Q1</x:v>
      </x:c>
      <x:c r="E70" s="18" t="str">
        <x:v>BR004</x:v>
      </x:c>
      <x:c r="F70" s="20" t="n">
        <x:v>45738.5</x:v>
      </x:c>
      <x:c r="G70" s="18" t="str">
        <x:v>Funded</x:v>
      </x:c>
      <x:c r="H70" s="23" t="n">
        <x:v>26500</x:v>
      </x:c>
      <x:c r="I70" s="18" t="str">
        <x:v>Personal loan</x:v>
      </x:c>
      <x:c r="J70" s="18" t="str">
        <x:v>Existing customer</x:v>
      </x:c>
      <x:c r="K70" s="20" t="n">
        <x:v>45750.5</x:v>
      </x:c>
    </x:row>
    <x:row r="71" ht="15" hidden="0" customHeight="1">
      <x:c r="A71" s="18" t="str">
        <x:v>LN000070</x:v>
      </x:c>
      <x:c r="B71" s="18" t="str">
        <x:v>LOS-SYN-0000070</x:v>
      </x:c>
      <x:c r="C71" s="18" t="str">
        <x:v>EMP010</x:v>
      </x:c>
      <x:c r="D71" s="18" t="str">
        <x:v>CY2025Q1</x:v>
      </x:c>
      <x:c r="E71" s="18" t="str">
        <x:v>BR004</x:v>
      </x:c>
      <x:c r="F71" s="20" t="n">
        <x:v>45660.5</x:v>
      </x:c>
      <x:c r="G71" s="18" t="str">
        <x:v>Funded</x:v>
      </x:c>
      <x:c r="H71" s="23" t="n">
        <x:v>45500</x:v>
      </x:c>
      <x:c r="I71" s="18" t="str">
        <x:v>Personal loan</x:v>
      </x:c>
      <x:c r="J71" s="18" t="str">
        <x:v>Referral</x:v>
      </x:c>
      <x:c r="K71" s="20" t="n">
        <x:v>45671.5</x:v>
      </x:c>
    </x:row>
    <x:row r="72" ht="15" hidden="0" customHeight="1">
      <x:c r="A72" s="18" t="str">
        <x:v>LN000071</x:v>
      </x:c>
      <x:c r="B72" s="18" t="str">
        <x:v>LOS-SYN-0000071</x:v>
      </x:c>
      <x:c r="C72" s="18" t="str">
        <x:v>EMP010</x:v>
      </x:c>
      <x:c r="D72" s="18" t="str">
        <x:v>CY2025Q1</x:v>
      </x:c>
      <x:c r="E72" s="18" t="str">
        <x:v>BR004</x:v>
      </x:c>
      <x:c r="F72" s="20" t="n">
        <x:v>45714.5</x:v>
      </x:c>
      <x:c r="G72" s="18" t="str">
        <x:v>Funded</x:v>
      </x:c>
      <x:c r="H72" s="23" t="n">
        <x:v>29500</x:v>
      </x:c>
      <x:c r="I72" s="18" t="str">
        <x:v>Debt consolidation loan</x:v>
      </x:c>
      <x:c r="J72" s="18" t="str">
        <x:v>Existing customer</x:v>
      </x:c>
      <x:c r="K72" s="20" t="n">
        <x:v>45723.5</x:v>
      </x:c>
    </x:row>
    <x:row r="73" ht="15" hidden="0" customHeight="1">
      <x:c r="A73" s="18" t="str">
        <x:v>LN000072</x:v>
      </x:c>
      <x:c r="B73" s="18" t="str">
        <x:v>LOS-SYN-0000072</x:v>
      </x:c>
      <x:c r="C73" s="18" t="str">
        <x:v>EMP010</x:v>
      </x:c>
      <x:c r="D73" s="18" t="str">
        <x:v>CY2025Q1</x:v>
      </x:c>
      <x:c r="E73" s="18" t="str">
        <x:v>BR004</x:v>
      </x:c>
      <x:c r="F73" s="20" t="n">
        <x:v>45696.5</x:v>
      </x:c>
      <x:c r="G73" s="18" t="str">
        <x:v>Funded</x:v>
      </x:c>
      <x:c r="H73" s="23" t="n">
        <x:v>35000</x:v>
      </x:c>
      <x:c r="I73" s="18" t="str">
        <x:v>Debt consolidation loan</x:v>
      </x:c>
      <x:c r="J73" s="18" t="str">
        <x:v>New customer</x:v>
      </x:c>
      <x:c r="K73" s="20" t="n">
        <x:v>45703.5</x:v>
      </x:c>
    </x:row>
    <x:row r="74" ht="15" hidden="0" customHeight="1">
      <x:c r="A74" s="18" t="str">
        <x:v>LN000073</x:v>
      </x:c>
      <x:c r="B74" s="18" t="str">
        <x:v>LOS-SYN-0000073</x:v>
      </x:c>
      <x:c r="C74" s="18" t="str">
        <x:v>EMP010</x:v>
      </x:c>
      <x:c r="D74" s="18" t="str">
        <x:v>CY2025Q1</x:v>
      </x:c>
      <x:c r="E74" s="18" t="str">
        <x:v>BR004</x:v>
      </x:c>
      <x:c r="F74" s="20" t="n">
        <x:v>45702.5</x:v>
      </x:c>
      <x:c r="G74" s="18" t="str">
        <x:v>Funded</x:v>
      </x:c>
      <x:c r="H74" s="23" t="n">
        <x:v>49500</x:v>
      </x:c>
      <x:c r="I74" s="18" t="str">
        <x:v>Personal loan</x:v>
      </x:c>
      <x:c r="J74" s="18" t="str">
        <x:v>Existing customer</x:v>
      </x:c>
      <x:c r="K74" s="20" t="n">
        <x:v>45705.5</x:v>
      </x:c>
    </x:row>
    <x:row r="75" ht="15" hidden="0" customHeight="1">
      <x:c r="A75" s="18" t="str">
        <x:v>LN000074</x:v>
      </x:c>
      <x:c r="B75" s="18" t="str">
        <x:v>LOS-SYN-0000074</x:v>
      </x:c>
      <x:c r="C75" s="18" t="str">
        <x:v>EMP010</x:v>
      </x:c>
      <x:c r="D75" s="18" t="str">
        <x:v>CY2025Q1</x:v>
      </x:c>
      <x:c r="E75" s="18" t="str">
        <x:v>BR004</x:v>
      </x:c>
      <x:c r="F75" s="20" t="n">
        <x:v>45674.5</x:v>
      </x:c>
      <x:c r="G75" s="18" t="str">
        <x:v>Funded</x:v>
      </x:c>
      <x:c r="H75" s="23" t="n">
        <x:v>47000</x:v>
      </x:c>
      <x:c r="I75" s="18" t="str">
        <x:v>Home improvement loan</x:v>
      </x:c>
      <x:c r="J75" s="18" t="str">
        <x:v>Referral</x:v>
      </x:c>
      <x:c r="K75" s="20" t="n">
        <x:v>45686.5</x:v>
      </x:c>
    </x:row>
    <x:row r="76" ht="15" hidden="0" customHeight="1">
      <x:c r="A76" s="18" t="str">
        <x:v>LN000075</x:v>
      </x:c>
      <x:c r="B76" s="18" t="str">
        <x:v>LOS-SYN-0000075</x:v>
      </x:c>
      <x:c r="C76" s="18" t="str">
        <x:v>EMP010</x:v>
      </x:c>
      <x:c r="D76" s="18" t="str">
        <x:v>CY2025Q1</x:v>
      </x:c>
      <x:c r="E76" s="18" t="str">
        <x:v>BR004</x:v>
      </x:c>
      <x:c r="F76" s="20" t="n">
        <x:v>45685.5</x:v>
      </x:c>
      <x:c r="G76" s="18" t="str">
        <x:v>Funded</x:v>
      </x:c>
      <x:c r="H76" s="23" t="n">
        <x:v>28000</x:v>
      </x:c>
      <x:c r="I76" s="18" t="str">
        <x:v>Home improvement loan</x:v>
      </x:c>
      <x:c r="J76" s="18" t="str">
        <x:v>Referral</x:v>
      </x:c>
      <x:c r="K76" s="20" t="n">
        <x:v>45695.5</x:v>
      </x:c>
    </x:row>
    <x:row r="77" ht="15" hidden="0" customHeight="1">
      <x:c r="A77" s="18" t="str">
        <x:v>LN000076</x:v>
      </x:c>
      <x:c r="B77" s="18" t="str">
        <x:v>LOS-SYN-0000076</x:v>
      </x:c>
      <x:c r="C77" s="18" t="str">
        <x:v>EMP010</x:v>
      </x:c>
      <x:c r="D77" s="18" t="str">
        <x:v>CY2025Q1</x:v>
      </x:c>
      <x:c r="E77" s="18" t="str">
        <x:v>BR004</x:v>
      </x:c>
      <x:c r="F77" s="20" t="n">
        <x:v>45666.5</x:v>
      </x:c>
      <x:c r="G77" s="18" t="str">
        <x:v>Funded</x:v>
      </x:c>
      <x:c r="H77" s="23" t="n">
        <x:v>47000</x:v>
      </x:c>
      <x:c r="I77" s="18" t="str">
        <x:v>Personal loan</x:v>
      </x:c>
      <x:c r="J77" s="18" t="str">
        <x:v>Existing customer</x:v>
      </x:c>
      <x:c r="K77" s="20" t="n">
        <x:v>45672.5</x:v>
      </x:c>
    </x:row>
    <x:row r="78" ht="15" hidden="0" customHeight="1">
      <x:c r="A78" s="18" t="str">
        <x:v>LN000077</x:v>
      </x:c>
      <x:c r="B78" s="18" t="str">
        <x:v>LOS-SYN-0000077</x:v>
      </x:c>
      <x:c r="C78" s="18" t="str">
        <x:v>EMP010</x:v>
      </x:c>
      <x:c r="D78" s="18" t="str">
        <x:v>CY2025Q1</x:v>
      </x:c>
      <x:c r="E78" s="18" t="str">
        <x:v>BR004</x:v>
      </x:c>
      <x:c r="F78" s="20" t="n">
        <x:v>45711.5</x:v>
      </x:c>
      <x:c r="G78" s="18" t="str">
        <x:v>Funded</x:v>
      </x:c>
      <x:c r="H78" s="23" t="n">
        <x:v>35500</x:v>
      </x:c>
      <x:c r="I78" s="18" t="str">
        <x:v>Personal loan</x:v>
      </x:c>
      <x:c r="J78" s="18" t="str">
        <x:v>Referral</x:v>
      </x:c>
      <x:c r="K78" s="20" t="n">
        <x:v>45714.5</x:v>
      </x:c>
    </x:row>
    <x:row r="79" ht="15" hidden="0" customHeight="1">
      <x:c r="A79" s="18" t="str">
        <x:v>LN000078</x:v>
      </x:c>
      <x:c r="B79" s="18" t="str">
        <x:v>LOS-SYN-0000078</x:v>
      </x:c>
      <x:c r="C79" s="18" t="str">
        <x:v>EMP010</x:v>
      </x:c>
      <x:c r="D79" s="18" t="str">
        <x:v>CY2025Q1</x:v>
      </x:c>
      <x:c r="E79" s="18" t="str">
        <x:v>BR004</x:v>
      </x:c>
      <x:c r="F79" s="20" t="n">
        <x:v>45681.5</x:v>
      </x:c>
      <x:c r="G79" s="18" t="str">
        <x:v>Funded</x:v>
      </x:c>
      <x:c r="H79" s="23" t="n">
        <x:v>38000</x:v>
      </x:c>
      <x:c r="I79" s="18" t="str">
        <x:v>Auto loan</x:v>
      </x:c>
      <x:c r="J79" s="18" t="str">
        <x:v>Existing customer</x:v>
      </x:c>
      <x:c r="K79" s="20" t="n">
        <x:v>45684.5</x:v>
      </x:c>
    </x:row>
    <x:row r="80" ht="15" hidden="0" customHeight="1">
      <x:c r="A80" s="18" t="str">
        <x:v>LN000079</x:v>
      </x:c>
      <x:c r="B80" s="18" t="str">
        <x:v>LOS-SYN-0000079</x:v>
      </x:c>
      <x:c r="C80" s="18" t="str">
        <x:v>EMP010</x:v>
      </x:c>
      <x:c r="D80" s="18" t="str">
        <x:v>CY2025Q1</x:v>
      </x:c>
      <x:c r="E80" s="18" t="str">
        <x:v>BR004</x:v>
      </x:c>
      <x:c r="F80" s="20" t="n">
        <x:v>45714.5</x:v>
      </x:c>
      <x:c r="G80" s="18" t="str">
        <x:v>Funded</x:v>
      </x:c>
      <x:c r="H80" s="23" t="n">
        <x:v>34000</x:v>
      </x:c>
      <x:c r="I80" s="18" t="str">
        <x:v>Home improvement loan</x:v>
      </x:c>
      <x:c r="J80" s="18" t="str">
        <x:v>Existing customer</x:v>
      </x:c>
      <x:c r="K80" s="20" t="n">
        <x:v>45723.5</x:v>
      </x:c>
    </x:row>
    <x:row r="81" ht="15" hidden="0" customHeight="1">
      <x:c r="A81" s="18" t="str">
        <x:v>LN000080</x:v>
      </x:c>
      <x:c r="B81" s="18" t="str">
        <x:v>LOS-SYN-0000080</x:v>
      </x:c>
      <x:c r="C81" s="18" t="str">
        <x:v>EMP010</x:v>
      </x:c>
      <x:c r="D81" s="18" t="str">
        <x:v>CY2025Q1</x:v>
      </x:c>
      <x:c r="E81" s="18" t="str">
        <x:v>BR004</x:v>
      </x:c>
      <x:c r="F81" s="20" t="n">
        <x:v>45727.5</x:v>
      </x:c>
      <x:c r="G81" s="18" t="str">
        <x:v>Cancelled</x:v>
      </x:c>
      <x:c r="H81" s="23" t="n">
        <x:v>64000</x:v>
      </x:c>
      <x:c r="I81" s="18" t="str">
        <x:v>Personal loan</x:v>
      </x:c>
      <x:c r="J81" s="18" t="str">
        <x:v>New customer</x:v>
      </x:c>
      <x:c r="K81" s="20"/>
    </x:row>
    <x:row r="82" ht="15" hidden="0" customHeight="1">
      <x:c r="A82" s="18" t="str">
        <x:v>LN000081</x:v>
      </x:c>
      <x:c r="B82" s="18" t="str">
        <x:v>LOS-SYN-0000081</x:v>
      </x:c>
      <x:c r="C82" s="18" t="str">
        <x:v>EMP011</x:v>
      </x:c>
      <x:c r="D82" s="18" t="str">
        <x:v>CY2025Q1</x:v>
      </x:c>
      <x:c r="E82" s="18" t="str">
        <x:v>BR004</x:v>
      </x:c>
      <x:c r="F82" s="20" t="n">
        <x:v>45681.5</x:v>
      </x:c>
      <x:c r="G82" s="18" t="str">
        <x:v>Funded</x:v>
      </x:c>
      <x:c r="H82" s="23" t="n">
        <x:v>55500</x:v>
      </x:c>
      <x:c r="I82" s="18" t="str">
        <x:v>Auto loan</x:v>
      </x:c>
      <x:c r="J82" s="18" t="str">
        <x:v>New customer</x:v>
      </x:c>
      <x:c r="K82" s="20" t="n">
        <x:v>45691.5</x:v>
      </x:c>
    </x:row>
    <x:row r="83" ht="15" hidden="0" customHeight="1">
      <x:c r="A83" s="18" t="str">
        <x:v>LN000082</x:v>
      </x:c>
      <x:c r="B83" s="18" t="str">
        <x:v>LOS-SYN-0000082</x:v>
      </x:c>
      <x:c r="C83" s="18" t="str">
        <x:v>EMP011</x:v>
      </x:c>
      <x:c r="D83" s="18" t="str">
        <x:v>CY2025Q1</x:v>
      </x:c>
      <x:c r="E83" s="18" t="str">
        <x:v>BR004</x:v>
      </x:c>
      <x:c r="F83" s="20" t="n">
        <x:v>45671.5</x:v>
      </x:c>
      <x:c r="G83" s="18" t="str">
        <x:v>Funded</x:v>
      </x:c>
      <x:c r="H83" s="23" t="n">
        <x:v>52500</x:v>
      </x:c>
      <x:c r="I83" s="18" t="str">
        <x:v>Debt consolidation loan</x:v>
      </x:c>
      <x:c r="J83" s="18" t="str">
        <x:v>New customer</x:v>
      </x:c>
      <x:c r="K83" s="20" t="n">
        <x:v>45682.5</x:v>
      </x:c>
    </x:row>
    <x:row r="84" ht="15" hidden="0" customHeight="1">
      <x:c r="A84" s="18" t="str">
        <x:v>LN000083</x:v>
      </x:c>
      <x:c r="B84" s="18" t="str">
        <x:v>LOS-SYN-0000083</x:v>
      </x:c>
      <x:c r="C84" s="18" t="str">
        <x:v>EMP011</x:v>
      </x:c>
      <x:c r="D84" s="18" t="str">
        <x:v>CY2025Q1</x:v>
      </x:c>
      <x:c r="E84" s="18" t="str">
        <x:v>BR004</x:v>
      </x:c>
      <x:c r="F84" s="20" t="n">
        <x:v>45673.5</x:v>
      </x:c>
      <x:c r="G84" s="18" t="str">
        <x:v>Funded</x:v>
      </x:c>
      <x:c r="H84" s="23" t="n">
        <x:v>51500</x:v>
      </x:c>
      <x:c r="I84" s="18" t="str">
        <x:v>Home improvement loan</x:v>
      </x:c>
      <x:c r="J84" s="18" t="str">
        <x:v>Existing customer</x:v>
      </x:c>
      <x:c r="K84" s="20" t="n">
        <x:v>45678.5</x:v>
      </x:c>
    </x:row>
    <x:row r="85" ht="15" hidden="0" customHeight="1">
      <x:c r="A85" s="18" t="str">
        <x:v>LN000084</x:v>
      </x:c>
      <x:c r="B85" s="18" t="str">
        <x:v>LOS-SYN-0000084</x:v>
      </x:c>
      <x:c r="C85" s="18" t="str">
        <x:v>EMP011</x:v>
      </x:c>
      <x:c r="D85" s="18" t="str">
        <x:v>CY2025Q1</x:v>
      </x:c>
      <x:c r="E85" s="18" t="str">
        <x:v>BR004</x:v>
      </x:c>
      <x:c r="F85" s="20" t="n">
        <x:v>45663.5</x:v>
      </x:c>
      <x:c r="G85" s="18" t="str">
        <x:v>Funded</x:v>
      </x:c>
      <x:c r="H85" s="23" t="n">
        <x:v>32500</x:v>
      </x:c>
      <x:c r="I85" s="18" t="str">
        <x:v>Personal loan</x:v>
      </x:c>
      <x:c r="J85" s="18" t="str">
        <x:v>Existing customer</x:v>
      </x:c>
      <x:c r="K85" s="20" t="n">
        <x:v>45673.5</x:v>
      </x:c>
    </x:row>
    <x:row r="86" ht="15" hidden="0" customHeight="1">
      <x:c r="A86" s="18" t="str">
        <x:v>LN000085</x:v>
      </x:c>
      <x:c r="B86" s="18" t="str">
        <x:v>LOS-SYN-0000085</x:v>
      </x:c>
      <x:c r="C86" s="18" t="str">
        <x:v>EMP011</x:v>
      </x:c>
      <x:c r="D86" s="18" t="str">
        <x:v>CY2025Q1</x:v>
      </x:c>
      <x:c r="E86" s="18" t="str">
        <x:v>BR004</x:v>
      </x:c>
      <x:c r="F86" s="20" t="n">
        <x:v>45740.5</x:v>
      </x:c>
      <x:c r="G86" s="18" t="str">
        <x:v>Funded</x:v>
      </x:c>
      <x:c r="H86" s="23" t="n">
        <x:v>53000</x:v>
      </x:c>
      <x:c r="I86" s="18" t="str">
        <x:v>Debt consolidation loan</x:v>
      </x:c>
      <x:c r="J86" s="18" t="str">
        <x:v>Referral</x:v>
      </x:c>
      <x:c r="K86" s="20" t="n">
        <x:v>45746.5</x:v>
      </x:c>
    </x:row>
    <x:row r="87" ht="15" hidden="0" customHeight="1">
      <x:c r="A87" s="18" t="str">
        <x:v>LN000086</x:v>
      </x:c>
      <x:c r="B87" s="18" t="str">
        <x:v>LOS-SYN-0000086</x:v>
      </x:c>
      <x:c r="C87" s="18" t="str">
        <x:v>EMP011</x:v>
      </x:c>
      <x:c r="D87" s="18" t="str">
        <x:v>CY2025Q1</x:v>
      </x:c>
      <x:c r="E87" s="18" t="str">
        <x:v>BR004</x:v>
      </x:c>
      <x:c r="F87" s="20" t="n">
        <x:v>45689.5</x:v>
      </x:c>
      <x:c r="G87" s="18" t="str">
        <x:v>Funded</x:v>
      </x:c>
      <x:c r="H87" s="23" t="n">
        <x:v>46000</x:v>
      </x:c>
      <x:c r="I87" s="18" t="str">
        <x:v>Debt consolidation loan</x:v>
      </x:c>
      <x:c r="J87" s="18" t="str">
        <x:v>Referral</x:v>
      </x:c>
      <x:c r="K87" s="20" t="n">
        <x:v>45696.5</x:v>
      </x:c>
    </x:row>
    <x:row r="88" ht="15" hidden="0" customHeight="1">
      <x:c r="A88" s="18" t="str">
        <x:v>LN000087</x:v>
      </x:c>
      <x:c r="B88" s="18" t="str">
        <x:v>LOS-SYN-0000087</x:v>
      </x:c>
      <x:c r="C88" s="18" t="str">
        <x:v>EMP011</x:v>
      </x:c>
      <x:c r="D88" s="18" t="str">
        <x:v>CY2025Q1</x:v>
      </x:c>
      <x:c r="E88" s="18" t="str">
        <x:v>BR004</x:v>
      </x:c>
      <x:c r="F88" s="20" t="n">
        <x:v>45688.5</x:v>
      </x:c>
      <x:c r="G88" s="18" t="str">
        <x:v>Funded</x:v>
      </x:c>
      <x:c r="H88" s="23" t="n">
        <x:v>31500</x:v>
      </x:c>
      <x:c r="I88" s="18" t="str">
        <x:v>Personal loan</x:v>
      </x:c>
      <x:c r="J88" s="18" t="str">
        <x:v>Referral</x:v>
      </x:c>
      <x:c r="K88" s="20" t="n">
        <x:v>45699.5</x:v>
      </x:c>
    </x:row>
    <x:row r="89" ht="15" hidden="0" customHeight="1">
      <x:c r="A89" s="18" t="str">
        <x:v>LN000088</x:v>
      </x:c>
      <x:c r="B89" s="18" t="str">
        <x:v>LOS-SYN-0000088</x:v>
      </x:c>
      <x:c r="C89" s="18" t="str">
        <x:v>EMP011</x:v>
      </x:c>
      <x:c r="D89" s="18" t="str">
        <x:v>CY2025Q1</x:v>
      </x:c>
      <x:c r="E89" s="18" t="str">
        <x:v>BR004</x:v>
      </x:c>
      <x:c r="F89" s="20" t="n">
        <x:v>45726.5</x:v>
      </x:c>
      <x:c r="G89" s="18" t="str">
        <x:v>Funded</x:v>
      </x:c>
      <x:c r="H89" s="23" t="n">
        <x:v>39500</x:v>
      </x:c>
      <x:c r="I89" s="18" t="str">
        <x:v>Personal loan</x:v>
      </x:c>
      <x:c r="J89" s="18" t="str">
        <x:v>Existing customer</x:v>
      </x:c>
      <x:c r="K89" s="20" t="n">
        <x:v>45730.5</x:v>
      </x:c>
    </x:row>
    <x:row r="90" ht="15" hidden="0" customHeight="1">
      <x:c r="A90" s="18" t="str">
        <x:v>LN000089</x:v>
      </x:c>
      <x:c r="B90" s="18" t="str">
        <x:v>LOS-SYN-0000089</x:v>
      </x:c>
      <x:c r="C90" s="18" t="str">
        <x:v>EMP012</x:v>
      </x:c>
      <x:c r="D90" s="18" t="str">
        <x:v>CY2025Q1</x:v>
      </x:c>
      <x:c r="E90" s="18" t="str">
        <x:v>BR005</x:v>
      </x:c>
      <x:c r="F90" s="20" t="n">
        <x:v>45680.5</x:v>
      </x:c>
      <x:c r="G90" s="18" t="str">
        <x:v>Funded</x:v>
      </x:c>
      <x:c r="H90" s="23" t="n">
        <x:v>35000</x:v>
      </x:c>
      <x:c r="I90" s="18" t="str">
        <x:v>Auto loan</x:v>
      </x:c>
      <x:c r="J90" s="18" t="str">
        <x:v>New customer</x:v>
      </x:c>
      <x:c r="K90" s="20" t="n">
        <x:v>45686.5</x:v>
      </x:c>
    </x:row>
    <x:row r="91" ht="15" hidden="0" customHeight="1">
      <x:c r="A91" s="18" t="str">
        <x:v>LN000090</x:v>
      </x:c>
      <x:c r="B91" s="18" t="str">
        <x:v>LOS-SYN-0000090</x:v>
      </x:c>
      <x:c r="C91" s="18" t="str">
        <x:v>EMP012</x:v>
      </x:c>
      <x:c r="D91" s="18" t="str">
        <x:v>CY2025Q1</x:v>
      </x:c>
      <x:c r="E91" s="18" t="str">
        <x:v>BR005</x:v>
      </x:c>
      <x:c r="F91" s="20" t="n">
        <x:v>45674.5</x:v>
      </x:c>
      <x:c r="G91" s="18" t="str">
        <x:v>Funded</x:v>
      </x:c>
      <x:c r="H91" s="23" t="n">
        <x:v>38500</x:v>
      </x:c>
      <x:c r="I91" s="18" t="str">
        <x:v>Auto loan</x:v>
      </x:c>
      <x:c r="J91" s="18" t="str">
        <x:v>Existing customer</x:v>
      </x:c>
      <x:c r="K91" s="20" t="n">
        <x:v>45681.5</x:v>
      </x:c>
    </x:row>
    <x:row r="92" ht="15" hidden="0" customHeight="1">
      <x:c r="A92" s="18" t="str">
        <x:v>LN000091</x:v>
      </x:c>
      <x:c r="B92" s="18" t="str">
        <x:v>LOS-SYN-0000091</x:v>
      </x:c>
      <x:c r="C92" s="18" t="str">
        <x:v>EMP012</x:v>
      </x:c>
      <x:c r="D92" s="18" t="str">
        <x:v>CY2025Q1</x:v>
      </x:c>
      <x:c r="E92" s="18" t="str">
        <x:v>BR005</x:v>
      </x:c>
      <x:c r="F92" s="20" t="n">
        <x:v>45733.5</x:v>
      </x:c>
      <x:c r="G92" s="18" t="str">
        <x:v>Funded</x:v>
      </x:c>
      <x:c r="H92" s="23" t="n">
        <x:v>29500</x:v>
      </x:c>
      <x:c r="I92" s="18" t="str">
        <x:v>Personal loan</x:v>
      </x:c>
      <x:c r="J92" s="18" t="str">
        <x:v>Referral</x:v>
      </x:c>
      <x:c r="K92" s="20" t="n">
        <x:v>45736.5</x:v>
      </x:c>
    </x:row>
    <x:row r="93" ht="15" hidden="0" customHeight="1">
      <x:c r="A93" s="18" t="str">
        <x:v>LN000092</x:v>
      </x:c>
      <x:c r="B93" s="18" t="str">
        <x:v>LOS-SYN-0000092</x:v>
      </x:c>
      <x:c r="C93" s="18" t="str">
        <x:v>EMP012</x:v>
      </x:c>
      <x:c r="D93" s="18" t="str">
        <x:v>CY2025Q1</x:v>
      </x:c>
      <x:c r="E93" s="18" t="str">
        <x:v>BR005</x:v>
      </x:c>
      <x:c r="F93" s="20" t="n">
        <x:v>45683.5</x:v>
      </x:c>
      <x:c r="G93" s="18" t="str">
        <x:v>Funded</x:v>
      </x:c>
      <x:c r="H93" s="23" t="n">
        <x:v>40000</x:v>
      </x:c>
      <x:c r="I93" s="18" t="str">
        <x:v>Home improvement loan</x:v>
      </x:c>
      <x:c r="J93" s="18" t="str">
        <x:v>Existing customer</x:v>
      </x:c>
      <x:c r="K93" s="20" t="n">
        <x:v>45686.5</x:v>
      </x:c>
    </x:row>
    <x:row r="94" ht="15" hidden="0" customHeight="1">
      <x:c r="A94" s="18" t="str">
        <x:v>LN000093</x:v>
      </x:c>
      <x:c r="B94" s="18" t="str">
        <x:v>LOS-SYN-0000093</x:v>
      </x:c>
      <x:c r="C94" s="18" t="str">
        <x:v>EMP012</x:v>
      </x:c>
      <x:c r="D94" s="18" t="str">
        <x:v>CY2025Q1</x:v>
      </x:c>
      <x:c r="E94" s="18" t="str">
        <x:v>BR005</x:v>
      </x:c>
      <x:c r="F94" s="20" t="n">
        <x:v>45674.5</x:v>
      </x:c>
      <x:c r="G94" s="18" t="str">
        <x:v>Funded</x:v>
      </x:c>
      <x:c r="H94" s="23" t="n">
        <x:v>36000</x:v>
      </x:c>
      <x:c r="I94" s="18" t="str">
        <x:v>Home improvement loan</x:v>
      </x:c>
      <x:c r="J94" s="18" t="str">
        <x:v>Existing customer</x:v>
      </x:c>
      <x:c r="K94" s="20" t="n">
        <x:v>45682.5</x:v>
      </x:c>
    </x:row>
    <x:row r="95" ht="15" hidden="0" customHeight="1">
      <x:c r="A95" s="18" t="str">
        <x:v>LN000094</x:v>
      </x:c>
      <x:c r="B95" s="18" t="str">
        <x:v>LOS-SYN-0000094</x:v>
      </x:c>
      <x:c r="C95" s="18" t="str">
        <x:v>EMP012</x:v>
      </x:c>
      <x:c r="D95" s="18" t="str">
        <x:v>CY2025Q1</x:v>
      </x:c>
      <x:c r="E95" s="18" t="str">
        <x:v>BR005</x:v>
      </x:c>
      <x:c r="F95" s="20" t="n">
        <x:v>45724.5</x:v>
      </x:c>
      <x:c r="G95" s="18" t="str">
        <x:v>Funded</x:v>
      </x:c>
      <x:c r="H95" s="23" t="n">
        <x:v>39000</x:v>
      </x:c>
      <x:c r="I95" s="18" t="str">
        <x:v>Debt consolidation loan</x:v>
      </x:c>
      <x:c r="J95" s="18" t="str">
        <x:v>Existing customer</x:v>
      </x:c>
      <x:c r="K95" s="20" t="n">
        <x:v>45729.5</x:v>
      </x:c>
    </x:row>
    <x:row r="96" ht="15" hidden="0" customHeight="1">
      <x:c r="A96" s="18" t="str">
        <x:v>LN000095</x:v>
      </x:c>
      <x:c r="B96" s="18" t="str">
        <x:v>LOS-SYN-0000095</x:v>
      </x:c>
      <x:c r="C96" s="18" t="str">
        <x:v>EMP012</x:v>
      </x:c>
      <x:c r="D96" s="18" t="str">
        <x:v>CY2025Q1</x:v>
      </x:c>
      <x:c r="E96" s="18" t="str">
        <x:v>BR005</x:v>
      </x:c>
      <x:c r="F96" s="20" t="n">
        <x:v>45727.5</x:v>
      </x:c>
      <x:c r="G96" s="18" t="str">
        <x:v>Funded</x:v>
      </x:c>
      <x:c r="H96" s="23" t="n">
        <x:v>43000</x:v>
      </x:c>
      <x:c r="I96" s="18" t="str">
        <x:v>Auto loan</x:v>
      </x:c>
      <x:c r="J96" s="18" t="str">
        <x:v>Existing customer</x:v>
      </x:c>
      <x:c r="K96" s="20" t="n">
        <x:v>45739.5</x:v>
      </x:c>
    </x:row>
    <x:row r="97" ht="15" hidden="0" customHeight="1">
      <x:c r="A97" s="18" t="str">
        <x:v>LN000096</x:v>
      </x:c>
      <x:c r="B97" s="18" t="str">
        <x:v>LOS-SYN-0000096</x:v>
      </x:c>
      <x:c r="C97" s="18" t="str">
        <x:v>EMP012</x:v>
      </x:c>
      <x:c r="D97" s="18" t="str">
        <x:v>CY2025Q1</x:v>
      </x:c>
      <x:c r="E97" s="18" t="str">
        <x:v>BR005</x:v>
      </x:c>
      <x:c r="F97" s="20" t="n">
        <x:v>45737.5</x:v>
      </x:c>
      <x:c r="G97" s="18" t="str">
        <x:v>Funded</x:v>
      </x:c>
      <x:c r="H97" s="23" t="n">
        <x:v>39000</x:v>
      </x:c>
      <x:c r="I97" s="18" t="str">
        <x:v>Auto loan</x:v>
      </x:c>
      <x:c r="J97" s="18" t="str">
        <x:v>Referral</x:v>
      </x:c>
      <x:c r="K97" s="20" t="n">
        <x:v>45745.5</x:v>
      </x:c>
    </x:row>
    <x:row r="98" ht="15" hidden="0" customHeight="1">
      <x:c r="A98" s="18" t="str">
        <x:v>LN000097</x:v>
      </x:c>
      <x:c r="B98" s="18" t="str">
        <x:v>LOS-SYN-0000097</x:v>
      </x:c>
      <x:c r="C98" s="18" t="str">
        <x:v>EMP012</x:v>
      </x:c>
      <x:c r="D98" s="18" t="str">
        <x:v>CY2025Q1</x:v>
      </x:c>
      <x:c r="E98" s="18" t="str">
        <x:v>BR005</x:v>
      </x:c>
      <x:c r="F98" s="20" t="n">
        <x:v>45713.5</x:v>
      </x:c>
      <x:c r="G98" s="18" t="str">
        <x:v>Funded</x:v>
      </x:c>
      <x:c r="H98" s="23" t="n">
        <x:v>43500</x:v>
      </x:c>
      <x:c r="I98" s="18" t="str">
        <x:v>Debt consolidation loan</x:v>
      </x:c>
      <x:c r="J98" s="18" t="str">
        <x:v>Existing customer</x:v>
      </x:c>
      <x:c r="K98" s="20" t="n">
        <x:v>45725.5</x:v>
      </x:c>
    </x:row>
    <x:row r="99" ht="15" hidden="0" customHeight="1">
      <x:c r="A99" s="18" t="str">
        <x:v>LN000098</x:v>
      </x:c>
      <x:c r="B99" s="18" t="str">
        <x:v>LOS-SYN-0000098</x:v>
      </x:c>
      <x:c r="C99" s="18" t="str">
        <x:v>EMP012</x:v>
      </x:c>
      <x:c r="D99" s="18" t="str">
        <x:v>CY2025Q1</x:v>
      </x:c>
      <x:c r="E99" s="18" t="str">
        <x:v>BR005</x:v>
      </x:c>
      <x:c r="F99" s="20" t="n">
        <x:v>45667.5</x:v>
      </x:c>
      <x:c r="G99" s="18" t="str">
        <x:v>Funded</x:v>
      </x:c>
      <x:c r="H99" s="23" t="n">
        <x:v>27500</x:v>
      </x:c>
      <x:c r="I99" s="18" t="str">
        <x:v>Debt consolidation loan</x:v>
      </x:c>
      <x:c r="J99" s="18" t="str">
        <x:v>New customer</x:v>
      </x:c>
      <x:c r="K99" s="20" t="n">
        <x:v>45678.5</x:v>
      </x:c>
    </x:row>
    <x:row r="100" ht="15" hidden="0" customHeight="1">
      <x:c r="A100" s="18" t="str">
        <x:v>LN000099</x:v>
      </x:c>
      <x:c r="B100" s="18" t="str">
        <x:v>LOS-SYN-0000099</x:v>
      </x:c>
      <x:c r="C100" s="18" t="str">
        <x:v>EMP013</x:v>
      </x:c>
      <x:c r="D100" s="18" t="str">
        <x:v>CY2025Q1</x:v>
      </x:c>
      <x:c r="E100" s="18" t="str">
        <x:v>BR005</x:v>
      </x:c>
      <x:c r="F100" s="20" t="n">
        <x:v>45713.5</x:v>
      </x:c>
      <x:c r="G100" s="18" t="str">
        <x:v>Funded</x:v>
      </x:c>
      <x:c r="H100" s="23" t="n">
        <x:v>38000</x:v>
      </x:c>
      <x:c r="I100" s="18" t="str">
        <x:v>Home improvement loan</x:v>
      </x:c>
      <x:c r="J100" s="18" t="str">
        <x:v>Existing customer</x:v>
      </x:c>
      <x:c r="K100" s="20" t="n">
        <x:v>45723.5</x:v>
      </x:c>
    </x:row>
    <x:row r="101" ht="15" hidden="0" customHeight="1">
      <x:c r="A101" s="18" t="str">
        <x:v>LN000100</x:v>
      </x:c>
      <x:c r="B101" s="18" t="str">
        <x:v>LOS-SYN-0000100</x:v>
      </x:c>
      <x:c r="C101" s="18" t="str">
        <x:v>EMP013</x:v>
      </x:c>
      <x:c r="D101" s="18" t="str">
        <x:v>CY2025Q1</x:v>
      </x:c>
      <x:c r="E101" s="18" t="str">
        <x:v>BR005</x:v>
      </x:c>
      <x:c r="F101" s="20" t="n">
        <x:v>45664.5</x:v>
      </x:c>
      <x:c r="G101" s="18" t="str">
        <x:v>Funded</x:v>
      </x:c>
      <x:c r="H101" s="23" t="n">
        <x:v>48000</x:v>
      </x:c>
      <x:c r="I101" s="18" t="str">
        <x:v>Home improvement loan</x:v>
      </x:c>
      <x:c r="J101" s="18" t="str">
        <x:v>Existing customer</x:v>
      </x:c>
      <x:c r="K101" s="20" t="n">
        <x:v>45668.5</x:v>
      </x:c>
    </x:row>
    <x:row r="102" ht="15" hidden="0" customHeight="1">
      <x:c r="A102" s="18" t="str">
        <x:v>LN000101</x:v>
      </x:c>
      <x:c r="B102" s="18" t="str">
        <x:v>LOS-SYN-0000101</x:v>
      </x:c>
      <x:c r="C102" s="18" t="str">
        <x:v>EMP013</x:v>
      </x:c>
      <x:c r="D102" s="18" t="str">
        <x:v>CY2025Q1</x:v>
      </x:c>
      <x:c r="E102" s="18" t="str">
        <x:v>BR005</x:v>
      </x:c>
      <x:c r="F102" s="20" t="n">
        <x:v>45697.5</x:v>
      </x:c>
      <x:c r="G102" s="18" t="str">
        <x:v>Funded</x:v>
      </x:c>
      <x:c r="H102" s="23" t="n">
        <x:v>53000</x:v>
      </x:c>
      <x:c r="I102" s="18" t="str">
        <x:v>Home improvement loan</x:v>
      </x:c>
      <x:c r="J102" s="18" t="str">
        <x:v>New customer</x:v>
      </x:c>
      <x:c r="K102" s="20" t="n">
        <x:v>45700.5</x:v>
      </x:c>
    </x:row>
    <x:row r="103" ht="15" hidden="0" customHeight="1">
      <x:c r="A103" s="18" t="str">
        <x:v>LN000102</x:v>
      </x:c>
      <x:c r="B103" s="18" t="str">
        <x:v>LOS-SYN-0000102</x:v>
      </x:c>
      <x:c r="C103" s="18" t="str">
        <x:v>EMP013</x:v>
      </x:c>
      <x:c r="D103" s="18" t="str">
        <x:v>CY2025Q1</x:v>
      </x:c>
      <x:c r="E103" s="18" t="str">
        <x:v>BR005</x:v>
      </x:c>
      <x:c r="F103" s="20" t="n">
        <x:v>45688.5</x:v>
      </x:c>
      <x:c r="G103" s="18" t="str">
        <x:v>Funded</x:v>
      </x:c>
      <x:c r="H103" s="23" t="n">
        <x:v>38500</x:v>
      </x:c>
      <x:c r="I103" s="18" t="str">
        <x:v>Personal loan</x:v>
      </x:c>
      <x:c r="J103" s="18" t="str">
        <x:v>Existing customer</x:v>
      </x:c>
      <x:c r="K103" s="20" t="n">
        <x:v>45693.5</x:v>
      </x:c>
    </x:row>
    <x:row r="104" ht="15" hidden="0" customHeight="1">
      <x:c r="A104" s="18" t="str">
        <x:v>LN000103</x:v>
      </x:c>
      <x:c r="B104" s="18" t="str">
        <x:v>LOS-SYN-0000103</x:v>
      </x:c>
      <x:c r="C104" s="18" t="str">
        <x:v>EMP013</x:v>
      </x:c>
      <x:c r="D104" s="18" t="str">
        <x:v>CY2025Q1</x:v>
      </x:c>
      <x:c r="E104" s="18" t="str">
        <x:v>BR005</x:v>
      </x:c>
      <x:c r="F104" s="20" t="n">
        <x:v>45667.5</x:v>
      </x:c>
      <x:c r="G104" s="18" t="str">
        <x:v>Funded</x:v>
      </x:c>
      <x:c r="H104" s="23" t="n">
        <x:v>45000</x:v>
      </x:c>
      <x:c r="I104" s="18" t="str">
        <x:v>Auto loan</x:v>
      </x:c>
      <x:c r="J104" s="18" t="str">
        <x:v>Existing customer</x:v>
      </x:c>
      <x:c r="K104" s="20" t="n">
        <x:v>45675.5</x:v>
      </x:c>
    </x:row>
    <x:row r="105" ht="15" hidden="0" customHeight="1">
      <x:c r="A105" s="18" t="str">
        <x:v>LN000104</x:v>
      </x:c>
      <x:c r="B105" s="18" t="str">
        <x:v>LOS-SYN-0000104</x:v>
      </x:c>
      <x:c r="C105" s="18" t="str">
        <x:v>EMP013</x:v>
      </x:c>
      <x:c r="D105" s="18" t="str">
        <x:v>CY2025Q1</x:v>
      </x:c>
      <x:c r="E105" s="18" t="str">
        <x:v>BR005</x:v>
      </x:c>
      <x:c r="F105" s="20" t="n">
        <x:v>45670.5</x:v>
      </x:c>
      <x:c r="G105" s="18" t="str">
        <x:v>Funded</x:v>
      </x:c>
      <x:c r="H105" s="23" t="n">
        <x:v>38000</x:v>
      </x:c>
      <x:c r="I105" s="18" t="str">
        <x:v>Personal loan</x:v>
      </x:c>
      <x:c r="J105" s="18" t="str">
        <x:v>Referral</x:v>
      </x:c>
      <x:c r="K105" s="20" t="n">
        <x:v>45679.5</x:v>
      </x:c>
    </x:row>
    <x:row r="106" ht="15" hidden="0" customHeight="1">
      <x:c r="A106" s="18" t="str">
        <x:v>LN000105</x:v>
      </x:c>
      <x:c r="B106" s="18" t="str">
        <x:v>LOS-SYN-0000105</x:v>
      </x:c>
      <x:c r="C106" s="18" t="str">
        <x:v>EMP013</x:v>
      </x:c>
      <x:c r="D106" s="18" t="str">
        <x:v>CY2025Q1</x:v>
      </x:c>
      <x:c r="E106" s="18" t="str">
        <x:v>BR005</x:v>
      </x:c>
      <x:c r="F106" s="20" t="n">
        <x:v>45664.5</x:v>
      </x:c>
      <x:c r="G106" s="18" t="str">
        <x:v>Funded</x:v>
      </x:c>
      <x:c r="H106" s="23" t="n">
        <x:v>54000</x:v>
      </x:c>
      <x:c r="I106" s="18" t="str">
        <x:v>Personal loan</x:v>
      </x:c>
      <x:c r="J106" s="18" t="str">
        <x:v>Existing customer</x:v>
      </x:c>
      <x:c r="K106" s="20" t="n">
        <x:v>45669.5</x:v>
      </x:c>
    </x:row>
    <x:row r="107" ht="15" hidden="0" customHeight="1">
      <x:c r="A107" s="18" t="str">
        <x:v>LN000106</x:v>
      </x:c>
      <x:c r="B107" s="18" t="str">
        <x:v>LOS-SYN-0000106</x:v>
      </x:c>
      <x:c r="C107" s="18" t="str">
        <x:v>EMP013</x:v>
      </x:c>
      <x:c r="D107" s="18" t="str">
        <x:v>CY2025Q1</x:v>
      </x:c>
      <x:c r="E107" s="18" t="str">
        <x:v>BR005</x:v>
      </x:c>
      <x:c r="F107" s="20" t="n">
        <x:v>45688.5</x:v>
      </x:c>
      <x:c r="G107" s="18" t="str">
        <x:v>Funded</x:v>
      </x:c>
      <x:c r="H107" s="23" t="n">
        <x:v>39500</x:v>
      </x:c>
      <x:c r="I107" s="18" t="str">
        <x:v>Debt consolidation loan</x:v>
      </x:c>
      <x:c r="J107" s="18" t="str">
        <x:v>New customer</x:v>
      </x:c>
      <x:c r="K107" s="20" t="n">
        <x:v>45694.5</x:v>
      </x:c>
    </x:row>
    <x:row r="108" ht="15" hidden="0" customHeight="1">
      <x:c r="A108" s="18" t="str">
        <x:v>LN000107</x:v>
      </x:c>
      <x:c r="B108" s="18" t="str">
        <x:v>LOS-SYN-0000107</x:v>
      </x:c>
      <x:c r="C108" s="18" t="str">
        <x:v>EMP013</x:v>
      </x:c>
      <x:c r="D108" s="18" t="str">
        <x:v>CY2025Q1</x:v>
      </x:c>
      <x:c r="E108" s="18" t="str">
        <x:v>BR005</x:v>
      </x:c>
      <x:c r="F108" s="20" t="n">
        <x:v>45703.5</x:v>
      </x:c>
      <x:c r="G108" s="18" t="str">
        <x:v>Funded</x:v>
      </x:c>
      <x:c r="H108" s="23" t="n">
        <x:v>37000</x:v>
      </x:c>
      <x:c r="I108" s="18" t="str">
        <x:v>Debt consolidation loan</x:v>
      </x:c>
      <x:c r="J108" s="18" t="str">
        <x:v>Existing customer</x:v>
      </x:c>
      <x:c r="K108" s="20" t="n">
        <x:v>45714.5</x:v>
      </x:c>
    </x:row>
    <x:row r="109" ht="15" hidden="0" customHeight="1">
      <x:c r="A109" s="18" t="str">
        <x:v>LN000108</x:v>
      </x:c>
      <x:c r="B109" s="18" t="str">
        <x:v>LOS-SYN-0000108</x:v>
      </x:c>
      <x:c r="C109" s="18" t="str">
        <x:v>EMP013</x:v>
      </x:c>
      <x:c r="D109" s="18" t="str">
        <x:v>CY2025Q1</x:v>
      </x:c>
      <x:c r="E109" s="18" t="str">
        <x:v>BR005</x:v>
      </x:c>
      <x:c r="F109" s="20" t="n">
        <x:v>45717.5</x:v>
      </x:c>
      <x:c r="G109" s="18" t="str">
        <x:v>Funded</x:v>
      </x:c>
      <x:c r="H109" s="23" t="n">
        <x:v>45000</x:v>
      </x:c>
      <x:c r="I109" s="18" t="str">
        <x:v>Home improvement loan</x:v>
      </x:c>
      <x:c r="J109" s="18" t="str">
        <x:v>Existing customer</x:v>
      </x:c>
      <x:c r="K109" s="20" t="n">
        <x:v>45727.5</x:v>
      </x:c>
    </x:row>
    <x:row r="110" ht="15" hidden="0" customHeight="1">
      <x:c r="A110" s="18" t="str">
        <x:v>LN000109</x:v>
      </x:c>
      <x:c r="B110" s="18" t="str">
        <x:v>LOS-SYN-0000109</x:v>
      </x:c>
      <x:c r="C110" s="18" t="str">
        <x:v>EMP013</x:v>
      </x:c>
      <x:c r="D110" s="18" t="str">
        <x:v>CY2025Q1</x:v>
      </x:c>
      <x:c r="E110" s="18" t="str">
        <x:v>BR005</x:v>
      </x:c>
      <x:c r="F110" s="20" t="n">
        <x:v>45659.5</x:v>
      </x:c>
      <x:c r="G110" s="18" t="str">
        <x:v>Cancelled</x:v>
      </x:c>
      <x:c r="H110" s="23" t="n">
        <x:v>41000</x:v>
      </x:c>
      <x:c r="I110" s="18" t="str">
        <x:v>Personal loan</x:v>
      </x:c>
      <x:c r="J110" s="18" t="str">
        <x:v>New customer</x:v>
      </x:c>
      <x:c r="K110" s="20"/>
    </x:row>
    <x:row r="111" ht="15" hidden="0" customHeight="1">
      <x:c r="A111" s="18" t="str">
        <x:v>LN000110</x:v>
      </x:c>
      <x:c r="B111" s="18" t="str">
        <x:v>LOS-SYN-0000110</x:v>
      </x:c>
      <x:c r="C111" s="18" t="str">
        <x:v>EMP014</x:v>
      </x:c>
      <x:c r="D111" s="18" t="str">
        <x:v>CY2025Q1</x:v>
      </x:c>
      <x:c r="E111" s="18" t="str">
        <x:v>BR006</x:v>
      </x:c>
      <x:c r="F111" s="20" t="n">
        <x:v>45684.5</x:v>
      </x:c>
      <x:c r="G111" s="18" t="str">
        <x:v>Funded</x:v>
      </x:c>
      <x:c r="H111" s="23" t="n">
        <x:v>50500</x:v>
      </x:c>
      <x:c r="I111" s="18" t="str">
        <x:v>Auto loan</x:v>
      </x:c>
      <x:c r="J111" s="18" t="str">
        <x:v>New customer</x:v>
      </x:c>
      <x:c r="K111" s="20" t="n">
        <x:v>45695.5</x:v>
      </x:c>
    </x:row>
    <x:row r="112" ht="15" hidden="0" customHeight="1">
      <x:c r="A112" s="18" t="str">
        <x:v>LN000111</x:v>
      </x:c>
      <x:c r="B112" s="18" t="str">
        <x:v>LOS-SYN-0000111</x:v>
      </x:c>
      <x:c r="C112" s="18" t="str">
        <x:v>EMP014</x:v>
      </x:c>
      <x:c r="D112" s="18" t="str">
        <x:v>CY2025Q1</x:v>
      </x:c>
      <x:c r="E112" s="18" t="str">
        <x:v>BR006</x:v>
      </x:c>
      <x:c r="F112" s="20" t="n">
        <x:v>45702.5</x:v>
      </x:c>
      <x:c r="G112" s="18" t="str">
        <x:v>Funded</x:v>
      </x:c>
      <x:c r="H112" s="23" t="n">
        <x:v>45500</x:v>
      </x:c>
      <x:c r="I112" s="18" t="str">
        <x:v>Home improvement loan</x:v>
      </x:c>
      <x:c r="J112" s="18" t="str">
        <x:v>Referral</x:v>
      </x:c>
      <x:c r="K112" s="20" t="n">
        <x:v>45707.5</x:v>
      </x:c>
    </x:row>
    <x:row r="113" ht="15" hidden="0" customHeight="1">
      <x:c r="A113" s="18" t="str">
        <x:v>LN000112</x:v>
      </x:c>
      <x:c r="B113" s="18" t="str">
        <x:v>LOS-SYN-0000112</x:v>
      </x:c>
      <x:c r="C113" s="18" t="str">
        <x:v>EMP014</x:v>
      </x:c>
      <x:c r="D113" s="18" t="str">
        <x:v>CY2025Q1</x:v>
      </x:c>
      <x:c r="E113" s="18" t="str">
        <x:v>BR006</x:v>
      </x:c>
      <x:c r="F113" s="20" t="n">
        <x:v>45684.5</x:v>
      </x:c>
      <x:c r="G113" s="18" t="str">
        <x:v>Funded</x:v>
      </x:c>
      <x:c r="H113" s="23" t="n">
        <x:v>45500</x:v>
      </x:c>
      <x:c r="I113" s="18" t="str">
        <x:v>Debt consolidation loan</x:v>
      </x:c>
      <x:c r="J113" s="18" t="str">
        <x:v>Existing customer</x:v>
      </x:c>
      <x:c r="K113" s="20" t="n">
        <x:v>45693.5</x:v>
      </x:c>
    </x:row>
    <x:row r="114" ht="15" hidden="0" customHeight="1">
      <x:c r="A114" s="18" t="str">
        <x:v>LN000113</x:v>
      </x:c>
      <x:c r="B114" s="18" t="str">
        <x:v>LOS-SYN-0000113</x:v>
      </x:c>
      <x:c r="C114" s="18" t="str">
        <x:v>EMP014</x:v>
      </x:c>
      <x:c r="D114" s="18" t="str">
        <x:v>CY2025Q1</x:v>
      </x:c>
      <x:c r="E114" s="18" t="str">
        <x:v>BR006</x:v>
      </x:c>
      <x:c r="F114" s="20" t="n">
        <x:v>45719.5</x:v>
      </x:c>
      <x:c r="G114" s="18" t="str">
        <x:v>Funded</x:v>
      </x:c>
      <x:c r="H114" s="23" t="n">
        <x:v>36000</x:v>
      </x:c>
      <x:c r="I114" s="18" t="str">
        <x:v>Auto loan</x:v>
      </x:c>
      <x:c r="J114" s="18" t="str">
        <x:v>Referral</x:v>
      </x:c>
      <x:c r="K114" s="20" t="n">
        <x:v>45723.5</x:v>
      </x:c>
    </x:row>
    <x:row r="115" ht="15" hidden="0" customHeight="1">
      <x:c r="A115" s="18" t="str">
        <x:v>LN000114</x:v>
      </x:c>
      <x:c r="B115" s="18" t="str">
        <x:v>LOS-SYN-0000114</x:v>
      </x:c>
      <x:c r="C115" s="18" t="str">
        <x:v>EMP014</x:v>
      </x:c>
      <x:c r="D115" s="18" t="str">
        <x:v>CY2025Q1</x:v>
      </x:c>
      <x:c r="E115" s="18" t="str">
        <x:v>BR006</x:v>
      </x:c>
      <x:c r="F115" s="20" t="n">
        <x:v>45714.5</x:v>
      </x:c>
      <x:c r="G115" s="18" t="str">
        <x:v>Funded</x:v>
      </x:c>
      <x:c r="H115" s="23" t="n">
        <x:v>41500</x:v>
      </x:c>
      <x:c r="I115" s="18" t="str">
        <x:v>Personal loan</x:v>
      </x:c>
      <x:c r="J115" s="18" t="str">
        <x:v>Referral</x:v>
      </x:c>
      <x:c r="K115" s="20" t="n">
        <x:v>45720.5</x:v>
      </x:c>
    </x:row>
    <x:row r="116" ht="15" hidden="0" customHeight="1">
      <x:c r="A116" s="18" t="str">
        <x:v>LN000115</x:v>
      </x:c>
      <x:c r="B116" s="18" t="str">
        <x:v>LOS-SYN-0000115</x:v>
      </x:c>
      <x:c r="C116" s="18" t="str">
        <x:v>EMP014</x:v>
      </x:c>
      <x:c r="D116" s="18" t="str">
        <x:v>CY2025Q1</x:v>
      </x:c>
      <x:c r="E116" s="18" t="str">
        <x:v>BR006</x:v>
      </x:c>
      <x:c r="F116" s="20" t="n">
        <x:v>45697.5</x:v>
      </x:c>
      <x:c r="G116" s="18" t="str">
        <x:v>Funded</x:v>
      </x:c>
      <x:c r="H116" s="23" t="n">
        <x:v>38500</x:v>
      </x:c>
      <x:c r="I116" s="18" t="str">
        <x:v>Auto loan</x:v>
      </x:c>
      <x:c r="J116" s="18" t="str">
        <x:v>Existing customer</x:v>
      </x:c>
      <x:c r="K116" s="20" t="n">
        <x:v>45704.5</x:v>
      </x:c>
    </x:row>
    <x:row r="117" ht="15" hidden="0" customHeight="1">
      <x:c r="A117" s="18" t="str">
        <x:v>LN000116</x:v>
      </x:c>
      <x:c r="B117" s="18" t="str">
        <x:v>LOS-SYN-0000116</x:v>
      </x:c>
      <x:c r="C117" s="18" t="str">
        <x:v>EMP014</x:v>
      </x:c>
      <x:c r="D117" s="18" t="str">
        <x:v>CY2025Q1</x:v>
      </x:c>
      <x:c r="E117" s="18" t="str">
        <x:v>BR006</x:v>
      </x:c>
      <x:c r="F117" s="20" t="n">
        <x:v>45659.5</x:v>
      </x:c>
      <x:c r="G117" s="18" t="str">
        <x:v>Funded</x:v>
      </x:c>
      <x:c r="H117" s="23" t="n">
        <x:v>64500</x:v>
      </x:c>
      <x:c r="I117" s="18" t="str">
        <x:v>Home improvement loan</x:v>
      </x:c>
      <x:c r="J117" s="18" t="str">
        <x:v>Referral</x:v>
      </x:c>
      <x:c r="K117" s="20" t="n">
        <x:v>45668.5</x:v>
      </x:c>
    </x:row>
    <x:row r="118" ht="15" hidden="0" customHeight="1">
      <x:c r="A118" s="18" t="str">
        <x:v>LN000117</x:v>
      </x:c>
      <x:c r="B118" s="18" t="str">
        <x:v>LOS-SYN-0000117</x:v>
      </x:c>
      <x:c r="C118" s="18" t="str">
        <x:v>EMP015</x:v>
      </x:c>
      <x:c r="D118" s="18" t="str">
        <x:v>CY2025Q1</x:v>
      </x:c>
      <x:c r="E118" s="18" t="str">
        <x:v>BR006</x:v>
      </x:c>
      <x:c r="F118" s="20" t="n">
        <x:v>45735.5</x:v>
      </x:c>
      <x:c r="G118" s="18" t="str">
        <x:v>Funded</x:v>
      </x:c>
      <x:c r="H118" s="23" t="n">
        <x:v>31500</x:v>
      </x:c>
      <x:c r="I118" s="18" t="str">
        <x:v>Personal loan</x:v>
      </x:c>
      <x:c r="J118" s="18" t="str">
        <x:v>Referral</x:v>
      </x:c>
      <x:c r="K118" s="20" t="n">
        <x:v>45741.5</x:v>
      </x:c>
    </x:row>
    <x:row r="119" ht="15" hidden="0" customHeight="1">
      <x:c r="A119" s="18" t="str">
        <x:v>LN000118</x:v>
      </x:c>
      <x:c r="B119" s="18" t="str">
        <x:v>LOS-SYN-0000118</x:v>
      </x:c>
      <x:c r="C119" s="18" t="str">
        <x:v>EMP015</x:v>
      </x:c>
      <x:c r="D119" s="18" t="str">
        <x:v>CY2025Q1</x:v>
      </x:c>
      <x:c r="E119" s="18" t="str">
        <x:v>BR006</x:v>
      </x:c>
      <x:c r="F119" s="20" t="n">
        <x:v>45670.5</x:v>
      </x:c>
      <x:c r="G119" s="18" t="str">
        <x:v>Funded</x:v>
      </x:c>
      <x:c r="H119" s="23" t="n">
        <x:v>41500</x:v>
      </x:c>
      <x:c r="I119" s="18" t="str">
        <x:v>Auto loan</x:v>
      </x:c>
      <x:c r="J119" s="18" t="str">
        <x:v>Referral</x:v>
      </x:c>
      <x:c r="K119" s="20" t="n">
        <x:v>45678.5</x:v>
      </x:c>
    </x:row>
    <x:row r="120" ht="15" hidden="0" customHeight="1">
      <x:c r="A120" s="18" t="str">
        <x:v>LN000119</x:v>
      </x:c>
      <x:c r="B120" s="18" t="str">
        <x:v>LOS-SYN-0000119</x:v>
      </x:c>
      <x:c r="C120" s="18" t="str">
        <x:v>EMP015</x:v>
      </x:c>
      <x:c r="D120" s="18" t="str">
        <x:v>CY2025Q1</x:v>
      </x:c>
      <x:c r="E120" s="18" t="str">
        <x:v>BR006</x:v>
      </x:c>
      <x:c r="F120" s="20" t="n">
        <x:v>45695.5</x:v>
      </x:c>
      <x:c r="G120" s="18" t="str">
        <x:v>Funded</x:v>
      </x:c>
      <x:c r="H120" s="23" t="n">
        <x:v>38500</x:v>
      </x:c>
      <x:c r="I120" s="18" t="str">
        <x:v>Debt consolidation loan</x:v>
      </x:c>
      <x:c r="J120" s="18" t="str">
        <x:v>New customer</x:v>
      </x:c>
      <x:c r="K120" s="20" t="n">
        <x:v>45702.5</x:v>
      </x:c>
    </x:row>
    <x:row r="121" ht="15" hidden="0" customHeight="1">
      <x:c r="A121" s="18" t="str">
        <x:v>LN000120</x:v>
      </x:c>
      <x:c r="B121" s="18" t="str">
        <x:v>LOS-SYN-0000120</x:v>
      </x:c>
      <x:c r="C121" s="18" t="str">
        <x:v>EMP015</x:v>
      </x:c>
      <x:c r="D121" s="18" t="str">
        <x:v>CY2025Q1</x:v>
      </x:c>
      <x:c r="E121" s="18" t="str">
        <x:v>BR006</x:v>
      </x:c>
      <x:c r="F121" s="20" t="n">
        <x:v>45676.5</x:v>
      </x:c>
      <x:c r="G121" s="18" t="str">
        <x:v>Funded</x:v>
      </x:c>
      <x:c r="H121" s="23" t="n">
        <x:v>39000</x:v>
      </x:c>
      <x:c r="I121" s="18" t="str">
        <x:v>Debt consolidation loan</x:v>
      </x:c>
      <x:c r="J121" s="18" t="str">
        <x:v>Referral</x:v>
      </x:c>
      <x:c r="K121" s="20" t="n">
        <x:v>45684.5</x:v>
      </x:c>
    </x:row>
    <x:row r="122" ht="15" hidden="0" customHeight="1">
      <x:c r="A122" s="18" t="str">
        <x:v>LN000121</x:v>
      </x:c>
      <x:c r="B122" s="18" t="str">
        <x:v>LOS-SYN-0000121</x:v>
      </x:c>
      <x:c r="C122" s="18" t="str">
        <x:v>EMP015</x:v>
      </x:c>
      <x:c r="D122" s="18" t="str">
        <x:v>CY2025Q1</x:v>
      </x:c>
      <x:c r="E122" s="18" t="str">
        <x:v>BR006</x:v>
      </x:c>
      <x:c r="F122" s="20" t="n">
        <x:v>45676.5</x:v>
      </x:c>
      <x:c r="G122" s="18" t="str">
        <x:v>Funded</x:v>
      </x:c>
      <x:c r="H122" s="23" t="n">
        <x:v>32000</x:v>
      </x:c>
      <x:c r="I122" s="18" t="str">
        <x:v>Personal loan</x:v>
      </x:c>
      <x:c r="J122" s="18" t="str">
        <x:v>New customer</x:v>
      </x:c>
      <x:c r="K122" s="20" t="n">
        <x:v>45684.5</x:v>
      </x:c>
    </x:row>
    <x:row r="123" ht="15" hidden="0" customHeight="1">
      <x:c r="A123" s="18" t="str">
        <x:v>LN000122</x:v>
      </x:c>
      <x:c r="B123" s="18" t="str">
        <x:v>LOS-SYN-0000122</x:v>
      </x:c>
      <x:c r="C123" s="18" t="str">
        <x:v>EMP015</x:v>
      </x:c>
      <x:c r="D123" s="18" t="str">
        <x:v>CY2025Q1</x:v>
      </x:c>
      <x:c r="E123" s="18" t="str">
        <x:v>BR006</x:v>
      </x:c>
      <x:c r="F123" s="20" t="n">
        <x:v>45693.5</x:v>
      </x:c>
      <x:c r="G123" s="18" t="str">
        <x:v>Funded</x:v>
      </x:c>
      <x:c r="H123" s="23" t="n">
        <x:v>25500</x:v>
      </x:c>
      <x:c r="I123" s="18" t="str">
        <x:v>Auto loan</x:v>
      </x:c>
      <x:c r="J123" s="18" t="str">
        <x:v>New customer</x:v>
      </x:c>
      <x:c r="K123" s="20" t="n">
        <x:v>45701.5</x:v>
      </x:c>
    </x:row>
    <x:row r="124" ht="15" hidden="0" customHeight="1">
      <x:c r="A124" s="18" t="str">
        <x:v>LN000123</x:v>
      </x:c>
      <x:c r="B124" s="18" t="str">
        <x:v>LOS-SYN-0000123</x:v>
      </x:c>
      <x:c r="C124" s="18" t="str">
        <x:v>EMP001</x:v>
      </x:c>
      <x:c r="D124" s="18" t="str">
        <x:v>CY2025Q2</x:v>
      </x:c>
      <x:c r="E124" s="18" t="str">
        <x:v>BR001</x:v>
      </x:c>
      <x:c r="F124" s="20" t="n">
        <x:v>45798.5</x:v>
      </x:c>
      <x:c r="G124" s="18" t="str">
        <x:v>Funded</x:v>
      </x:c>
      <x:c r="H124" s="23" t="n">
        <x:v>42500</x:v>
      </x:c>
      <x:c r="I124" s="18" t="str">
        <x:v>Debt consolidation loan</x:v>
      </x:c>
      <x:c r="J124" s="18" t="str">
        <x:v>New customer</x:v>
      </x:c>
      <x:c r="K124" s="20" t="n">
        <x:v>45806.5</x:v>
      </x:c>
    </x:row>
    <x:row r="125" ht="15" hidden="0" customHeight="1">
      <x:c r="A125" s="18" t="str">
        <x:v>LN000124</x:v>
      </x:c>
      <x:c r="B125" s="18" t="str">
        <x:v>LOS-SYN-0000124</x:v>
      </x:c>
      <x:c r="C125" s="18" t="str">
        <x:v>EMP001</x:v>
      </x:c>
      <x:c r="D125" s="18" t="str">
        <x:v>CY2025Q2</x:v>
      </x:c>
      <x:c r="E125" s="18" t="str">
        <x:v>BR001</x:v>
      </x:c>
      <x:c r="F125" s="20" t="n">
        <x:v>45766.5</x:v>
      </x:c>
      <x:c r="G125" s="18" t="str">
        <x:v>Funded</x:v>
      </x:c>
      <x:c r="H125" s="23" t="n">
        <x:v>45500</x:v>
      </x:c>
      <x:c r="I125" s="18" t="str">
        <x:v>Debt consolidation loan</x:v>
      </x:c>
      <x:c r="J125" s="18" t="str">
        <x:v>Referral</x:v>
      </x:c>
      <x:c r="K125" s="20" t="n">
        <x:v>45773.5</x:v>
      </x:c>
    </x:row>
    <x:row r="126" ht="15" hidden="0" customHeight="1">
      <x:c r="A126" s="18" t="str">
        <x:v>LN000125</x:v>
      </x:c>
      <x:c r="B126" s="18" t="str">
        <x:v>LOS-SYN-0000125</x:v>
      </x:c>
      <x:c r="C126" s="18" t="str">
        <x:v>EMP001</x:v>
      </x:c>
      <x:c r="D126" s="18" t="str">
        <x:v>CY2025Q2</x:v>
      </x:c>
      <x:c r="E126" s="18" t="str">
        <x:v>BR001</x:v>
      </x:c>
      <x:c r="F126" s="20" t="n">
        <x:v>45806.5</x:v>
      </x:c>
      <x:c r="G126" s="18" t="str">
        <x:v>Funded</x:v>
      </x:c>
      <x:c r="H126" s="23" t="n">
        <x:v>47500</x:v>
      </x:c>
      <x:c r="I126" s="18" t="str">
        <x:v>Debt consolidation loan</x:v>
      </x:c>
      <x:c r="J126" s="18" t="str">
        <x:v>Existing customer</x:v>
      </x:c>
      <x:c r="K126" s="20" t="n">
        <x:v>45814.5</x:v>
      </x:c>
    </x:row>
    <x:row r="127" ht="15" hidden="0" customHeight="1">
      <x:c r="A127" s="18" t="str">
        <x:v>LN000126</x:v>
      </x:c>
      <x:c r="B127" s="18" t="str">
        <x:v>LOS-SYN-0000126</x:v>
      </x:c>
      <x:c r="C127" s="18" t="str">
        <x:v>EMP001</x:v>
      </x:c>
      <x:c r="D127" s="18" t="str">
        <x:v>CY2025Q2</x:v>
      </x:c>
      <x:c r="E127" s="18" t="str">
        <x:v>BR001</x:v>
      </x:c>
      <x:c r="F127" s="20" t="n">
        <x:v>45803.5</x:v>
      </x:c>
      <x:c r="G127" s="18" t="str">
        <x:v>Funded</x:v>
      </x:c>
      <x:c r="H127" s="23" t="n">
        <x:v>36500</x:v>
      </x:c>
      <x:c r="I127" s="18" t="str">
        <x:v>Auto loan</x:v>
      </x:c>
      <x:c r="J127" s="18" t="str">
        <x:v>Referral</x:v>
      </x:c>
      <x:c r="K127" s="20" t="n">
        <x:v>45812.5</x:v>
      </x:c>
    </x:row>
    <x:row r="128" ht="15" hidden="0" customHeight="1">
      <x:c r="A128" s="18" t="str">
        <x:v>LN000127</x:v>
      </x:c>
      <x:c r="B128" s="18" t="str">
        <x:v>LOS-SYN-0000127</x:v>
      </x:c>
      <x:c r="C128" s="18" t="str">
        <x:v>EMP001</x:v>
      </x:c>
      <x:c r="D128" s="18" t="str">
        <x:v>CY2025Q2</x:v>
      </x:c>
      <x:c r="E128" s="18" t="str">
        <x:v>BR001</x:v>
      </x:c>
      <x:c r="F128" s="20" t="n">
        <x:v>45791.5</x:v>
      </x:c>
      <x:c r="G128" s="18" t="str">
        <x:v>Funded</x:v>
      </x:c>
      <x:c r="H128" s="23" t="n">
        <x:v>30000</x:v>
      </x:c>
      <x:c r="I128" s="18" t="str">
        <x:v>Home improvement loan</x:v>
      </x:c>
      <x:c r="J128" s="18" t="str">
        <x:v>New customer</x:v>
      </x:c>
      <x:c r="K128" s="20" t="n">
        <x:v>45795.5</x:v>
      </x:c>
    </x:row>
    <x:row r="129" ht="15" hidden="0" customHeight="1">
      <x:c r="A129" s="18" t="str">
        <x:v>LN000128</x:v>
      </x:c>
      <x:c r="B129" s="18" t="str">
        <x:v>LOS-SYN-0000128</x:v>
      </x:c>
      <x:c r="C129" s="18" t="str">
        <x:v>EMP001</x:v>
      </x:c>
      <x:c r="D129" s="18" t="str">
        <x:v>CY2025Q2</x:v>
      </x:c>
      <x:c r="E129" s="18" t="str">
        <x:v>BR001</x:v>
      </x:c>
      <x:c r="F129" s="20" t="n">
        <x:v>45831.5</x:v>
      </x:c>
      <x:c r="G129" s="18" t="str">
        <x:v>Funded</x:v>
      </x:c>
      <x:c r="H129" s="23" t="n">
        <x:v>49000</x:v>
      </x:c>
      <x:c r="I129" s="18" t="str">
        <x:v>Debt consolidation loan</x:v>
      </x:c>
      <x:c r="J129" s="18" t="str">
        <x:v>Existing customer</x:v>
      </x:c>
      <x:c r="K129" s="20" t="n">
        <x:v>45842.5</x:v>
      </x:c>
    </x:row>
    <x:row r="130" ht="15" hidden="0" customHeight="1">
      <x:c r="A130" s="18" t="str">
        <x:v>LN000129</x:v>
      </x:c>
      <x:c r="B130" s="18" t="str">
        <x:v>LOS-SYN-0000129</x:v>
      </x:c>
      <x:c r="C130" s="18" t="str">
        <x:v>EMP001</x:v>
      </x:c>
      <x:c r="D130" s="18" t="str">
        <x:v>CY2025Q2</x:v>
      </x:c>
      <x:c r="E130" s="18" t="str">
        <x:v>BR001</x:v>
      </x:c>
      <x:c r="F130" s="20" t="n">
        <x:v>45758.5</x:v>
      </x:c>
      <x:c r="G130" s="18" t="str">
        <x:v>Funded</x:v>
      </x:c>
      <x:c r="H130" s="23" t="n">
        <x:v>43000</x:v>
      </x:c>
      <x:c r="I130" s="18" t="str">
        <x:v>Debt consolidation loan</x:v>
      </x:c>
      <x:c r="J130" s="18" t="str">
        <x:v>Existing customer</x:v>
      </x:c>
      <x:c r="K130" s="20" t="n">
        <x:v>45765.5</x:v>
      </x:c>
    </x:row>
    <x:row r="131" ht="15" hidden="0" customHeight="1">
      <x:c r="A131" s="18" t="str">
        <x:v>LN000130</x:v>
      </x:c>
      <x:c r="B131" s="18" t="str">
        <x:v>LOS-SYN-0000130</x:v>
      </x:c>
      <x:c r="C131" s="18" t="str">
        <x:v>EMP001</x:v>
      </x:c>
      <x:c r="D131" s="18" t="str">
        <x:v>CY2025Q2</x:v>
      </x:c>
      <x:c r="E131" s="18" t="str">
        <x:v>BR001</x:v>
      </x:c>
      <x:c r="F131" s="20" t="n">
        <x:v>45808.5</x:v>
      </x:c>
      <x:c r="G131" s="18" t="str">
        <x:v>Funded</x:v>
      </x:c>
      <x:c r="H131" s="23" t="n">
        <x:v>43500</x:v>
      </x:c>
      <x:c r="I131" s="18" t="str">
        <x:v>Home improvement loan</x:v>
      </x:c>
      <x:c r="J131" s="18" t="str">
        <x:v>Existing customer</x:v>
      </x:c>
      <x:c r="K131" s="20" t="n">
        <x:v>45811.5</x:v>
      </x:c>
    </x:row>
    <x:row r="132" ht="15" hidden="0" customHeight="1">
      <x:c r="A132" s="18" t="str">
        <x:v>LN000131</x:v>
      </x:c>
      <x:c r="B132" s="18" t="str">
        <x:v>LOS-SYN-0000131</x:v>
      </x:c>
      <x:c r="C132" s="18" t="str">
        <x:v>EMP001</x:v>
      </x:c>
      <x:c r="D132" s="18" t="str">
        <x:v>CY2025Q2</x:v>
      </x:c>
      <x:c r="E132" s="18" t="str">
        <x:v>BR001</x:v>
      </x:c>
      <x:c r="F132" s="20" t="n">
        <x:v>45800.5</x:v>
      </x:c>
      <x:c r="G132" s="18" t="str">
        <x:v>Funded</x:v>
      </x:c>
      <x:c r="H132" s="23" t="n">
        <x:v>26500</x:v>
      </x:c>
      <x:c r="I132" s="18" t="str">
        <x:v>Home improvement loan</x:v>
      </x:c>
      <x:c r="J132" s="18" t="str">
        <x:v>Existing customer</x:v>
      </x:c>
      <x:c r="K132" s="20" t="n">
        <x:v>45803.5</x:v>
      </x:c>
    </x:row>
    <x:row r="133" ht="15" hidden="0" customHeight="1">
      <x:c r="A133" s="18" t="str">
        <x:v>LN000132</x:v>
      </x:c>
      <x:c r="B133" s="18" t="str">
        <x:v>LOS-SYN-0000132</x:v>
      </x:c>
      <x:c r="C133" s="18" t="str">
        <x:v>EMP002</x:v>
      </x:c>
      <x:c r="D133" s="18" t="str">
        <x:v>CY2025Q2</x:v>
      </x:c>
      <x:c r="E133" s="18" t="str">
        <x:v>BR001</x:v>
      </x:c>
      <x:c r="F133" s="20" t="n">
        <x:v>45780.5</x:v>
      </x:c>
      <x:c r="G133" s="18" t="str">
        <x:v>Funded</x:v>
      </x:c>
      <x:c r="H133" s="23" t="n">
        <x:v>40000</x:v>
      </x:c>
      <x:c r="I133" s="18" t="str">
        <x:v>Debt consolidation loan</x:v>
      </x:c>
      <x:c r="J133" s="18" t="str">
        <x:v>Referral</x:v>
      </x:c>
      <x:c r="K133" s="20" t="n">
        <x:v>45787.5</x:v>
      </x:c>
    </x:row>
    <x:row r="134" ht="15" hidden="0" customHeight="1">
      <x:c r="A134" s="18" t="str">
        <x:v>LN000133</x:v>
      </x:c>
      <x:c r="B134" s="18" t="str">
        <x:v>LOS-SYN-0000133</x:v>
      </x:c>
      <x:c r="C134" s="18" t="str">
        <x:v>EMP002</x:v>
      </x:c>
      <x:c r="D134" s="18" t="str">
        <x:v>CY2025Q2</x:v>
      </x:c>
      <x:c r="E134" s="18" t="str">
        <x:v>BR001</x:v>
      </x:c>
      <x:c r="F134" s="20" t="n">
        <x:v>45748.5</x:v>
      </x:c>
      <x:c r="G134" s="18" t="str">
        <x:v>Funded</x:v>
      </x:c>
      <x:c r="H134" s="23" t="n">
        <x:v>34500</x:v>
      </x:c>
      <x:c r="I134" s="18" t="str">
        <x:v>Auto loan</x:v>
      </x:c>
      <x:c r="J134" s="18" t="str">
        <x:v>New customer</x:v>
      </x:c>
      <x:c r="K134" s="20" t="n">
        <x:v>45753.5</x:v>
      </x:c>
    </x:row>
    <x:row r="135" ht="15" hidden="0" customHeight="1">
      <x:c r="A135" s="18" t="str">
        <x:v>LN000134</x:v>
      </x:c>
      <x:c r="B135" s="18" t="str">
        <x:v>LOS-SYN-0000134</x:v>
      </x:c>
      <x:c r="C135" s="18" t="str">
        <x:v>EMP002</x:v>
      </x:c>
      <x:c r="D135" s="18" t="str">
        <x:v>CY2025Q2</x:v>
      </x:c>
      <x:c r="E135" s="18" t="str">
        <x:v>BR001</x:v>
      </x:c>
      <x:c r="F135" s="20" t="n">
        <x:v>45768.5</x:v>
      </x:c>
      <x:c r="G135" s="18" t="str">
        <x:v>Funded</x:v>
      </x:c>
      <x:c r="H135" s="23" t="n">
        <x:v>32000</x:v>
      </x:c>
      <x:c r="I135" s="18" t="str">
        <x:v>Home improvement loan</x:v>
      </x:c>
      <x:c r="J135" s="18" t="str">
        <x:v>Existing customer</x:v>
      </x:c>
      <x:c r="K135" s="20" t="n">
        <x:v>45777.5</x:v>
      </x:c>
    </x:row>
    <x:row r="136" ht="15" hidden="0" customHeight="1">
      <x:c r="A136" s="18" t="str">
        <x:v>LN000135</x:v>
      </x:c>
      <x:c r="B136" s="18" t="str">
        <x:v>LOS-SYN-0000135</x:v>
      </x:c>
      <x:c r="C136" s="18" t="str">
        <x:v>EMP002</x:v>
      </x:c>
      <x:c r="D136" s="18" t="str">
        <x:v>CY2025Q2</x:v>
      </x:c>
      <x:c r="E136" s="18" t="str">
        <x:v>BR001</x:v>
      </x:c>
      <x:c r="F136" s="20" t="n">
        <x:v>45828.5</x:v>
      </x:c>
      <x:c r="G136" s="18" t="str">
        <x:v>Funded</x:v>
      </x:c>
      <x:c r="H136" s="23" t="n">
        <x:v>42000</x:v>
      </x:c>
      <x:c r="I136" s="18" t="str">
        <x:v>Home improvement loan</x:v>
      </x:c>
      <x:c r="J136" s="18" t="str">
        <x:v>Existing customer</x:v>
      </x:c>
      <x:c r="K136" s="20" t="n">
        <x:v>45831.5</x:v>
      </x:c>
    </x:row>
    <x:row r="137" ht="15" hidden="0" customHeight="1">
      <x:c r="A137" s="18" t="str">
        <x:v>LN000136</x:v>
      </x:c>
      <x:c r="B137" s="18" t="str">
        <x:v>LOS-SYN-0000136</x:v>
      </x:c>
      <x:c r="C137" s="18" t="str">
        <x:v>EMP002</x:v>
      </x:c>
      <x:c r="D137" s="18" t="str">
        <x:v>CY2025Q2</x:v>
      </x:c>
      <x:c r="E137" s="18" t="str">
        <x:v>BR001</x:v>
      </x:c>
      <x:c r="F137" s="20" t="n">
        <x:v>45769.5</x:v>
      </x:c>
      <x:c r="G137" s="18" t="str">
        <x:v>Funded</x:v>
      </x:c>
      <x:c r="H137" s="23" t="n">
        <x:v>36500</x:v>
      </x:c>
      <x:c r="I137" s="18" t="str">
        <x:v>Home improvement loan</x:v>
      </x:c>
      <x:c r="J137" s="18" t="str">
        <x:v>Referral</x:v>
      </x:c>
      <x:c r="K137" s="20" t="n">
        <x:v>45776.5</x:v>
      </x:c>
    </x:row>
    <x:row r="138" ht="15" hidden="0" customHeight="1">
      <x:c r="A138" s="18" t="str">
        <x:v>LN000137</x:v>
      </x:c>
      <x:c r="B138" s="18" t="str">
        <x:v>LOS-SYN-0000137</x:v>
      </x:c>
      <x:c r="C138" s="18" t="str">
        <x:v>EMP002</x:v>
      </x:c>
      <x:c r="D138" s="18" t="str">
        <x:v>CY2025Q2</x:v>
      </x:c>
      <x:c r="E138" s="18" t="str">
        <x:v>BR001</x:v>
      </x:c>
      <x:c r="F138" s="20" t="n">
        <x:v>45793.5</x:v>
      </x:c>
      <x:c r="G138" s="18" t="str">
        <x:v>Funded</x:v>
      </x:c>
      <x:c r="H138" s="23" t="n">
        <x:v>38000</x:v>
      </x:c>
      <x:c r="I138" s="18" t="str">
        <x:v>Home improvement loan</x:v>
      </x:c>
      <x:c r="J138" s="18" t="str">
        <x:v>New customer</x:v>
      </x:c>
      <x:c r="K138" s="20" t="n">
        <x:v>45802.5</x:v>
      </x:c>
    </x:row>
    <x:row r="139" ht="15" hidden="0" customHeight="1">
      <x:c r="A139" s="18" t="str">
        <x:v>LN000138</x:v>
      </x:c>
      <x:c r="B139" s="18" t="str">
        <x:v>LOS-SYN-0000138</x:v>
      </x:c>
      <x:c r="C139" s="18" t="str">
        <x:v>EMP002</x:v>
      </x:c>
      <x:c r="D139" s="18" t="str">
        <x:v>CY2025Q2</x:v>
      </x:c>
      <x:c r="E139" s="18" t="str">
        <x:v>BR001</x:v>
      </x:c>
      <x:c r="F139" s="20" t="n">
        <x:v>45768.5</x:v>
      </x:c>
      <x:c r="G139" s="18" t="str">
        <x:v>Funded</x:v>
      </x:c>
      <x:c r="H139" s="23" t="n">
        <x:v>38500</x:v>
      </x:c>
      <x:c r="I139" s="18" t="str">
        <x:v>Auto loan</x:v>
      </x:c>
      <x:c r="J139" s="18" t="str">
        <x:v>Existing customer</x:v>
      </x:c>
      <x:c r="K139" s="20" t="n">
        <x:v>45773.5</x:v>
      </x:c>
    </x:row>
    <x:row r="140" ht="15" hidden="0" customHeight="1">
      <x:c r="A140" s="18" t="str">
        <x:v>LN000139</x:v>
      </x:c>
      <x:c r="B140" s="18" t="str">
        <x:v>LOS-SYN-0000139</x:v>
      </x:c>
      <x:c r="C140" s="18" t="str">
        <x:v>EMP002</x:v>
      </x:c>
      <x:c r="D140" s="18" t="str">
        <x:v>CY2025Q2</x:v>
      </x:c>
      <x:c r="E140" s="18" t="str">
        <x:v>BR001</x:v>
      </x:c>
      <x:c r="F140" s="20" t="n">
        <x:v>45814.5</x:v>
      </x:c>
      <x:c r="G140" s="18" t="str">
        <x:v>Funded</x:v>
      </x:c>
      <x:c r="H140" s="23" t="n">
        <x:v>29000</x:v>
      </x:c>
      <x:c r="I140" s="18" t="str">
        <x:v>Debt consolidation loan</x:v>
      </x:c>
      <x:c r="J140" s="18" t="str">
        <x:v>New customer</x:v>
      </x:c>
      <x:c r="K140" s="20" t="n">
        <x:v>45819.5</x:v>
      </x:c>
    </x:row>
    <x:row r="141" ht="15" hidden="0" customHeight="1">
      <x:c r="A141" s="18" t="str">
        <x:v>LN000140</x:v>
      </x:c>
      <x:c r="B141" s="18" t="str">
        <x:v>LOS-SYN-0000140</x:v>
      </x:c>
      <x:c r="C141" s="18" t="str">
        <x:v>EMP002</x:v>
      </x:c>
      <x:c r="D141" s="18" t="str">
        <x:v>CY2025Q2</x:v>
      </x:c>
      <x:c r="E141" s="18" t="str">
        <x:v>BR001</x:v>
      </x:c>
      <x:c r="F141" s="20" t="n">
        <x:v>45778.5</x:v>
      </x:c>
      <x:c r="G141" s="18" t="str">
        <x:v>Funded</x:v>
      </x:c>
      <x:c r="H141" s="23" t="n">
        <x:v>23500</x:v>
      </x:c>
      <x:c r="I141" s="18" t="str">
        <x:v>Home improvement loan</x:v>
      </x:c>
      <x:c r="J141" s="18" t="str">
        <x:v>Existing customer</x:v>
      </x:c>
      <x:c r="K141" s="20" t="n">
        <x:v>45782.5</x:v>
      </x:c>
    </x:row>
    <x:row r="142" ht="15" hidden="0" customHeight="1">
      <x:c r="A142" s="18" t="str">
        <x:v>LN000141</x:v>
      </x:c>
      <x:c r="B142" s="18" t="str">
        <x:v>LOS-SYN-0000141</x:v>
      </x:c>
      <x:c r="C142" s="18" t="str">
        <x:v>EMP002</x:v>
      </x:c>
      <x:c r="D142" s="18" t="str">
        <x:v>CY2025Q2</x:v>
      </x:c>
      <x:c r="E142" s="18" t="str">
        <x:v>BR001</x:v>
      </x:c>
      <x:c r="F142" s="20" t="n">
        <x:v>45818.5</x:v>
      </x:c>
      <x:c r="G142" s="18" t="str">
        <x:v>Funded</x:v>
      </x:c>
      <x:c r="H142" s="23" t="n">
        <x:v>35000</x:v>
      </x:c>
      <x:c r="I142" s="18" t="str">
        <x:v>Auto loan</x:v>
      </x:c>
      <x:c r="J142" s="18" t="str">
        <x:v>New customer</x:v>
      </x:c>
      <x:c r="K142" s="20" t="n">
        <x:v>45824.5</x:v>
      </x:c>
    </x:row>
    <x:row r="143" ht="15" hidden="0" customHeight="1">
      <x:c r="A143" s="18" t="str">
        <x:v>LN000142</x:v>
      </x:c>
      <x:c r="B143" s="18" t="str">
        <x:v>LOS-SYN-0000142</x:v>
      </x:c>
      <x:c r="C143" s="18" t="str">
        <x:v>EMP003</x:v>
      </x:c>
      <x:c r="D143" s="18" t="str">
        <x:v>CY2025Q2</x:v>
      </x:c>
      <x:c r="E143" s="18" t="str">
        <x:v>BR001</x:v>
      </x:c>
      <x:c r="F143" s="20" t="n">
        <x:v>45807.5</x:v>
      </x:c>
      <x:c r="G143" s="18" t="str">
        <x:v>Funded</x:v>
      </x:c>
      <x:c r="H143" s="23" t="n">
        <x:v>42500</x:v>
      </x:c>
      <x:c r="I143" s="18" t="str">
        <x:v>Personal loan</x:v>
      </x:c>
      <x:c r="J143" s="18" t="str">
        <x:v>New customer</x:v>
      </x:c>
      <x:c r="K143" s="20" t="n">
        <x:v>45811.5</x:v>
      </x:c>
    </x:row>
    <x:row r="144" ht="15" hidden="0" customHeight="1">
      <x:c r="A144" s="18" t="str">
        <x:v>LN000143</x:v>
      </x:c>
      <x:c r="B144" s="18" t="str">
        <x:v>LOS-SYN-0000143</x:v>
      </x:c>
      <x:c r="C144" s="18" t="str">
        <x:v>EMP003</x:v>
      </x:c>
      <x:c r="D144" s="18" t="str">
        <x:v>CY2025Q2</x:v>
      </x:c>
      <x:c r="E144" s="18" t="str">
        <x:v>BR001</x:v>
      </x:c>
      <x:c r="F144" s="20" t="n">
        <x:v>45788.5</x:v>
      </x:c>
      <x:c r="G144" s="18" t="str">
        <x:v>Funded</x:v>
      </x:c>
      <x:c r="H144" s="23" t="n">
        <x:v>63500</x:v>
      </x:c>
      <x:c r="I144" s="18" t="str">
        <x:v>Auto loan</x:v>
      </x:c>
      <x:c r="J144" s="18" t="str">
        <x:v>Existing customer</x:v>
      </x:c>
      <x:c r="K144" s="20" t="n">
        <x:v>45799.5</x:v>
      </x:c>
    </x:row>
    <x:row r="145" ht="15" hidden="0" customHeight="1">
      <x:c r="A145" s="18" t="str">
        <x:v>LN000144</x:v>
      </x:c>
      <x:c r="B145" s="18" t="str">
        <x:v>LOS-SYN-0000144</x:v>
      </x:c>
      <x:c r="C145" s="18" t="str">
        <x:v>EMP003</x:v>
      </x:c>
      <x:c r="D145" s="18" t="str">
        <x:v>CY2025Q2</x:v>
      </x:c>
      <x:c r="E145" s="18" t="str">
        <x:v>BR001</x:v>
      </x:c>
      <x:c r="F145" s="20" t="n">
        <x:v>45820.5</x:v>
      </x:c>
      <x:c r="G145" s="18" t="str">
        <x:v>Funded</x:v>
      </x:c>
      <x:c r="H145" s="23" t="n">
        <x:v>56500</x:v>
      </x:c>
      <x:c r="I145" s="18" t="str">
        <x:v>Personal loan</x:v>
      </x:c>
      <x:c r="J145" s="18" t="str">
        <x:v>New customer</x:v>
      </x:c>
      <x:c r="K145" s="20" t="n">
        <x:v>45824.5</x:v>
      </x:c>
    </x:row>
    <x:row r="146" ht="15" hidden="0" customHeight="1">
      <x:c r="A146" s="18" t="str">
        <x:v>LN000145</x:v>
      </x:c>
      <x:c r="B146" s="18" t="str">
        <x:v>LOS-SYN-0000145</x:v>
      </x:c>
      <x:c r="C146" s="18" t="str">
        <x:v>EMP003</x:v>
      </x:c>
      <x:c r="D146" s="18" t="str">
        <x:v>CY2025Q2</x:v>
      </x:c>
      <x:c r="E146" s="18" t="str">
        <x:v>BR001</x:v>
      </x:c>
      <x:c r="F146" s="20" t="n">
        <x:v>45788.5</x:v>
      </x:c>
      <x:c r="G146" s="18" t="str">
        <x:v>Funded</x:v>
      </x:c>
      <x:c r="H146" s="23" t="n">
        <x:v>48500</x:v>
      </x:c>
      <x:c r="I146" s="18" t="str">
        <x:v>Home improvement loan</x:v>
      </x:c>
      <x:c r="J146" s="18" t="str">
        <x:v>New customer</x:v>
      </x:c>
      <x:c r="K146" s="20" t="n">
        <x:v>45793.5</x:v>
      </x:c>
    </x:row>
    <x:row r="147" ht="15" hidden="0" customHeight="1">
      <x:c r="A147" s="18" t="str">
        <x:v>LN000146</x:v>
      </x:c>
      <x:c r="B147" s="18" t="str">
        <x:v>LOS-SYN-0000146</x:v>
      </x:c>
      <x:c r="C147" s="18" t="str">
        <x:v>EMP003</x:v>
      </x:c>
      <x:c r="D147" s="18" t="str">
        <x:v>CY2025Q2</x:v>
      </x:c>
      <x:c r="E147" s="18" t="str">
        <x:v>BR001</x:v>
      </x:c>
      <x:c r="F147" s="20" t="n">
        <x:v>45803.5</x:v>
      </x:c>
      <x:c r="G147" s="18" t="str">
        <x:v>Funded</x:v>
      </x:c>
      <x:c r="H147" s="23" t="n">
        <x:v>40000</x:v>
      </x:c>
      <x:c r="I147" s="18" t="str">
        <x:v>Auto loan</x:v>
      </x:c>
      <x:c r="J147" s="18" t="str">
        <x:v>New customer</x:v>
      </x:c>
      <x:c r="K147" s="20" t="n">
        <x:v>45807.5</x:v>
      </x:c>
    </x:row>
    <x:row r="148" ht="15" hidden="0" customHeight="1">
      <x:c r="A148" s="18" t="str">
        <x:v>LN000147</x:v>
      </x:c>
      <x:c r="B148" s="18" t="str">
        <x:v>LOS-SYN-0000147</x:v>
      </x:c>
      <x:c r="C148" s="18" t="str">
        <x:v>EMP003</x:v>
      </x:c>
      <x:c r="D148" s="18" t="str">
        <x:v>CY2025Q2</x:v>
      </x:c>
      <x:c r="E148" s="18" t="str">
        <x:v>BR001</x:v>
      </x:c>
      <x:c r="F148" s="20" t="n">
        <x:v>45784.5</x:v>
      </x:c>
      <x:c r="G148" s="18" t="str">
        <x:v>Cancelled</x:v>
      </x:c>
      <x:c r="H148" s="23" t="n">
        <x:v>24000</x:v>
      </x:c>
      <x:c r="I148" s="18" t="str">
        <x:v>Personal loan</x:v>
      </x:c>
      <x:c r="J148" s="18" t="str">
        <x:v>New customer</x:v>
      </x:c>
      <x:c r="K148" s="20"/>
    </x:row>
    <x:row r="149" ht="15" hidden="0" customHeight="1">
      <x:c r="A149" s="18" t="str">
        <x:v>LN000148</x:v>
      </x:c>
      <x:c r="B149" s="18" t="str">
        <x:v>LOS-SYN-0000148</x:v>
      </x:c>
      <x:c r="C149" s="18" t="str">
        <x:v>EMP004</x:v>
      </x:c>
      <x:c r="D149" s="18" t="str">
        <x:v>CY2025Q2</x:v>
      </x:c>
      <x:c r="E149" s="18" t="str">
        <x:v>BR002</x:v>
      </x:c>
      <x:c r="F149" s="20" t="n">
        <x:v>45758.5</x:v>
      </x:c>
      <x:c r="G149" s="18" t="str">
        <x:v>Funded</x:v>
      </x:c>
      <x:c r="H149" s="23" t="n">
        <x:v>31000</x:v>
      </x:c>
      <x:c r="I149" s="18" t="str">
        <x:v>Personal loan</x:v>
      </x:c>
      <x:c r="J149" s="18" t="str">
        <x:v>New customer</x:v>
      </x:c>
      <x:c r="K149" s="20" t="n">
        <x:v>45766.5</x:v>
      </x:c>
    </x:row>
    <x:row r="150" ht="15" hidden="0" customHeight="1">
      <x:c r="A150" s="18" t="str">
        <x:v>LN000149</x:v>
      </x:c>
      <x:c r="B150" s="18" t="str">
        <x:v>LOS-SYN-0000149</x:v>
      </x:c>
      <x:c r="C150" s="18" t="str">
        <x:v>EMP004</x:v>
      </x:c>
      <x:c r="D150" s="18" t="str">
        <x:v>CY2025Q2</x:v>
      </x:c>
      <x:c r="E150" s="18" t="str">
        <x:v>BR002</x:v>
      </x:c>
      <x:c r="F150" s="20" t="n">
        <x:v>45761.5</x:v>
      </x:c>
      <x:c r="G150" s="18" t="str">
        <x:v>Funded</x:v>
      </x:c>
      <x:c r="H150" s="23" t="n">
        <x:v>33500</x:v>
      </x:c>
      <x:c r="I150" s="18" t="str">
        <x:v>Auto loan</x:v>
      </x:c>
      <x:c r="J150" s="18" t="str">
        <x:v>New customer</x:v>
      </x:c>
      <x:c r="K150" s="20" t="n">
        <x:v>45770.5</x:v>
      </x:c>
    </x:row>
    <x:row r="151" ht="15" hidden="0" customHeight="1">
      <x:c r="A151" s="18" t="str">
        <x:v>LN000150</x:v>
      </x:c>
      <x:c r="B151" s="18" t="str">
        <x:v>LOS-SYN-0000150</x:v>
      </x:c>
      <x:c r="C151" s="18" t="str">
        <x:v>EMP004</x:v>
      </x:c>
      <x:c r="D151" s="18" t="str">
        <x:v>CY2025Q2</x:v>
      </x:c>
      <x:c r="E151" s="18" t="str">
        <x:v>BR002</x:v>
      </x:c>
      <x:c r="F151" s="20" t="n">
        <x:v>45808.5</x:v>
      </x:c>
      <x:c r="G151" s="18" t="str">
        <x:v>Funded</x:v>
      </x:c>
      <x:c r="H151" s="23" t="n">
        <x:v>31000</x:v>
      </x:c>
      <x:c r="I151" s="18" t="str">
        <x:v>Personal loan</x:v>
      </x:c>
      <x:c r="J151" s="18" t="str">
        <x:v>Referral</x:v>
      </x:c>
      <x:c r="K151" s="20" t="n">
        <x:v>45817.5</x:v>
      </x:c>
    </x:row>
    <x:row r="152" ht="15" hidden="0" customHeight="1">
      <x:c r="A152" s="18" t="str">
        <x:v>LN000151</x:v>
      </x:c>
      <x:c r="B152" s="18" t="str">
        <x:v>LOS-SYN-0000151</x:v>
      </x:c>
      <x:c r="C152" s="18" t="str">
        <x:v>EMP004</x:v>
      </x:c>
      <x:c r="D152" s="18" t="str">
        <x:v>CY2025Q2</x:v>
      </x:c>
      <x:c r="E152" s="18" t="str">
        <x:v>BR002</x:v>
      </x:c>
      <x:c r="F152" s="20" t="n">
        <x:v>45795.5</x:v>
      </x:c>
      <x:c r="G152" s="18" t="str">
        <x:v>Funded</x:v>
      </x:c>
      <x:c r="H152" s="23" t="n">
        <x:v>48500</x:v>
      </x:c>
      <x:c r="I152" s="18" t="str">
        <x:v>Auto loan</x:v>
      </x:c>
      <x:c r="J152" s="18" t="str">
        <x:v>New customer</x:v>
      </x:c>
      <x:c r="K152" s="20" t="n">
        <x:v>45807.5</x:v>
      </x:c>
    </x:row>
    <x:row r="153" ht="15" hidden="0" customHeight="1">
      <x:c r="A153" s="18" t="str">
        <x:v>LN000152</x:v>
      </x:c>
      <x:c r="B153" s="18" t="str">
        <x:v>LOS-SYN-0000152</x:v>
      </x:c>
      <x:c r="C153" s="18" t="str">
        <x:v>EMP004</x:v>
      </x:c>
      <x:c r="D153" s="18" t="str">
        <x:v>CY2025Q2</x:v>
      </x:c>
      <x:c r="E153" s="18" t="str">
        <x:v>BR002</x:v>
      </x:c>
      <x:c r="F153" s="20" t="n">
        <x:v>45799.5</x:v>
      </x:c>
      <x:c r="G153" s="18" t="str">
        <x:v>Funded</x:v>
      </x:c>
      <x:c r="H153" s="23" t="n">
        <x:v>28500</x:v>
      </x:c>
      <x:c r="I153" s="18" t="str">
        <x:v>Debt consolidation loan</x:v>
      </x:c>
      <x:c r="J153" s="18" t="str">
        <x:v>Existing customer</x:v>
      </x:c>
      <x:c r="K153" s="20" t="n">
        <x:v>45805.5</x:v>
      </x:c>
    </x:row>
    <x:row r="154" ht="15" hidden="0" customHeight="1">
      <x:c r="A154" s="18" t="str">
        <x:v>LN000153</x:v>
      </x:c>
      <x:c r="B154" s="18" t="str">
        <x:v>LOS-SYN-0000153</x:v>
      </x:c>
      <x:c r="C154" s="18" t="str">
        <x:v>EMP004</x:v>
      </x:c>
      <x:c r="D154" s="18" t="str">
        <x:v>CY2025Q2</x:v>
      </x:c>
      <x:c r="E154" s="18" t="str">
        <x:v>BR002</x:v>
      </x:c>
      <x:c r="F154" s="20" t="n">
        <x:v>45759.5</x:v>
      </x:c>
      <x:c r="G154" s="18" t="str">
        <x:v>Funded</x:v>
      </x:c>
      <x:c r="H154" s="23" t="n">
        <x:v>47500</x:v>
      </x:c>
      <x:c r="I154" s="18" t="str">
        <x:v>Auto loan</x:v>
      </x:c>
      <x:c r="J154" s="18" t="str">
        <x:v>Existing customer</x:v>
      </x:c>
      <x:c r="K154" s="20" t="n">
        <x:v>45763.5</x:v>
      </x:c>
    </x:row>
    <x:row r="155" ht="15" hidden="0" customHeight="1">
      <x:c r="A155" s="18" t="str">
        <x:v>LN000154</x:v>
      </x:c>
      <x:c r="B155" s="18" t="str">
        <x:v>LOS-SYN-0000154</x:v>
      </x:c>
      <x:c r="C155" s="18" t="str">
        <x:v>EMP005</x:v>
      </x:c>
      <x:c r="D155" s="18" t="str">
        <x:v>CY2025Q2</x:v>
      </x:c>
      <x:c r="E155" s="18" t="str">
        <x:v>BR002</x:v>
      </x:c>
      <x:c r="F155" s="20" t="n">
        <x:v>45802.5</x:v>
      </x:c>
      <x:c r="G155" s="18" t="str">
        <x:v>Funded</x:v>
      </x:c>
      <x:c r="H155" s="23" t="n">
        <x:v>40000</x:v>
      </x:c>
      <x:c r="I155" s="18" t="str">
        <x:v>Debt consolidation loan</x:v>
      </x:c>
      <x:c r="J155" s="18" t="str">
        <x:v>Referral</x:v>
      </x:c>
      <x:c r="K155" s="20" t="n">
        <x:v>45806.5</x:v>
      </x:c>
    </x:row>
    <x:row r="156" ht="15" hidden="0" customHeight="1">
      <x:c r="A156" s="18" t="str">
        <x:v>LN000155</x:v>
      </x:c>
      <x:c r="B156" s="18" t="str">
        <x:v>LOS-SYN-0000155</x:v>
      </x:c>
      <x:c r="C156" s="18" t="str">
        <x:v>EMP005</x:v>
      </x:c>
      <x:c r="D156" s="18" t="str">
        <x:v>CY2025Q2</x:v>
      </x:c>
      <x:c r="E156" s="18" t="str">
        <x:v>BR002</x:v>
      </x:c>
      <x:c r="F156" s="20" t="n">
        <x:v>45814.5</x:v>
      </x:c>
      <x:c r="G156" s="18" t="str">
        <x:v>Funded</x:v>
      </x:c>
      <x:c r="H156" s="23" t="n">
        <x:v>37000</x:v>
      </x:c>
      <x:c r="I156" s="18" t="str">
        <x:v>Debt consolidation loan</x:v>
      </x:c>
      <x:c r="J156" s="18" t="str">
        <x:v>Referral</x:v>
      </x:c>
      <x:c r="K156" s="20" t="n">
        <x:v>45822.5</x:v>
      </x:c>
    </x:row>
    <x:row r="157" ht="15" hidden="0" customHeight="1">
      <x:c r="A157" s="18" t="str">
        <x:v>LN000156</x:v>
      </x:c>
      <x:c r="B157" s="18" t="str">
        <x:v>LOS-SYN-0000156</x:v>
      </x:c>
      <x:c r="C157" s="18" t="str">
        <x:v>EMP005</x:v>
      </x:c>
      <x:c r="D157" s="18" t="str">
        <x:v>CY2025Q2</x:v>
      </x:c>
      <x:c r="E157" s="18" t="str">
        <x:v>BR002</x:v>
      </x:c>
      <x:c r="F157" s="20" t="n">
        <x:v>45823.5</x:v>
      </x:c>
      <x:c r="G157" s="18" t="str">
        <x:v>Funded</x:v>
      </x:c>
      <x:c r="H157" s="23" t="n">
        <x:v>38000</x:v>
      </x:c>
      <x:c r="I157" s="18" t="str">
        <x:v>Personal loan</x:v>
      </x:c>
      <x:c r="J157" s="18" t="str">
        <x:v>Existing customer</x:v>
      </x:c>
      <x:c r="K157" s="20" t="n">
        <x:v>45826.5</x:v>
      </x:c>
    </x:row>
    <x:row r="158" ht="15" hidden="0" customHeight="1">
      <x:c r="A158" s="18" t="str">
        <x:v>LN000157</x:v>
      </x:c>
      <x:c r="B158" s="18" t="str">
        <x:v>LOS-SYN-0000157</x:v>
      </x:c>
      <x:c r="C158" s="18" t="str">
        <x:v>EMP005</x:v>
      </x:c>
      <x:c r="D158" s="18" t="str">
        <x:v>CY2025Q2</x:v>
      </x:c>
      <x:c r="E158" s="18" t="str">
        <x:v>BR002</x:v>
      </x:c>
      <x:c r="F158" s="20" t="n">
        <x:v>45780.5</x:v>
      </x:c>
      <x:c r="G158" s="18" t="str">
        <x:v>Funded</x:v>
      </x:c>
      <x:c r="H158" s="23" t="n">
        <x:v>36500</x:v>
      </x:c>
      <x:c r="I158" s="18" t="str">
        <x:v>Debt consolidation loan</x:v>
      </x:c>
      <x:c r="J158" s="18" t="str">
        <x:v>New customer</x:v>
      </x:c>
      <x:c r="K158" s="20" t="n">
        <x:v>45783.5</x:v>
      </x:c>
    </x:row>
    <x:row r="159" ht="15" hidden="0" customHeight="1">
      <x:c r="A159" s="18" t="str">
        <x:v>LN000158</x:v>
      </x:c>
      <x:c r="B159" s="18" t="str">
        <x:v>LOS-SYN-0000158</x:v>
      </x:c>
      <x:c r="C159" s="18" t="str">
        <x:v>EMP005</x:v>
      </x:c>
      <x:c r="D159" s="18" t="str">
        <x:v>CY2025Q2</x:v>
      </x:c>
      <x:c r="E159" s="18" t="str">
        <x:v>BR002</x:v>
      </x:c>
      <x:c r="F159" s="20" t="n">
        <x:v>45790.5</x:v>
      </x:c>
      <x:c r="G159" s="18" t="str">
        <x:v>Funded</x:v>
      </x:c>
      <x:c r="H159" s="23" t="n">
        <x:v>40500</x:v>
      </x:c>
      <x:c r="I159" s="18" t="str">
        <x:v>Home improvement loan</x:v>
      </x:c>
      <x:c r="J159" s="18" t="str">
        <x:v>New customer</x:v>
      </x:c>
      <x:c r="K159" s="20" t="n">
        <x:v>45801.5</x:v>
      </x:c>
    </x:row>
    <x:row r="160" ht="15" hidden="0" customHeight="1">
      <x:c r="A160" s="18" t="str">
        <x:v>LN000159</x:v>
      </x:c>
      <x:c r="B160" s="18" t="str">
        <x:v>LOS-SYN-0000159</x:v>
      </x:c>
      <x:c r="C160" s="18" t="str">
        <x:v>EMP005</x:v>
      </x:c>
      <x:c r="D160" s="18" t="str">
        <x:v>CY2025Q2</x:v>
      </x:c>
      <x:c r="E160" s="18" t="str">
        <x:v>BR002</x:v>
      </x:c>
      <x:c r="F160" s="20" t="n">
        <x:v>45783.5</x:v>
      </x:c>
      <x:c r="G160" s="18" t="str">
        <x:v>Funded</x:v>
      </x:c>
      <x:c r="H160" s="23" t="n">
        <x:v>49000</x:v>
      </x:c>
      <x:c r="I160" s="18" t="str">
        <x:v>Auto loan</x:v>
      </x:c>
      <x:c r="J160" s="18" t="str">
        <x:v>New customer</x:v>
      </x:c>
      <x:c r="K160" s="20" t="n">
        <x:v>45794.5</x:v>
      </x:c>
    </x:row>
    <x:row r="161" ht="15" hidden="0" customHeight="1">
      <x:c r="A161" s="18" t="str">
        <x:v>LN000160</x:v>
      </x:c>
      <x:c r="B161" s="18" t="str">
        <x:v>LOS-SYN-0000160</x:v>
      </x:c>
      <x:c r="C161" s="18" t="str">
        <x:v>EMP005</x:v>
      </x:c>
      <x:c r="D161" s="18" t="str">
        <x:v>CY2025Q2</x:v>
      </x:c>
      <x:c r="E161" s="18" t="str">
        <x:v>BR002</x:v>
      </x:c>
      <x:c r="F161" s="20" t="n">
        <x:v>45806.5</x:v>
      </x:c>
      <x:c r="G161" s="18" t="str">
        <x:v>Funded</x:v>
      </x:c>
      <x:c r="H161" s="23" t="n">
        <x:v>33500</x:v>
      </x:c>
      <x:c r="I161" s="18" t="str">
        <x:v>Home improvement loan</x:v>
      </x:c>
      <x:c r="J161" s="18" t="str">
        <x:v>Referral</x:v>
      </x:c>
      <x:c r="K161" s="20" t="n">
        <x:v>45810.5</x:v>
      </x:c>
    </x:row>
    <x:row r="162" ht="15" hidden="0" customHeight="1">
      <x:c r="A162" s="18" t="str">
        <x:v>LN000161</x:v>
      </x:c>
      <x:c r="B162" s="18" t="str">
        <x:v>LOS-SYN-0000161</x:v>
      </x:c>
      <x:c r="C162" s="18" t="str">
        <x:v>EMP005</x:v>
      </x:c>
      <x:c r="D162" s="18" t="str">
        <x:v>CY2025Q2</x:v>
      </x:c>
      <x:c r="E162" s="18" t="str">
        <x:v>BR002</x:v>
      </x:c>
      <x:c r="F162" s="20" t="n">
        <x:v>45785.5</x:v>
      </x:c>
      <x:c r="G162" s="18" t="str">
        <x:v>Funded</x:v>
      </x:c>
      <x:c r="H162" s="23" t="n">
        <x:v>35500</x:v>
      </x:c>
      <x:c r="I162" s="18" t="str">
        <x:v>Personal loan</x:v>
      </x:c>
      <x:c r="J162" s="18" t="str">
        <x:v>New customer</x:v>
      </x:c>
      <x:c r="K162" s="20" t="n">
        <x:v>45796.5</x:v>
      </x:c>
    </x:row>
    <x:row r="163" ht="15" hidden="0" customHeight="1">
      <x:c r="A163" s="18" t="str">
        <x:v>LN000162</x:v>
      </x:c>
      <x:c r="B163" s="18" t="str">
        <x:v>LOS-SYN-0000162</x:v>
      </x:c>
      <x:c r="C163" s="18" t="str">
        <x:v>EMP005</x:v>
      </x:c>
      <x:c r="D163" s="18" t="str">
        <x:v>CY2025Q2</x:v>
      </x:c>
      <x:c r="E163" s="18" t="str">
        <x:v>BR002</x:v>
      </x:c>
      <x:c r="F163" s="20" t="n">
        <x:v>45793.5</x:v>
      </x:c>
      <x:c r="G163" s="18" t="str">
        <x:v>Funded</x:v>
      </x:c>
      <x:c r="H163" s="23" t="n">
        <x:v>53000</x:v>
      </x:c>
      <x:c r="I163" s="18" t="str">
        <x:v>Debt consolidation loan</x:v>
      </x:c>
      <x:c r="J163" s="18" t="str">
        <x:v>Existing customer</x:v>
      </x:c>
      <x:c r="K163" s="20" t="n">
        <x:v>45798.5</x:v>
      </x:c>
    </x:row>
    <x:row r="164" ht="15" hidden="0" customHeight="1">
      <x:c r="A164" s="18" t="str">
        <x:v>LN000163</x:v>
      </x:c>
      <x:c r="B164" s="18" t="str">
        <x:v>LOS-SYN-0000163</x:v>
      </x:c>
      <x:c r="C164" s="18" t="str">
        <x:v>EMP006</x:v>
      </x:c>
      <x:c r="D164" s="18" t="str">
        <x:v>CY2025Q2</x:v>
      </x:c>
      <x:c r="E164" s="18" t="str">
        <x:v>BR002</x:v>
      </x:c>
      <x:c r="F164" s="20" t="n">
        <x:v>45771.5</x:v>
      </x:c>
      <x:c r="G164" s="18" t="str">
        <x:v>Funded</x:v>
      </x:c>
      <x:c r="H164" s="23" t="n">
        <x:v>39000</x:v>
      </x:c>
      <x:c r="I164" s="18" t="str">
        <x:v>Auto loan</x:v>
      </x:c>
      <x:c r="J164" s="18" t="str">
        <x:v>Existing customer</x:v>
      </x:c>
      <x:c r="K164" s="20" t="n">
        <x:v>45774.5</x:v>
      </x:c>
    </x:row>
    <x:row r="165" ht="15" hidden="0" customHeight="1">
      <x:c r="A165" s="18" t="str">
        <x:v>LN000164</x:v>
      </x:c>
      <x:c r="B165" s="18" t="str">
        <x:v>LOS-SYN-0000164</x:v>
      </x:c>
      <x:c r="C165" s="18" t="str">
        <x:v>EMP006</x:v>
      </x:c>
      <x:c r="D165" s="18" t="str">
        <x:v>CY2025Q2</x:v>
      </x:c>
      <x:c r="E165" s="18" t="str">
        <x:v>BR002</x:v>
      </x:c>
      <x:c r="F165" s="20" t="n">
        <x:v>45781.5</x:v>
      </x:c>
      <x:c r="G165" s="18" t="str">
        <x:v>Funded</x:v>
      </x:c>
      <x:c r="H165" s="23" t="n">
        <x:v>34000</x:v>
      </x:c>
      <x:c r="I165" s="18" t="str">
        <x:v>Auto loan</x:v>
      </x:c>
      <x:c r="J165" s="18" t="str">
        <x:v>Existing customer</x:v>
      </x:c>
      <x:c r="K165" s="20" t="n">
        <x:v>45790.5</x:v>
      </x:c>
    </x:row>
    <x:row r="166" ht="15" hidden="0" customHeight="1">
      <x:c r="A166" s="18" t="str">
        <x:v>LN000165</x:v>
      </x:c>
      <x:c r="B166" s="18" t="str">
        <x:v>LOS-SYN-0000165</x:v>
      </x:c>
      <x:c r="C166" s="18" t="str">
        <x:v>EMP006</x:v>
      </x:c>
      <x:c r="D166" s="18" t="str">
        <x:v>CY2025Q2</x:v>
      </x:c>
      <x:c r="E166" s="18" t="str">
        <x:v>BR002</x:v>
      </x:c>
      <x:c r="F166" s="20" t="n">
        <x:v>45813.5</x:v>
      </x:c>
      <x:c r="G166" s="18" t="str">
        <x:v>Funded</x:v>
      </x:c>
      <x:c r="H166" s="23" t="n">
        <x:v>36000</x:v>
      </x:c>
      <x:c r="I166" s="18" t="str">
        <x:v>Personal loan</x:v>
      </x:c>
      <x:c r="J166" s="18" t="str">
        <x:v>Existing customer</x:v>
      </x:c>
      <x:c r="K166" s="20" t="n">
        <x:v>45816.5</x:v>
      </x:c>
    </x:row>
    <x:row r="167" ht="15" hidden="0" customHeight="1">
      <x:c r="A167" s="18" t="str">
        <x:v>LN000166</x:v>
      </x:c>
      <x:c r="B167" s="18" t="str">
        <x:v>LOS-SYN-0000166</x:v>
      </x:c>
      <x:c r="C167" s="18" t="str">
        <x:v>EMP006</x:v>
      </x:c>
      <x:c r="D167" s="18" t="str">
        <x:v>CY2025Q2</x:v>
      </x:c>
      <x:c r="E167" s="18" t="str">
        <x:v>BR002</x:v>
      </x:c>
      <x:c r="F167" s="20" t="n">
        <x:v>45781.5</x:v>
      </x:c>
      <x:c r="G167" s="18" t="str">
        <x:v>Funded</x:v>
      </x:c>
      <x:c r="H167" s="23" t="n">
        <x:v>39500</x:v>
      </x:c>
      <x:c r="I167" s="18" t="str">
        <x:v>Home improvement loan</x:v>
      </x:c>
      <x:c r="J167" s="18" t="str">
        <x:v>Referral</x:v>
      </x:c>
      <x:c r="K167" s="20" t="n">
        <x:v>45793.5</x:v>
      </x:c>
    </x:row>
    <x:row r="168" ht="15" hidden="0" customHeight="1">
      <x:c r="A168" s="18" t="str">
        <x:v>LN000167</x:v>
      </x:c>
      <x:c r="B168" s="18" t="str">
        <x:v>LOS-SYN-0000167</x:v>
      </x:c>
      <x:c r="C168" s="18" t="str">
        <x:v>EMP006</x:v>
      </x:c>
      <x:c r="D168" s="18" t="str">
        <x:v>CY2025Q2</x:v>
      </x:c>
      <x:c r="E168" s="18" t="str">
        <x:v>BR002</x:v>
      </x:c>
      <x:c r="F168" s="20" t="n">
        <x:v>45822.5</x:v>
      </x:c>
      <x:c r="G168" s="18" t="str">
        <x:v>Funded</x:v>
      </x:c>
      <x:c r="H168" s="23" t="n">
        <x:v>39000</x:v>
      </x:c>
      <x:c r="I168" s="18" t="str">
        <x:v>Debt consolidation loan</x:v>
      </x:c>
      <x:c r="J168" s="18" t="str">
        <x:v>Referral</x:v>
      </x:c>
      <x:c r="K168" s="20" t="n">
        <x:v>45827.5</x:v>
      </x:c>
    </x:row>
    <x:row r="169" ht="15" hidden="0" customHeight="1">
      <x:c r="A169" s="18" t="str">
        <x:v>LN000168</x:v>
      </x:c>
      <x:c r="B169" s="18" t="str">
        <x:v>LOS-SYN-0000168</x:v>
      </x:c>
      <x:c r="C169" s="18" t="str">
        <x:v>EMP006</x:v>
      </x:c>
      <x:c r="D169" s="18" t="str">
        <x:v>CY2025Q2</x:v>
      </x:c>
      <x:c r="E169" s="18" t="str">
        <x:v>BR002</x:v>
      </x:c>
      <x:c r="F169" s="20" t="n">
        <x:v>45803.5</x:v>
      </x:c>
      <x:c r="G169" s="18" t="str">
        <x:v>Funded</x:v>
      </x:c>
      <x:c r="H169" s="23" t="n">
        <x:v>30000</x:v>
      </x:c>
      <x:c r="I169" s="18" t="str">
        <x:v>Auto loan</x:v>
      </x:c>
      <x:c r="J169" s="18" t="str">
        <x:v>New customer</x:v>
      </x:c>
      <x:c r="K169" s="20" t="n">
        <x:v>45807.5</x:v>
      </x:c>
    </x:row>
    <x:row r="170" ht="15" hidden="0" customHeight="1">
      <x:c r="A170" s="18" t="str">
        <x:v>LN000169</x:v>
      </x:c>
      <x:c r="B170" s="18" t="str">
        <x:v>LOS-SYN-0000169</x:v>
      </x:c>
      <x:c r="C170" s="18" t="str">
        <x:v>EMP006</x:v>
      </x:c>
      <x:c r="D170" s="18" t="str">
        <x:v>CY2025Q2</x:v>
      </x:c>
      <x:c r="E170" s="18" t="str">
        <x:v>BR002</x:v>
      </x:c>
      <x:c r="F170" s="20" t="n">
        <x:v>45796.5</x:v>
      </x:c>
      <x:c r="G170" s="18" t="str">
        <x:v>Funded</x:v>
      </x:c>
      <x:c r="H170" s="23" t="n">
        <x:v>36500</x:v>
      </x:c>
      <x:c r="I170" s="18" t="str">
        <x:v>Home improvement loan</x:v>
      </x:c>
      <x:c r="J170" s="18" t="str">
        <x:v>New customer</x:v>
      </x:c>
      <x:c r="K170" s="20" t="n">
        <x:v>45804.5</x:v>
      </x:c>
    </x:row>
    <x:row r="171" ht="15" hidden="0" customHeight="1">
      <x:c r="A171" s="18" t="str">
        <x:v>LN000170</x:v>
      </x:c>
      <x:c r="B171" s="18" t="str">
        <x:v>LOS-SYN-0000170</x:v>
      </x:c>
      <x:c r="C171" s="18" t="str">
        <x:v>EMP006</x:v>
      </x:c>
      <x:c r="D171" s="18" t="str">
        <x:v>CY2025Q2</x:v>
      </x:c>
      <x:c r="E171" s="18" t="str">
        <x:v>BR002</x:v>
      </x:c>
      <x:c r="F171" s="20" t="n">
        <x:v>45829.5</x:v>
      </x:c>
      <x:c r="G171" s="18" t="str">
        <x:v>Funded</x:v>
      </x:c>
      <x:c r="H171" s="23" t="n">
        <x:v>35000</x:v>
      </x:c>
      <x:c r="I171" s="18" t="str">
        <x:v>Debt consolidation loan</x:v>
      </x:c>
      <x:c r="J171" s="18" t="str">
        <x:v>New customer</x:v>
      </x:c>
      <x:c r="K171" s="20" t="n">
        <x:v>45840.5</x:v>
      </x:c>
    </x:row>
    <x:row r="172" ht="15" hidden="0" customHeight="1">
      <x:c r="A172" s="18" t="str">
        <x:v>LN000171</x:v>
      </x:c>
      <x:c r="B172" s="18" t="str">
        <x:v>LOS-SYN-0000171</x:v>
      </x:c>
      <x:c r="C172" s="18" t="str">
        <x:v>EMP006</x:v>
      </x:c>
      <x:c r="D172" s="18" t="str">
        <x:v>CY2025Q2</x:v>
      </x:c>
      <x:c r="E172" s="18" t="str">
        <x:v>BR002</x:v>
      </x:c>
      <x:c r="F172" s="20" t="n">
        <x:v>45823.5</x:v>
      </x:c>
      <x:c r="G172" s="18" t="str">
        <x:v>Funded</x:v>
      </x:c>
      <x:c r="H172" s="23" t="n">
        <x:v>56000</x:v>
      </x:c>
      <x:c r="I172" s="18" t="str">
        <x:v>Home improvement loan</x:v>
      </x:c>
      <x:c r="J172" s="18" t="str">
        <x:v>New customer</x:v>
      </x:c>
      <x:c r="K172" s="20" t="n">
        <x:v>45826.5</x:v>
      </x:c>
    </x:row>
    <x:row r="173" ht="15" hidden="0" customHeight="1">
      <x:c r="A173" s="18" t="str">
        <x:v>LN000172</x:v>
      </x:c>
      <x:c r="B173" s="18" t="str">
        <x:v>LOS-SYN-0000172</x:v>
      </x:c>
      <x:c r="C173" s="18" t="str">
        <x:v>EMP006</x:v>
      </x:c>
      <x:c r="D173" s="18" t="str">
        <x:v>CY2025Q2</x:v>
      </x:c>
      <x:c r="E173" s="18" t="str">
        <x:v>BR002</x:v>
      </x:c>
      <x:c r="F173" s="20" t="n">
        <x:v>45803.5</x:v>
      </x:c>
      <x:c r="G173" s="18" t="str">
        <x:v>Cancelled</x:v>
      </x:c>
      <x:c r="H173" s="23" t="n">
        <x:v>26000</x:v>
      </x:c>
      <x:c r="I173" s="18" t="str">
        <x:v>Personal loan</x:v>
      </x:c>
      <x:c r="J173" s="18" t="str">
        <x:v>New customer</x:v>
      </x:c>
      <x:c r="K173" s="20"/>
    </x:row>
    <x:row r="174" ht="15" hidden="0" customHeight="1">
      <x:c r="A174" s="18" t="str">
        <x:v>LN000173</x:v>
      </x:c>
      <x:c r="B174" s="18" t="str">
        <x:v>LOS-SYN-0000173</x:v>
      </x:c>
      <x:c r="C174" s="18" t="str">
        <x:v>EMP007</x:v>
      </x:c>
      <x:c r="D174" s="18" t="str">
        <x:v>CY2025Q2</x:v>
      </x:c>
      <x:c r="E174" s="18" t="str">
        <x:v>BR003</x:v>
      </x:c>
      <x:c r="F174" s="20" t="n">
        <x:v>45759.5</x:v>
      </x:c>
      <x:c r="G174" s="18" t="str">
        <x:v>Funded</x:v>
      </x:c>
      <x:c r="H174" s="23" t="n">
        <x:v>43500</x:v>
      </x:c>
      <x:c r="I174" s="18" t="str">
        <x:v>Auto loan</x:v>
      </x:c>
      <x:c r="J174" s="18" t="str">
        <x:v>Existing customer</x:v>
      </x:c>
      <x:c r="K174" s="20" t="n">
        <x:v>45766.5</x:v>
      </x:c>
    </x:row>
    <x:row r="175" ht="15" hidden="0" customHeight="1">
      <x:c r="A175" s="18" t="str">
        <x:v>LN000174</x:v>
      </x:c>
      <x:c r="B175" s="18" t="str">
        <x:v>LOS-SYN-0000174</x:v>
      </x:c>
      <x:c r="C175" s="18" t="str">
        <x:v>EMP007</x:v>
      </x:c>
      <x:c r="D175" s="18" t="str">
        <x:v>CY2025Q2</x:v>
      </x:c>
      <x:c r="E175" s="18" t="str">
        <x:v>BR003</x:v>
      </x:c>
      <x:c r="F175" s="20" t="n">
        <x:v>45758.5</x:v>
      </x:c>
      <x:c r="G175" s="18" t="str">
        <x:v>Funded</x:v>
      </x:c>
      <x:c r="H175" s="23" t="n">
        <x:v>53000</x:v>
      </x:c>
      <x:c r="I175" s="18" t="str">
        <x:v>Auto loan</x:v>
      </x:c>
      <x:c r="J175" s="18" t="str">
        <x:v>Existing customer</x:v>
      </x:c>
      <x:c r="K175" s="20" t="n">
        <x:v>45770.5</x:v>
      </x:c>
    </x:row>
    <x:row r="176" ht="15" hidden="0" customHeight="1">
      <x:c r="A176" s="18" t="str">
        <x:v>LN000175</x:v>
      </x:c>
      <x:c r="B176" s="18" t="str">
        <x:v>LOS-SYN-0000175</x:v>
      </x:c>
      <x:c r="C176" s="18" t="str">
        <x:v>EMP007</x:v>
      </x:c>
      <x:c r="D176" s="18" t="str">
        <x:v>CY2025Q2</x:v>
      </x:c>
      <x:c r="E176" s="18" t="str">
        <x:v>BR003</x:v>
      </x:c>
      <x:c r="F176" s="20" t="n">
        <x:v>45754.5</x:v>
      </x:c>
      <x:c r="G176" s="18" t="str">
        <x:v>Funded</x:v>
      </x:c>
      <x:c r="H176" s="23" t="n">
        <x:v>39500</x:v>
      </x:c>
      <x:c r="I176" s="18" t="str">
        <x:v>Personal loan</x:v>
      </x:c>
      <x:c r="J176" s="18" t="str">
        <x:v>Existing customer</x:v>
      </x:c>
      <x:c r="K176" s="20" t="n">
        <x:v>45759.5</x:v>
      </x:c>
    </x:row>
    <x:row r="177" ht="15" hidden="0" customHeight="1">
      <x:c r="A177" s="18" t="str">
        <x:v>LN000176</x:v>
      </x:c>
      <x:c r="B177" s="18" t="str">
        <x:v>LOS-SYN-0000176</x:v>
      </x:c>
      <x:c r="C177" s="18" t="str">
        <x:v>EMP007</x:v>
      </x:c>
      <x:c r="D177" s="18" t="str">
        <x:v>CY2025Q2</x:v>
      </x:c>
      <x:c r="E177" s="18" t="str">
        <x:v>BR003</x:v>
      </x:c>
      <x:c r="F177" s="20" t="n">
        <x:v>45763.5</x:v>
      </x:c>
      <x:c r="G177" s="18" t="str">
        <x:v>Funded</x:v>
      </x:c>
      <x:c r="H177" s="23" t="n">
        <x:v>31500</x:v>
      </x:c>
      <x:c r="I177" s="18" t="str">
        <x:v>Debt consolidation loan</x:v>
      </x:c>
      <x:c r="J177" s="18" t="str">
        <x:v>Existing customer</x:v>
      </x:c>
      <x:c r="K177" s="20" t="n">
        <x:v>45775.5</x:v>
      </x:c>
    </x:row>
    <x:row r="178" ht="15" hidden="0" customHeight="1">
      <x:c r="A178" s="18" t="str">
        <x:v>LN000177</x:v>
      </x:c>
      <x:c r="B178" s="18" t="str">
        <x:v>LOS-SYN-0000177</x:v>
      </x:c>
      <x:c r="C178" s="18" t="str">
        <x:v>EMP007</x:v>
      </x:c>
      <x:c r="D178" s="18" t="str">
        <x:v>CY2025Q2</x:v>
      </x:c>
      <x:c r="E178" s="18" t="str">
        <x:v>BR003</x:v>
      </x:c>
      <x:c r="F178" s="20" t="n">
        <x:v>45827.5</x:v>
      </x:c>
      <x:c r="G178" s="18" t="str">
        <x:v>Funded</x:v>
      </x:c>
      <x:c r="H178" s="23" t="n">
        <x:v>54500</x:v>
      </x:c>
      <x:c r="I178" s="18" t="str">
        <x:v>Personal loan</x:v>
      </x:c>
      <x:c r="J178" s="18" t="str">
        <x:v>Referral</x:v>
      </x:c>
      <x:c r="K178" s="20" t="n">
        <x:v>45835.5</x:v>
      </x:c>
    </x:row>
    <x:row r="179" ht="15" hidden="0" customHeight="1">
      <x:c r="A179" s="18" t="str">
        <x:v>LN000178</x:v>
      </x:c>
      <x:c r="B179" s="18" t="str">
        <x:v>LOS-SYN-0000178</x:v>
      </x:c>
      <x:c r="C179" s="18" t="str">
        <x:v>EMP007</x:v>
      </x:c>
      <x:c r="D179" s="18" t="str">
        <x:v>CY2025Q2</x:v>
      </x:c>
      <x:c r="E179" s="18" t="str">
        <x:v>BR003</x:v>
      </x:c>
      <x:c r="F179" s="20" t="n">
        <x:v>45786.5</x:v>
      </x:c>
      <x:c r="G179" s="18" t="str">
        <x:v>Funded</x:v>
      </x:c>
      <x:c r="H179" s="23" t="n">
        <x:v>38000</x:v>
      </x:c>
      <x:c r="I179" s="18" t="str">
        <x:v>Personal loan</x:v>
      </x:c>
      <x:c r="J179" s="18" t="str">
        <x:v>New customer</x:v>
      </x:c>
      <x:c r="K179" s="20" t="n">
        <x:v>45791.5</x:v>
      </x:c>
    </x:row>
    <x:row r="180" ht="15" hidden="0" customHeight="1">
      <x:c r="A180" s="18" t="str">
        <x:v>LN000179</x:v>
      </x:c>
      <x:c r="B180" s="18" t="str">
        <x:v>LOS-SYN-0000179</x:v>
      </x:c>
      <x:c r="C180" s="18" t="str">
        <x:v>EMP008</x:v>
      </x:c>
      <x:c r="D180" s="18" t="str">
        <x:v>CY2025Q2</x:v>
      </x:c>
      <x:c r="E180" s="18" t="str">
        <x:v>BR003</x:v>
      </x:c>
      <x:c r="F180" s="20" t="n">
        <x:v>45823.5</x:v>
      </x:c>
      <x:c r="G180" s="18" t="str">
        <x:v>Funded</x:v>
      </x:c>
      <x:c r="H180" s="23" t="n">
        <x:v>43000</x:v>
      </x:c>
      <x:c r="I180" s="18" t="str">
        <x:v>Personal loan</x:v>
      </x:c>
      <x:c r="J180" s="18" t="str">
        <x:v>New customer</x:v>
      </x:c>
      <x:c r="K180" s="20" t="n">
        <x:v>45832.5</x:v>
      </x:c>
    </x:row>
    <x:row r="181" ht="15" hidden="0" customHeight="1">
      <x:c r="A181" s="18" t="str">
        <x:v>LN000180</x:v>
      </x:c>
      <x:c r="B181" s="18" t="str">
        <x:v>LOS-SYN-0000180</x:v>
      </x:c>
      <x:c r="C181" s="18" t="str">
        <x:v>EMP008</x:v>
      </x:c>
      <x:c r="D181" s="18" t="str">
        <x:v>CY2025Q2</x:v>
      </x:c>
      <x:c r="E181" s="18" t="str">
        <x:v>BR003</x:v>
      </x:c>
      <x:c r="F181" s="20" t="n">
        <x:v>45794.5</x:v>
      </x:c>
      <x:c r="G181" s="18" t="str">
        <x:v>Funded</x:v>
      </x:c>
      <x:c r="H181" s="23" t="n">
        <x:v>33500</x:v>
      </x:c>
      <x:c r="I181" s="18" t="str">
        <x:v>Home improvement loan</x:v>
      </x:c>
      <x:c r="J181" s="18" t="str">
        <x:v>New customer</x:v>
      </x:c>
      <x:c r="K181" s="20" t="n">
        <x:v>45798.5</x:v>
      </x:c>
    </x:row>
    <x:row r="182" ht="15" hidden="0" customHeight="1">
      <x:c r="A182" s="18" t="str">
        <x:v>LN000181</x:v>
      </x:c>
      <x:c r="B182" s="18" t="str">
        <x:v>LOS-SYN-0000181</x:v>
      </x:c>
      <x:c r="C182" s="18" t="str">
        <x:v>EMP008</x:v>
      </x:c>
      <x:c r="D182" s="18" t="str">
        <x:v>CY2025Q2</x:v>
      </x:c>
      <x:c r="E182" s="18" t="str">
        <x:v>BR003</x:v>
      </x:c>
      <x:c r="F182" s="20" t="n">
        <x:v>45811.5</x:v>
      </x:c>
      <x:c r="G182" s="18" t="str">
        <x:v>Funded</x:v>
      </x:c>
      <x:c r="H182" s="23" t="n">
        <x:v>45500</x:v>
      </x:c>
      <x:c r="I182" s="18" t="str">
        <x:v>Home improvement loan</x:v>
      </x:c>
      <x:c r="J182" s="18" t="str">
        <x:v>Existing customer</x:v>
      </x:c>
      <x:c r="K182" s="20" t="n">
        <x:v>45818.5</x:v>
      </x:c>
    </x:row>
    <x:row r="183" ht="15" hidden="0" customHeight="1">
      <x:c r="A183" s="18" t="str">
        <x:v>LN000182</x:v>
      </x:c>
      <x:c r="B183" s="18" t="str">
        <x:v>LOS-SYN-0000182</x:v>
      </x:c>
      <x:c r="C183" s="18" t="str">
        <x:v>EMP008</x:v>
      </x:c>
      <x:c r="D183" s="18" t="str">
        <x:v>CY2025Q2</x:v>
      </x:c>
      <x:c r="E183" s="18" t="str">
        <x:v>BR003</x:v>
      </x:c>
      <x:c r="F183" s="20" t="n">
        <x:v>45754.5</x:v>
      </x:c>
      <x:c r="G183" s="18" t="str">
        <x:v>Funded</x:v>
      </x:c>
      <x:c r="H183" s="23" t="n">
        <x:v>35500</x:v>
      </x:c>
      <x:c r="I183" s="18" t="str">
        <x:v>Personal loan</x:v>
      </x:c>
      <x:c r="J183" s="18" t="str">
        <x:v>Existing customer</x:v>
      </x:c>
      <x:c r="K183" s="20" t="n">
        <x:v>45757.5</x:v>
      </x:c>
    </x:row>
    <x:row r="184" ht="15" hidden="0" customHeight="1">
      <x:c r="A184" s="18" t="str">
        <x:v>LN000183</x:v>
      </x:c>
      <x:c r="B184" s="18" t="str">
        <x:v>LOS-SYN-0000183</x:v>
      </x:c>
      <x:c r="C184" s="18" t="str">
        <x:v>EMP008</x:v>
      </x:c>
      <x:c r="D184" s="18" t="str">
        <x:v>CY2025Q2</x:v>
      </x:c>
      <x:c r="E184" s="18" t="str">
        <x:v>BR003</x:v>
      </x:c>
      <x:c r="F184" s="20" t="n">
        <x:v>45825.5</x:v>
      </x:c>
      <x:c r="G184" s="18" t="str">
        <x:v>Funded</x:v>
      </x:c>
      <x:c r="H184" s="23" t="n">
        <x:v>33500</x:v>
      </x:c>
      <x:c r="I184" s="18" t="str">
        <x:v>Debt consolidation loan</x:v>
      </x:c>
      <x:c r="J184" s="18" t="str">
        <x:v>New customer</x:v>
      </x:c>
      <x:c r="K184" s="20" t="n">
        <x:v>45834.5</x:v>
      </x:c>
    </x:row>
    <x:row r="185" ht="15" hidden="0" customHeight="1">
      <x:c r="A185" s="18" t="str">
        <x:v>LN000184</x:v>
      </x:c>
      <x:c r="B185" s="18" t="str">
        <x:v>LOS-SYN-0000184</x:v>
      </x:c>
      <x:c r="C185" s="18" t="str">
        <x:v>EMP009</x:v>
      </x:c>
      <x:c r="D185" s="18" t="str">
        <x:v>CY2025Q2</x:v>
      </x:c>
      <x:c r="E185" s="18" t="str">
        <x:v>BR004</x:v>
      </x:c>
      <x:c r="F185" s="20" t="n">
        <x:v>45790.5</x:v>
      </x:c>
      <x:c r="G185" s="18" t="str">
        <x:v>Funded</x:v>
      </x:c>
      <x:c r="H185" s="23" t="n">
        <x:v>45500</x:v>
      </x:c>
      <x:c r="I185" s="18" t="str">
        <x:v>Auto loan</x:v>
      </x:c>
      <x:c r="J185" s="18" t="str">
        <x:v>Existing customer</x:v>
      </x:c>
      <x:c r="K185" s="20" t="n">
        <x:v>45796.5</x:v>
      </x:c>
    </x:row>
    <x:row r="186" ht="15" hidden="0" customHeight="1">
      <x:c r="A186" s="18" t="str">
        <x:v>LN000185</x:v>
      </x:c>
      <x:c r="B186" s="18" t="str">
        <x:v>LOS-SYN-0000185</x:v>
      </x:c>
      <x:c r="C186" s="18" t="str">
        <x:v>EMP009</x:v>
      </x:c>
      <x:c r="D186" s="18" t="str">
        <x:v>CY2025Q2</x:v>
      </x:c>
      <x:c r="E186" s="18" t="str">
        <x:v>BR004</x:v>
      </x:c>
      <x:c r="F186" s="20" t="n">
        <x:v>45775.5</x:v>
      </x:c>
      <x:c r="G186" s="18" t="str">
        <x:v>Funded</x:v>
      </x:c>
      <x:c r="H186" s="23" t="n">
        <x:v>51000</x:v>
      </x:c>
      <x:c r="I186" s="18" t="str">
        <x:v>Auto loan</x:v>
      </x:c>
      <x:c r="J186" s="18" t="str">
        <x:v>New customer</x:v>
      </x:c>
      <x:c r="K186" s="20" t="n">
        <x:v>45778.5</x:v>
      </x:c>
    </x:row>
    <x:row r="187" ht="15" hidden="0" customHeight="1">
      <x:c r="A187" s="18" t="str">
        <x:v>LN000186</x:v>
      </x:c>
      <x:c r="B187" s="18" t="str">
        <x:v>LOS-SYN-0000186</x:v>
      </x:c>
      <x:c r="C187" s="18" t="str">
        <x:v>EMP009</x:v>
      </x:c>
      <x:c r="D187" s="18" t="str">
        <x:v>CY2025Q2</x:v>
      </x:c>
      <x:c r="E187" s="18" t="str">
        <x:v>BR004</x:v>
      </x:c>
      <x:c r="F187" s="20" t="n">
        <x:v>45784.5</x:v>
      </x:c>
      <x:c r="G187" s="18" t="str">
        <x:v>Funded</x:v>
      </x:c>
      <x:c r="H187" s="23" t="n">
        <x:v>49000</x:v>
      </x:c>
      <x:c r="I187" s="18" t="str">
        <x:v>Debt consolidation loan</x:v>
      </x:c>
      <x:c r="J187" s="18" t="str">
        <x:v>Referral</x:v>
      </x:c>
      <x:c r="K187" s="20" t="n">
        <x:v>45793.5</x:v>
      </x:c>
    </x:row>
    <x:row r="188" ht="15" hidden="0" customHeight="1">
      <x:c r="A188" s="18" t="str">
        <x:v>LN000187</x:v>
      </x:c>
      <x:c r="B188" s="18" t="str">
        <x:v>LOS-SYN-0000187</x:v>
      </x:c>
      <x:c r="C188" s="18" t="str">
        <x:v>EMP009</x:v>
      </x:c>
      <x:c r="D188" s="18" t="str">
        <x:v>CY2025Q2</x:v>
      </x:c>
      <x:c r="E188" s="18" t="str">
        <x:v>BR004</x:v>
      </x:c>
      <x:c r="F188" s="20" t="n">
        <x:v>45810.5</x:v>
      </x:c>
      <x:c r="G188" s="18" t="str">
        <x:v>Funded</x:v>
      </x:c>
      <x:c r="H188" s="23" t="n">
        <x:v>43000</x:v>
      </x:c>
      <x:c r="I188" s="18" t="str">
        <x:v>Personal loan</x:v>
      </x:c>
      <x:c r="J188" s="18" t="str">
        <x:v>Referral</x:v>
      </x:c>
      <x:c r="K188" s="20" t="n">
        <x:v>45813.5</x:v>
      </x:c>
    </x:row>
    <x:row r="189" ht="15" hidden="0" customHeight="1">
      <x:c r="A189" s="18" t="str">
        <x:v>LN000188</x:v>
      </x:c>
      <x:c r="B189" s="18" t="str">
        <x:v>LOS-SYN-0000188</x:v>
      </x:c>
      <x:c r="C189" s="18" t="str">
        <x:v>EMP009</x:v>
      </x:c>
      <x:c r="D189" s="18" t="str">
        <x:v>CY2025Q2</x:v>
      </x:c>
      <x:c r="E189" s="18" t="str">
        <x:v>BR004</x:v>
      </x:c>
      <x:c r="F189" s="20" t="n">
        <x:v>45812.5</x:v>
      </x:c>
      <x:c r="G189" s="18" t="str">
        <x:v>Funded</x:v>
      </x:c>
      <x:c r="H189" s="23" t="n">
        <x:v>38000</x:v>
      </x:c>
      <x:c r="I189" s="18" t="str">
        <x:v>Debt consolidation loan</x:v>
      </x:c>
      <x:c r="J189" s="18" t="str">
        <x:v>New customer</x:v>
      </x:c>
      <x:c r="K189" s="20" t="n">
        <x:v>45815.5</x:v>
      </x:c>
    </x:row>
    <x:row r="190" ht="15" hidden="0" customHeight="1">
      <x:c r="A190" s="18" t="str">
        <x:v>LN000189</x:v>
      </x:c>
      <x:c r="B190" s="18" t="str">
        <x:v>LOS-SYN-0000189</x:v>
      </x:c>
      <x:c r="C190" s="18" t="str">
        <x:v>EMP009</x:v>
      </x:c>
      <x:c r="D190" s="18" t="str">
        <x:v>CY2025Q2</x:v>
      </x:c>
      <x:c r="E190" s="18" t="str">
        <x:v>BR004</x:v>
      </x:c>
      <x:c r="F190" s="20" t="n">
        <x:v>45793.5</x:v>
      </x:c>
      <x:c r="G190" s="18" t="str">
        <x:v>Funded</x:v>
      </x:c>
      <x:c r="H190" s="23" t="n">
        <x:v>39000</x:v>
      </x:c>
      <x:c r="I190" s="18" t="str">
        <x:v>Auto loan</x:v>
      </x:c>
      <x:c r="J190" s="18" t="str">
        <x:v>Referral</x:v>
      </x:c>
      <x:c r="K190" s="20" t="n">
        <x:v>45798.5</x:v>
      </x:c>
    </x:row>
    <x:row r="191" ht="15" hidden="0" customHeight="1">
      <x:c r="A191" s="18" t="str">
        <x:v>LN000190</x:v>
      </x:c>
      <x:c r="B191" s="18" t="str">
        <x:v>LOS-SYN-0000190</x:v>
      </x:c>
      <x:c r="C191" s="18" t="str">
        <x:v>EMP009</x:v>
      </x:c>
      <x:c r="D191" s="18" t="str">
        <x:v>CY2025Q2</x:v>
      </x:c>
      <x:c r="E191" s="18" t="str">
        <x:v>BR004</x:v>
      </x:c>
      <x:c r="F191" s="20" t="n">
        <x:v>45763.5</x:v>
      </x:c>
      <x:c r="G191" s="18" t="str">
        <x:v>Funded</x:v>
      </x:c>
      <x:c r="H191" s="23" t="n">
        <x:v>50000</x:v>
      </x:c>
      <x:c r="I191" s="18" t="str">
        <x:v>Auto loan</x:v>
      </x:c>
      <x:c r="J191" s="18" t="str">
        <x:v>New customer</x:v>
      </x:c>
      <x:c r="K191" s="20" t="n">
        <x:v>45766.5</x:v>
      </x:c>
    </x:row>
    <x:row r="192" ht="15" hidden="0" customHeight="1">
      <x:c r="A192" s="18" t="str">
        <x:v>LN000191</x:v>
      </x:c>
      <x:c r="B192" s="18" t="str">
        <x:v>LOS-SYN-0000191</x:v>
      </x:c>
      <x:c r="C192" s="18" t="str">
        <x:v>EMP009</x:v>
      </x:c>
      <x:c r="D192" s="18" t="str">
        <x:v>CY2025Q2</x:v>
      </x:c>
      <x:c r="E192" s="18" t="str">
        <x:v>BR004</x:v>
      </x:c>
      <x:c r="F192" s="20" t="n">
        <x:v>45775.5</x:v>
      </x:c>
      <x:c r="G192" s="18" t="str">
        <x:v>Funded</x:v>
      </x:c>
      <x:c r="H192" s="23" t="n">
        <x:v>41000</x:v>
      </x:c>
      <x:c r="I192" s="18" t="str">
        <x:v>Debt consolidation loan</x:v>
      </x:c>
      <x:c r="J192" s="18" t="str">
        <x:v>Existing customer</x:v>
      </x:c>
      <x:c r="K192" s="20" t="n">
        <x:v>45778.5</x:v>
      </x:c>
    </x:row>
    <x:row r="193" ht="15" hidden="0" customHeight="1">
      <x:c r="A193" s="18" t="str">
        <x:v>LN000192</x:v>
      </x:c>
      <x:c r="B193" s="18" t="str">
        <x:v>LOS-SYN-0000192</x:v>
      </x:c>
      <x:c r="C193" s="18" t="str">
        <x:v>EMP009</x:v>
      </x:c>
      <x:c r="D193" s="18" t="str">
        <x:v>CY2025Q2</x:v>
      </x:c>
      <x:c r="E193" s="18" t="str">
        <x:v>BR004</x:v>
      </x:c>
      <x:c r="F193" s="20" t="n">
        <x:v>45816.5</x:v>
      </x:c>
      <x:c r="G193" s="18" t="str">
        <x:v>Funded</x:v>
      </x:c>
      <x:c r="H193" s="23" t="n">
        <x:v>54000</x:v>
      </x:c>
      <x:c r="I193" s="18" t="str">
        <x:v>Home improvement loan</x:v>
      </x:c>
      <x:c r="J193" s="18" t="str">
        <x:v>Referral</x:v>
      </x:c>
      <x:c r="K193" s="20" t="n">
        <x:v>45821.5</x:v>
      </x:c>
    </x:row>
    <x:row r="194" ht="15" hidden="0" customHeight="1">
      <x:c r="A194" s="18" t="str">
        <x:v>LN000193</x:v>
      </x:c>
      <x:c r="B194" s="18" t="str">
        <x:v>LOS-SYN-0000193</x:v>
      </x:c>
      <x:c r="C194" s="18" t="str">
        <x:v>EMP009</x:v>
      </x:c>
      <x:c r="D194" s="18" t="str">
        <x:v>CY2025Q2</x:v>
      </x:c>
      <x:c r="E194" s="18" t="str">
        <x:v>BR004</x:v>
      </x:c>
      <x:c r="F194" s="20" t="n">
        <x:v>45806.5</x:v>
      </x:c>
      <x:c r="G194" s="18" t="str">
        <x:v>Funded</x:v>
      </x:c>
      <x:c r="H194" s="23" t="n">
        <x:v>57000</x:v>
      </x:c>
      <x:c r="I194" s="18" t="str">
        <x:v>Auto loan</x:v>
      </x:c>
      <x:c r="J194" s="18" t="str">
        <x:v>New customer</x:v>
      </x:c>
      <x:c r="K194" s="20" t="n">
        <x:v>45814.5</x:v>
      </x:c>
    </x:row>
    <x:row r="195" ht="15" hidden="0" customHeight="1">
      <x:c r="A195" s="18" t="str">
        <x:v>LN000194</x:v>
      </x:c>
      <x:c r="B195" s="18" t="str">
        <x:v>LOS-SYN-0000194</x:v>
      </x:c>
      <x:c r="C195" s="18" t="str">
        <x:v>EMP009</x:v>
      </x:c>
      <x:c r="D195" s="18" t="str">
        <x:v>CY2025Q2</x:v>
      </x:c>
      <x:c r="E195" s="18" t="str">
        <x:v>BR004</x:v>
      </x:c>
      <x:c r="F195" s="20" t="n">
        <x:v>45776.5</x:v>
      </x:c>
      <x:c r="G195" s="18" t="str">
        <x:v>Funded</x:v>
      </x:c>
      <x:c r="H195" s="23" t="n">
        <x:v>36500</x:v>
      </x:c>
      <x:c r="I195" s="18" t="str">
        <x:v>Auto loan</x:v>
      </x:c>
      <x:c r="J195" s="18" t="str">
        <x:v>New customer</x:v>
      </x:c>
      <x:c r="K195" s="20" t="n">
        <x:v>45788.5</x:v>
      </x:c>
    </x:row>
    <x:row r="196" ht="15" hidden="0" customHeight="1">
      <x:c r="A196" s="18" t="str">
        <x:v>LN000195</x:v>
      </x:c>
      <x:c r="B196" s="18" t="str">
        <x:v>LOS-SYN-0000195</x:v>
      </x:c>
      <x:c r="C196" s="18" t="str">
        <x:v>EMP009</x:v>
      </x:c>
      <x:c r="D196" s="18" t="str">
        <x:v>CY2025Q2</x:v>
      </x:c>
      <x:c r="E196" s="18" t="str">
        <x:v>BR004</x:v>
      </x:c>
      <x:c r="F196" s="20" t="n">
        <x:v>45822.5</x:v>
      </x:c>
      <x:c r="G196" s="18" t="str">
        <x:v>Cancelled</x:v>
      </x:c>
      <x:c r="H196" s="23" t="n">
        <x:v>29000</x:v>
      </x:c>
      <x:c r="I196" s="18" t="str">
        <x:v>Personal loan</x:v>
      </x:c>
      <x:c r="J196" s="18" t="str">
        <x:v>New customer</x:v>
      </x:c>
      <x:c r="K196" s="20"/>
    </x:row>
    <x:row r="197" ht="15" hidden="0" customHeight="1">
      <x:c r="A197" s="18" t="str">
        <x:v>LN000196</x:v>
      </x:c>
      <x:c r="B197" s="18" t="str">
        <x:v>LOS-SYN-0000196</x:v>
      </x:c>
      <x:c r="C197" s="18" t="str">
        <x:v>EMP010</x:v>
      </x:c>
      <x:c r="D197" s="18" t="str">
        <x:v>CY2025Q2</x:v>
      </x:c>
      <x:c r="E197" s="18" t="str">
        <x:v>BR004</x:v>
      </x:c>
      <x:c r="F197" s="20" t="n">
        <x:v>45826.5</x:v>
      </x:c>
      <x:c r="G197" s="18" t="str">
        <x:v>Funded</x:v>
      </x:c>
      <x:c r="H197" s="23" t="n">
        <x:v>41000</x:v>
      </x:c>
      <x:c r="I197" s="18" t="str">
        <x:v>Home improvement loan</x:v>
      </x:c>
      <x:c r="J197" s="18" t="str">
        <x:v>Existing customer</x:v>
      </x:c>
      <x:c r="K197" s="20" t="n">
        <x:v>45833.5</x:v>
      </x:c>
    </x:row>
    <x:row r="198" ht="15" hidden="0" customHeight="1">
      <x:c r="A198" s="18" t="str">
        <x:v>LN000197</x:v>
      </x:c>
      <x:c r="B198" s="18" t="str">
        <x:v>LOS-SYN-0000197</x:v>
      </x:c>
      <x:c r="C198" s="18" t="str">
        <x:v>EMP010</x:v>
      </x:c>
      <x:c r="D198" s="18" t="str">
        <x:v>CY2025Q2</x:v>
      </x:c>
      <x:c r="E198" s="18" t="str">
        <x:v>BR004</x:v>
      </x:c>
      <x:c r="F198" s="20" t="n">
        <x:v>45754.5</x:v>
      </x:c>
      <x:c r="G198" s="18" t="str">
        <x:v>Funded</x:v>
      </x:c>
      <x:c r="H198" s="23" t="n">
        <x:v>37000</x:v>
      </x:c>
      <x:c r="I198" s="18" t="str">
        <x:v>Auto loan</x:v>
      </x:c>
      <x:c r="J198" s="18" t="str">
        <x:v>Existing customer</x:v>
      </x:c>
      <x:c r="K198" s="20" t="n">
        <x:v>45763.5</x:v>
      </x:c>
    </x:row>
    <x:row r="199" ht="15" hidden="0" customHeight="1">
      <x:c r="A199" s="18" t="str">
        <x:v>LN000198</x:v>
      </x:c>
      <x:c r="B199" s="18" t="str">
        <x:v>LOS-SYN-0000198</x:v>
      </x:c>
      <x:c r="C199" s="18" t="str">
        <x:v>EMP010</x:v>
      </x:c>
      <x:c r="D199" s="18" t="str">
        <x:v>CY2025Q2</x:v>
      </x:c>
      <x:c r="E199" s="18" t="str">
        <x:v>BR004</x:v>
      </x:c>
      <x:c r="F199" s="20" t="n">
        <x:v>45787.5</x:v>
      </x:c>
      <x:c r="G199" s="18" t="str">
        <x:v>Funded</x:v>
      </x:c>
      <x:c r="H199" s="23" t="n">
        <x:v>40500</x:v>
      </x:c>
      <x:c r="I199" s="18" t="str">
        <x:v>Debt consolidation loan</x:v>
      </x:c>
      <x:c r="J199" s="18" t="str">
        <x:v>Referral</x:v>
      </x:c>
      <x:c r="K199" s="20" t="n">
        <x:v>45793.5</x:v>
      </x:c>
    </x:row>
    <x:row r="200" ht="15" hidden="0" customHeight="1">
      <x:c r="A200" s="18" t="str">
        <x:v>LN000199</x:v>
      </x:c>
      <x:c r="B200" s="18" t="str">
        <x:v>LOS-SYN-0000199</x:v>
      </x:c>
      <x:c r="C200" s="18" t="str">
        <x:v>EMP010</x:v>
      </x:c>
      <x:c r="D200" s="18" t="str">
        <x:v>CY2025Q2</x:v>
      </x:c>
      <x:c r="E200" s="18" t="str">
        <x:v>BR004</x:v>
      </x:c>
      <x:c r="F200" s="20" t="n">
        <x:v>45769.5</x:v>
      </x:c>
      <x:c r="G200" s="18" t="str">
        <x:v>Funded</x:v>
      </x:c>
      <x:c r="H200" s="23" t="n">
        <x:v>32000</x:v>
      </x:c>
      <x:c r="I200" s="18" t="str">
        <x:v>Debt consolidation loan</x:v>
      </x:c>
      <x:c r="J200" s="18" t="str">
        <x:v>New customer</x:v>
      </x:c>
      <x:c r="K200" s="20" t="n">
        <x:v>45778.5</x:v>
      </x:c>
    </x:row>
    <x:row r="201" ht="15" hidden="0" customHeight="1">
      <x:c r="A201" s="18" t="str">
        <x:v>LN000200</x:v>
      </x:c>
      <x:c r="B201" s="18" t="str">
        <x:v>LOS-SYN-0000200</x:v>
      </x:c>
      <x:c r="C201" s="18" t="str">
        <x:v>EMP010</x:v>
      </x:c>
      <x:c r="D201" s="18" t="str">
        <x:v>CY2025Q2</x:v>
      </x:c>
      <x:c r="E201" s="18" t="str">
        <x:v>BR004</x:v>
      </x:c>
      <x:c r="F201" s="20" t="n">
        <x:v>45796.5</x:v>
      </x:c>
      <x:c r="G201" s="18" t="str">
        <x:v>Funded</x:v>
      </x:c>
      <x:c r="H201" s="23" t="n">
        <x:v>41000</x:v>
      </x:c>
      <x:c r="I201" s="18" t="str">
        <x:v>Auto loan</x:v>
      </x:c>
      <x:c r="J201" s="18" t="str">
        <x:v>Referral</x:v>
      </x:c>
      <x:c r="K201" s="20" t="n">
        <x:v>45805.5</x:v>
      </x:c>
    </x:row>
    <x:row r="202" ht="15" hidden="0" customHeight="1">
      <x:c r="A202" s="18" t="str">
        <x:v>LN000201</x:v>
      </x:c>
      <x:c r="B202" s="18" t="str">
        <x:v>LOS-SYN-0000201</x:v>
      </x:c>
      <x:c r="C202" s="18" t="str">
        <x:v>EMP010</x:v>
      </x:c>
      <x:c r="D202" s="18" t="str">
        <x:v>CY2025Q2</x:v>
      </x:c>
      <x:c r="E202" s="18" t="str">
        <x:v>BR004</x:v>
      </x:c>
      <x:c r="F202" s="20" t="n">
        <x:v>45755.5</x:v>
      </x:c>
      <x:c r="G202" s="18" t="str">
        <x:v>Funded</x:v>
      </x:c>
      <x:c r="H202" s="23" t="n">
        <x:v>42500</x:v>
      </x:c>
      <x:c r="I202" s="18" t="str">
        <x:v>Auto loan</x:v>
      </x:c>
      <x:c r="J202" s="18" t="str">
        <x:v>New customer</x:v>
      </x:c>
      <x:c r="K202" s="20" t="n">
        <x:v>45767.5</x:v>
      </x:c>
    </x:row>
    <x:row r="203" ht="15" hidden="0" customHeight="1">
      <x:c r="A203" s="18" t="str">
        <x:v>LN000202</x:v>
      </x:c>
      <x:c r="B203" s="18" t="str">
        <x:v>LOS-SYN-0000202</x:v>
      </x:c>
      <x:c r="C203" s="18" t="str">
        <x:v>EMP010</x:v>
      </x:c>
      <x:c r="D203" s="18" t="str">
        <x:v>CY2025Q2</x:v>
      </x:c>
      <x:c r="E203" s="18" t="str">
        <x:v>BR004</x:v>
      </x:c>
      <x:c r="F203" s="20" t="n">
        <x:v>45828.5</x:v>
      </x:c>
      <x:c r="G203" s="18" t="str">
        <x:v>Funded</x:v>
      </x:c>
      <x:c r="H203" s="23" t="n">
        <x:v>44500</x:v>
      </x:c>
      <x:c r="I203" s="18" t="str">
        <x:v>Debt consolidation loan</x:v>
      </x:c>
      <x:c r="J203" s="18" t="str">
        <x:v>Existing customer</x:v>
      </x:c>
      <x:c r="K203" s="20" t="n">
        <x:v>45840.5</x:v>
      </x:c>
    </x:row>
    <x:row r="204" ht="15" hidden="0" customHeight="1">
      <x:c r="A204" s="18" t="str">
        <x:v>LN000203</x:v>
      </x:c>
      <x:c r="B204" s="18" t="str">
        <x:v>LOS-SYN-0000203</x:v>
      </x:c>
      <x:c r="C204" s="18" t="str">
        <x:v>EMP010</x:v>
      </x:c>
      <x:c r="D204" s="18" t="str">
        <x:v>CY2025Q2</x:v>
      </x:c>
      <x:c r="E204" s="18" t="str">
        <x:v>BR004</x:v>
      </x:c>
      <x:c r="F204" s="20" t="n">
        <x:v>45750.5</x:v>
      </x:c>
      <x:c r="G204" s="18" t="str">
        <x:v>Funded</x:v>
      </x:c>
      <x:c r="H204" s="23" t="n">
        <x:v>40500</x:v>
      </x:c>
      <x:c r="I204" s="18" t="str">
        <x:v>Personal loan</x:v>
      </x:c>
      <x:c r="J204" s="18" t="str">
        <x:v>Existing customer</x:v>
      </x:c>
      <x:c r="K204" s="20" t="n">
        <x:v>45760.5</x:v>
      </x:c>
    </x:row>
    <x:row r="205" ht="15" hidden="0" customHeight="1">
      <x:c r="A205" s="18" t="str">
        <x:v>LN000204</x:v>
      </x:c>
      <x:c r="B205" s="18" t="str">
        <x:v>LOS-SYN-0000204</x:v>
      </x:c>
      <x:c r="C205" s="18" t="str">
        <x:v>EMP010</x:v>
      </x:c>
      <x:c r="D205" s="18" t="str">
        <x:v>CY2025Q2</x:v>
      </x:c>
      <x:c r="E205" s="18" t="str">
        <x:v>BR004</x:v>
      </x:c>
      <x:c r="F205" s="20" t="n">
        <x:v>45782.5</x:v>
      </x:c>
      <x:c r="G205" s="18" t="str">
        <x:v>Funded</x:v>
      </x:c>
      <x:c r="H205" s="23" t="n">
        <x:v>28000</x:v>
      </x:c>
      <x:c r="I205" s="18" t="str">
        <x:v>Auto loan</x:v>
      </x:c>
      <x:c r="J205" s="18" t="str">
        <x:v>Referral</x:v>
      </x:c>
      <x:c r="K205" s="20" t="n">
        <x:v>45787.5</x:v>
      </x:c>
    </x:row>
    <x:row r="206" ht="15" hidden="0" customHeight="1">
      <x:c r="A206" s="18" t="str">
        <x:v>LN000205</x:v>
      </x:c>
      <x:c r="B206" s="18" t="str">
        <x:v>LOS-SYN-0000205</x:v>
      </x:c>
      <x:c r="C206" s="18" t="str">
        <x:v>EMP011</x:v>
      </x:c>
      <x:c r="D206" s="18" t="str">
        <x:v>CY2025Q2</x:v>
      </x:c>
      <x:c r="E206" s="18" t="str">
        <x:v>BR004</x:v>
      </x:c>
      <x:c r="F206" s="20" t="n">
        <x:v>45776.5</x:v>
      </x:c>
      <x:c r="G206" s="18" t="str">
        <x:v>Funded</x:v>
      </x:c>
      <x:c r="H206" s="23" t="n">
        <x:v>35500</x:v>
      </x:c>
      <x:c r="I206" s="18" t="str">
        <x:v>Personal loan</x:v>
      </x:c>
      <x:c r="J206" s="18" t="str">
        <x:v>Existing customer</x:v>
      </x:c>
      <x:c r="K206" s="20" t="n">
        <x:v>45785.5</x:v>
      </x:c>
    </x:row>
    <x:row r="207" ht="15" hidden="0" customHeight="1">
      <x:c r="A207" s="18" t="str">
        <x:v>LN000206</x:v>
      </x:c>
      <x:c r="B207" s="18" t="str">
        <x:v>LOS-SYN-0000206</x:v>
      </x:c>
      <x:c r="C207" s="18" t="str">
        <x:v>EMP011</x:v>
      </x:c>
      <x:c r="D207" s="18" t="str">
        <x:v>CY2025Q2</x:v>
      </x:c>
      <x:c r="E207" s="18" t="str">
        <x:v>BR004</x:v>
      </x:c>
      <x:c r="F207" s="20" t="n">
        <x:v>45767.5</x:v>
      </x:c>
      <x:c r="G207" s="18" t="str">
        <x:v>Funded</x:v>
      </x:c>
      <x:c r="H207" s="23" t="n">
        <x:v>32000</x:v>
      </x:c>
      <x:c r="I207" s="18" t="str">
        <x:v>Home improvement loan</x:v>
      </x:c>
      <x:c r="J207" s="18" t="str">
        <x:v>Existing customer</x:v>
      </x:c>
      <x:c r="K207" s="20" t="n">
        <x:v>45774.5</x:v>
      </x:c>
    </x:row>
    <x:row r="208" ht="15" hidden="0" customHeight="1">
      <x:c r="A208" s="18" t="str">
        <x:v>LN000207</x:v>
      </x:c>
      <x:c r="B208" s="18" t="str">
        <x:v>LOS-SYN-0000207</x:v>
      </x:c>
      <x:c r="C208" s="18" t="str">
        <x:v>EMP011</x:v>
      </x:c>
      <x:c r="D208" s="18" t="str">
        <x:v>CY2025Q2</x:v>
      </x:c>
      <x:c r="E208" s="18" t="str">
        <x:v>BR004</x:v>
      </x:c>
      <x:c r="F208" s="20" t="n">
        <x:v>45826.5</x:v>
      </x:c>
      <x:c r="G208" s="18" t="str">
        <x:v>Funded</x:v>
      </x:c>
      <x:c r="H208" s="23" t="n">
        <x:v>36500</x:v>
      </x:c>
      <x:c r="I208" s="18" t="str">
        <x:v>Personal loan</x:v>
      </x:c>
      <x:c r="J208" s="18" t="str">
        <x:v>Existing customer</x:v>
      </x:c>
      <x:c r="K208" s="20" t="n">
        <x:v>45832.5</x:v>
      </x:c>
    </x:row>
    <x:row r="209" ht="15" hidden="0" customHeight="1">
      <x:c r="A209" s="18" t="str">
        <x:v>LN000208</x:v>
      </x:c>
      <x:c r="B209" s="18" t="str">
        <x:v>LOS-SYN-0000208</x:v>
      </x:c>
      <x:c r="C209" s="18" t="str">
        <x:v>EMP011</x:v>
      </x:c>
      <x:c r="D209" s="18" t="str">
        <x:v>CY2025Q2</x:v>
      </x:c>
      <x:c r="E209" s="18" t="str">
        <x:v>BR004</x:v>
      </x:c>
      <x:c r="F209" s="20" t="n">
        <x:v>45765.5</x:v>
      </x:c>
      <x:c r="G209" s="18" t="str">
        <x:v>Funded</x:v>
      </x:c>
      <x:c r="H209" s="23" t="n">
        <x:v>37500</x:v>
      </x:c>
      <x:c r="I209" s="18" t="str">
        <x:v>Auto loan</x:v>
      </x:c>
      <x:c r="J209" s="18" t="str">
        <x:v>Referral</x:v>
      </x:c>
      <x:c r="K209" s="20" t="n">
        <x:v>45768.5</x:v>
      </x:c>
    </x:row>
    <x:row r="210" ht="15" hidden="0" customHeight="1">
      <x:c r="A210" s="18" t="str">
        <x:v>LN000209</x:v>
      </x:c>
      <x:c r="B210" s="18" t="str">
        <x:v>LOS-SYN-0000209</x:v>
      </x:c>
      <x:c r="C210" s="18" t="str">
        <x:v>EMP011</x:v>
      </x:c>
      <x:c r="D210" s="18" t="str">
        <x:v>CY2025Q2</x:v>
      </x:c>
      <x:c r="E210" s="18" t="str">
        <x:v>BR004</x:v>
      </x:c>
      <x:c r="F210" s="20" t="n">
        <x:v>45806.5</x:v>
      </x:c>
      <x:c r="G210" s="18" t="str">
        <x:v>Funded</x:v>
      </x:c>
      <x:c r="H210" s="23" t="n">
        <x:v>36500</x:v>
      </x:c>
      <x:c r="I210" s="18" t="str">
        <x:v>Home improvement loan</x:v>
      </x:c>
      <x:c r="J210" s="18" t="str">
        <x:v>Existing customer</x:v>
      </x:c>
      <x:c r="K210" s="20" t="n">
        <x:v>45809.5</x:v>
      </x:c>
    </x:row>
    <x:row r="211" ht="15" hidden="0" customHeight="1">
      <x:c r="A211" s="18" t="str">
        <x:v>LN000210</x:v>
      </x:c>
      <x:c r="B211" s="18" t="str">
        <x:v>LOS-SYN-0000210</x:v>
      </x:c>
      <x:c r="C211" s="18" t="str">
        <x:v>EMP011</x:v>
      </x:c>
      <x:c r="D211" s="18" t="str">
        <x:v>CY2025Q2</x:v>
      </x:c>
      <x:c r="E211" s="18" t="str">
        <x:v>BR004</x:v>
      </x:c>
      <x:c r="F211" s="20" t="n">
        <x:v>45804.5</x:v>
      </x:c>
      <x:c r="G211" s="18" t="str">
        <x:v>Funded</x:v>
      </x:c>
      <x:c r="H211" s="23" t="n">
        <x:v>48000</x:v>
      </x:c>
      <x:c r="I211" s="18" t="str">
        <x:v>Personal loan</x:v>
      </x:c>
      <x:c r="J211" s="18" t="str">
        <x:v>Referral</x:v>
      </x:c>
      <x:c r="K211" s="20" t="n">
        <x:v>45810.5</x:v>
      </x:c>
    </x:row>
    <x:row r="212" ht="15" hidden="0" customHeight="1">
      <x:c r="A212" s="18" t="str">
        <x:v>LN000211</x:v>
      </x:c>
      <x:c r="B212" s="18" t="str">
        <x:v>LOS-SYN-0000211</x:v>
      </x:c>
      <x:c r="C212" s="18" t="str">
        <x:v>EMP011</x:v>
      </x:c>
      <x:c r="D212" s="18" t="str">
        <x:v>CY2025Q2</x:v>
      </x:c>
      <x:c r="E212" s="18" t="str">
        <x:v>BR004</x:v>
      </x:c>
      <x:c r="F212" s="20" t="n">
        <x:v>45777.5</x:v>
      </x:c>
      <x:c r="G212" s="18" t="str">
        <x:v>Funded</x:v>
      </x:c>
      <x:c r="H212" s="23" t="n">
        <x:v>33000</x:v>
      </x:c>
      <x:c r="I212" s="18" t="str">
        <x:v>Auto loan</x:v>
      </x:c>
      <x:c r="J212" s="18" t="str">
        <x:v>New customer</x:v>
      </x:c>
      <x:c r="K212" s="20" t="n">
        <x:v>45782.5</x:v>
      </x:c>
    </x:row>
    <x:row r="213" ht="15" hidden="0" customHeight="1">
      <x:c r="A213" s="18" t="str">
        <x:v>LN000212</x:v>
      </x:c>
      <x:c r="B213" s="18" t="str">
        <x:v>LOS-SYN-0000212</x:v>
      </x:c>
      <x:c r="C213" s="18" t="str">
        <x:v>EMP011</x:v>
      </x:c>
      <x:c r="D213" s="18" t="str">
        <x:v>CY2025Q2</x:v>
      </x:c>
      <x:c r="E213" s="18" t="str">
        <x:v>BR004</x:v>
      </x:c>
      <x:c r="F213" s="20" t="n">
        <x:v>45831.5</x:v>
      </x:c>
      <x:c r="G213" s="18" t="str">
        <x:v>Funded</x:v>
      </x:c>
      <x:c r="H213" s="23" t="n">
        <x:v>44000</x:v>
      </x:c>
      <x:c r="I213" s="18" t="str">
        <x:v>Home improvement loan</x:v>
      </x:c>
      <x:c r="J213" s="18" t="str">
        <x:v>Referral</x:v>
      </x:c>
      <x:c r="K213" s="20" t="n">
        <x:v>45839.5</x:v>
      </x:c>
    </x:row>
    <x:row r="214" ht="15" hidden="0" customHeight="1">
      <x:c r="A214" s="18" t="str">
        <x:v>LN000213</x:v>
      </x:c>
      <x:c r="B214" s="18" t="str">
        <x:v>LOS-SYN-0000213</x:v>
      </x:c>
      <x:c r="C214" s="18" t="str">
        <x:v>EMP011</x:v>
      </x:c>
      <x:c r="D214" s="18" t="str">
        <x:v>CY2025Q2</x:v>
      </x:c>
      <x:c r="E214" s="18" t="str">
        <x:v>BR004</x:v>
      </x:c>
      <x:c r="F214" s="20" t="n">
        <x:v>45780.5</x:v>
      </x:c>
      <x:c r="G214" s="18" t="str">
        <x:v>Funded</x:v>
      </x:c>
      <x:c r="H214" s="23" t="n">
        <x:v>42000</x:v>
      </x:c>
      <x:c r="I214" s="18" t="str">
        <x:v>Personal loan</x:v>
      </x:c>
      <x:c r="J214" s="18" t="str">
        <x:v>New customer</x:v>
      </x:c>
      <x:c r="K214" s="20" t="n">
        <x:v>45787.5</x:v>
      </x:c>
    </x:row>
    <x:row r="215" ht="15" hidden="0" customHeight="1">
      <x:c r="A215" s="18" t="str">
        <x:v>LN000214</x:v>
      </x:c>
      <x:c r="B215" s="18" t="str">
        <x:v>LOS-SYN-0000214</x:v>
      </x:c>
      <x:c r="C215" s="18" t="str">
        <x:v>EMP011</x:v>
      </x:c>
      <x:c r="D215" s="18" t="str">
        <x:v>CY2025Q2</x:v>
      </x:c>
      <x:c r="E215" s="18" t="str">
        <x:v>BR004</x:v>
      </x:c>
      <x:c r="F215" s="20" t="n">
        <x:v>45786.5</x:v>
      </x:c>
      <x:c r="G215" s="18" t="str">
        <x:v>Funded</x:v>
      </x:c>
      <x:c r="H215" s="23" t="n">
        <x:v>44000</x:v>
      </x:c>
      <x:c r="I215" s="18" t="str">
        <x:v>Personal loan</x:v>
      </x:c>
      <x:c r="J215" s="18" t="str">
        <x:v>Referral</x:v>
      </x:c>
      <x:c r="K215" s="20" t="n">
        <x:v>45792.5</x:v>
      </x:c>
    </x:row>
    <x:row r="216" ht="15" hidden="0" customHeight="1">
      <x:c r="A216" s="18" t="str">
        <x:v>LN000215</x:v>
      </x:c>
      <x:c r="B216" s="18" t="str">
        <x:v>LOS-SYN-0000215</x:v>
      </x:c>
      <x:c r="C216" s="18" t="str">
        <x:v>EMP011</x:v>
      </x:c>
      <x:c r="D216" s="18" t="str">
        <x:v>CY2025Q2</x:v>
      </x:c>
      <x:c r="E216" s="18" t="str">
        <x:v>BR004</x:v>
      </x:c>
      <x:c r="F216" s="20" t="n">
        <x:v>45809.5</x:v>
      </x:c>
      <x:c r="G216" s="18" t="str">
        <x:v>Funded</x:v>
      </x:c>
      <x:c r="H216" s="23" t="n">
        <x:v>36000</x:v>
      </x:c>
      <x:c r="I216" s="18" t="str">
        <x:v>Debt consolidation loan</x:v>
      </x:c>
      <x:c r="J216" s="18" t="str">
        <x:v>Referral</x:v>
      </x:c>
      <x:c r="K216" s="20" t="n">
        <x:v>45818.5</x:v>
      </x:c>
    </x:row>
    <x:row r="217" ht="15" hidden="0" customHeight="1">
      <x:c r="A217" s="18" t="str">
        <x:v>LN000216</x:v>
      </x:c>
      <x:c r="B217" s="18" t="str">
        <x:v>LOS-SYN-0000216</x:v>
      </x:c>
      <x:c r="C217" s="18" t="str">
        <x:v>EMP011</x:v>
      </x:c>
      <x:c r="D217" s="18" t="str">
        <x:v>CY2025Q2</x:v>
      </x:c>
      <x:c r="E217" s="18" t="str">
        <x:v>BR004</x:v>
      </x:c>
      <x:c r="F217" s="20" t="n">
        <x:v>45761.5</x:v>
      </x:c>
      <x:c r="G217" s="18" t="str">
        <x:v>Funded</x:v>
      </x:c>
      <x:c r="H217" s="23" t="n">
        <x:v>32000</x:v>
      </x:c>
      <x:c r="I217" s="18" t="str">
        <x:v>Personal loan</x:v>
      </x:c>
      <x:c r="J217" s="18" t="str">
        <x:v>Existing customer</x:v>
      </x:c>
      <x:c r="K217" s="20" t="n">
        <x:v>45765.5</x:v>
      </x:c>
    </x:row>
    <x:row r="218" ht="15" hidden="0" customHeight="1">
      <x:c r="A218" s="18" t="str">
        <x:v>LN000217</x:v>
      </x:c>
      <x:c r="B218" s="18" t="str">
        <x:v>LOS-SYN-0000217</x:v>
      </x:c>
      <x:c r="C218" s="18" t="str">
        <x:v>EMP012</x:v>
      </x:c>
      <x:c r="D218" s="18" t="str">
        <x:v>CY2025Q2</x:v>
      </x:c>
      <x:c r="E218" s="18" t="str">
        <x:v>BR005</x:v>
      </x:c>
      <x:c r="F218" s="20" t="n">
        <x:v>45802.5</x:v>
      </x:c>
      <x:c r="G218" s="18" t="str">
        <x:v>Funded</x:v>
      </x:c>
      <x:c r="H218" s="23" t="n">
        <x:v>40000</x:v>
      </x:c>
      <x:c r="I218" s="18" t="str">
        <x:v>Auto loan</x:v>
      </x:c>
      <x:c r="J218" s="18" t="str">
        <x:v>Referral</x:v>
      </x:c>
      <x:c r="K218" s="20" t="n">
        <x:v>45811.5</x:v>
      </x:c>
    </x:row>
    <x:row r="219" ht="15" hidden="0" customHeight="1">
      <x:c r="A219" s="18" t="str">
        <x:v>LN000218</x:v>
      </x:c>
      <x:c r="B219" s="18" t="str">
        <x:v>LOS-SYN-0000218</x:v>
      </x:c>
      <x:c r="C219" s="18" t="str">
        <x:v>EMP012</x:v>
      </x:c>
      <x:c r="D219" s="18" t="str">
        <x:v>CY2025Q2</x:v>
      </x:c>
      <x:c r="E219" s="18" t="str">
        <x:v>BR005</x:v>
      </x:c>
      <x:c r="F219" s="20" t="n">
        <x:v>45820.5</x:v>
      </x:c>
      <x:c r="G219" s="18" t="str">
        <x:v>Funded</x:v>
      </x:c>
      <x:c r="H219" s="23" t="n">
        <x:v>50500</x:v>
      </x:c>
      <x:c r="I219" s="18" t="str">
        <x:v>Home improvement loan</x:v>
      </x:c>
      <x:c r="J219" s="18" t="str">
        <x:v>Referral</x:v>
      </x:c>
      <x:c r="K219" s="20" t="n">
        <x:v>45826.5</x:v>
      </x:c>
    </x:row>
    <x:row r="220" ht="15" hidden="0" customHeight="1">
      <x:c r="A220" s="18" t="str">
        <x:v>LN000219</x:v>
      </x:c>
      <x:c r="B220" s="18" t="str">
        <x:v>LOS-SYN-0000219</x:v>
      </x:c>
      <x:c r="C220" s="18" t="str">
        <x:v>EMP012</x:v>
      </x:c>
      <x:c r="D220" s="18" t="str">
        <x:v>CY2025Q2</x:v>
      </x:c>
      <x:c r="E220" s="18" t="str">
        <x:v>BR005</x:v>
      </x:c>
      <x:c r="F220" s="20" t="n">
        <x:v>45756.5</x:v>
      </x:c>
      <x:c r="G220" s="18" t="str">
        <x:v>Funded</x:v>
      </x:c>
      <x:c r="H220" s="23" t="n">
        <x:v>40500</x:v>
      </x:c>
      <x:c r="I220" s="18" t="str">
        <x:v>Home improvement loan</x:v>
      </x:c>
      <x:c r="J220" s="18" t="str">
        <x:v>Referral</x:v>
      </x:c>
      <x:c r="K220" s="20" t="n">
        <x:v>45765.5</x:v>
      </x:c>
    </x:row>
    <x:row r="221" ht="15" hidden="0" customHeight="1">
      <x:c r="A221" s="18" t="str">
        <x:v>LN000220</x:v>
      </x:c>
      <x:c r="B221" s="18" t="str">
        <x:v>LOS-SYN-0000220</x:v>
      </x:c>
      <x:c r="C221" s="18" t="str">
        <x:v>EMP012</x:v>
      </x:c>
      <x:c r="D221" s="18" t="str">
        <x:v>CY2025Q2</x:v>
      </x:c>
      <x:c r="E221" s="18" t="str">
        <x:v>BR005</x:v>
      </x:c>
      <x:c r="F221" s="20" t="n">
        <x:v>45762.5</x:v>
      </x:c>
      <x:c r="G221" s="18" t="str">
        <x:v>Funded</x:v>
      </x:c>
      <x:c r="H221" s="23" t="n">
        <x:v>44000</x:v>
      </x:c>
      <x:c r="I221" s="18" t="str">
        <x:v>Home improvement loan</x:v>
      </x:c>
      <x:c r="J221" s="18" t="str">
        <x:v>Existing customer</x:v>
      </x:c>
      <x:c r="K221" s="20" t="n">
        <x:v>45769.5</x:v>
      </x:c>
    </x:row>
    <x:row r="222" ht="15" hidden="0" customHeight="1">
      <x:c r="A222" s="18" t="str">
        <x:v>LN000221</x:v>
      </x:c>
      <x:c r="B222" s="18" t="str">
        <x:v>LOS-SYN-0000221</x:v>
      </x:c>
      <x:c r="C222" s="18" t="str">
        <x:v>EMP012</x:v>
      </x:c>
      <x:c r="D222" s="18" t="str">
        <x:v>CY2025Q2</x:v>
      </x:c>
      <x:c r="E222" s="18" t="str">
        <x:v>BR005</x:v>
      </x:c>
      <x:c r="F222" s="20" t="n">
        <x:v>45794.5</x:v>
      </x:c>
      <x:c r="G222" s="18" t="str">
        <x:v>Funded</x:v>
      </x:c>
      <x:c r="H222" s="23" t="n">
        <x:v>48500</x:v>
      </x:c>
      <x:c r="I222" s="18" t="str">
        <x:v>Personal loan</x:v>
      </x:c>
      <x:c r="J222" s="18" t="str">
        <x:v>New customer</x:v>
      </x:c>
      <x:c r="K222" s="20" t="n">
        <x:v>45798.5</x:v>
      </x:c>
    </x:row>
    <x:row r="223" ht="15" hidden="0" customHeight="1">
      <x:c r="A223" s="18" t="str">
        <x:v>LN000222</x:v>
      </x:c>
      <x:c r="B223" s="18" t="str">
        <x:v>LOS-SYN-0000222</x:v>
      </x:c>
      <x:c r="C223" s="18" t="str">
        <x:v>EMP012</x:v>
      </x:c>
      <x:c r="D223" s="18" t="str">
        <x:v>CY2025Q2</x:v>
      </x:c>
      <x:c r="E223" s="18" t="str">
        <x:v>BR005</x:v>
      </x:c>
      <x:c r="F223" s="20" t="n">
        <x:v>45807.5</x:v>
      </x:c>
      <x:c r="G223" s="18" t="str">
        <x:v>Funded</x:v>
      </x:c>
      <x:c r="H223" s="23" t="n">
        <x:v>47500</x:v>
      </x:c>
      <x:c r="I223" s="18" t="str">
        <x:v>Auto loan</x:v>
      </x:c>
      <x:c r="J223" s="18" t="str">
        <x:v>Existing customer</x:v>
      </x:c>
      <x:c r="K223" s="20" t="n">
        <x:v>45818.5</x:v>
      </x:c>
    </x:row>
    <x:row r="224" ht="15" hidden="0" customHeight="1">
      <x:c r="A224" s="18" t="str">
        <x:v>LN000223</x:v>
      </x:c>
      <x:c r="B224" s="18" t="str">
        <x:v>LOS-SYN-0000223</x:v>
      </x:c>
      <x:c r="C224" s="18" t="str">
        <x:v>EMP012</x:v>
      </x:c>
      <x:c r="D224" s="18" t="str">
        <x:v>CY2025Q2</x:v>
      </x:c>
      <x:c r="E224" s="18" t="str">
        <x:v>BR005</x:v>
      </x:c>
      <x:c r="F224" s="20" t="n">
        <x:v>45766.5</x:v>
      </x:c>
      <x:c r="G224" s="18" t="str">
        <x:v>Funded</x:v>
      </x:c>
      <x:c r="H224" s="23" t="n">
        <x:v>31000</x:v>
      </x:c>
      <x:c r="I224" s="18" t="str">
        <x:v>Auto loan</x:v>
      </x:c>
      <x:c r="J224" s="18" t="str">
        <x:v>New customer</x:v>
      </x:c>
      <x:c r="K224" s="20" t="n">
        <x:v>45770.5</x:v>
      </x:c>
    </x:row>
    <x:row r="225" ht="15" hidden="0" customHeight="1">
      <x:c r="A225" s="18" t="str">
        <x:v>LN000224</x:v>
      </x:c>
      <x:c r="B225" s="18" t="str">
        <x:v>LOS-SYN-0000224</x:v>
      </x:c>
      <x:c r="C225" s="18" t="str">
        <x:v>EMP012</x:v>
      </x:c>
      <x:c r="D225" s="18" t="str">
        <x:v>CY2025Q2</x:v>
      </x:c>
      <x:c r="E225" s="18" t="str">
        <x:v>BR005</x:v>
      </x:c>
      <x:c r="F225" s="20" t="n">
        <x:v>45765.5</x:v>
      </x:c>
      <x:c r="G225" s="18" t="str">
        <x:v>Cancelled</x:v>
      </x:c>
      <x:c r="H225" s="23" t="n">
        <x:v>80000</x:v>
      </x:c>
      <x:c r="I225" s="18" t="str">
        <x:v>Personal loan</x:v>
      </x:c>
      <x:c r="J225" s="18" t="str">
        <x:v>New customer</x:v>
      </x:c>
      <x:c r="K225" s="20"/>
    </x:row>
    <x:row r="226" ht="15" hidden="0" customHeight="1">
      <x:c r="A226" s="18" t="str">
        <x:v>LN000225</x:v>
      </x:c>
      <x:c r="B226" s="18" t="str">
        <x:v>LOS-SYN-0000225</x:v>
      </x:c>
      <x:c r="C226" s="18" t="str">
        <x:v>EMP013</x:v>
      </x:c>
      <x:c r="D226" s="18" t="str">
        <x:v>CY2025Q2</x:v>
      </x:c>
      <x:c r="E226" s="18" t="str">
        <x:v>BR005</x:v>
      </x:c>
      <x:c r="F226" s="20" t="n">
        <x:v>45752.5</x:v>
      </x:c>
      <x:c r="G226" s="18" t="str">
        <x:v>Funded</x:v>
      </x:c>
      <x:c r="H226" s="23" t="n">
        <x:v>50000</x:v>
      </x:c>
      <x:c r="I226" s="18" t="str">
        <x:v>Auto loan</x:v>
      </x:c>
      <x:c r="J226" s="18" t="str">
        <x:v>Referral</x:v>
      </x:c>
      <x:c r="K226" s="20" t="n">
        <x:v>45756.5</x:v>
      </x:c>
    </x:row>
    <x:row r="227" ht="15" hidden="0" customHeight="1">
      <x:c r="A227" s="18" t="str">
        <x:v>LN000226</x:v>
      </x:c>
      <x:c r="B227" s="18" t="str">
        <x:v>LOS-SYN-0000226</x:v>
      </x:c>
      <x:c r="C227" s="18" t="str">
        <x:v>EMP013</x:v>
      </x:c>
      <x:c r="D227" s="18" t="str">
        <x:v>CY2025Q2</x:v>
      </x:c>
      <x:c r="E227" s="18" t="str">
        <x:v>BR005</x:v>
      </x:c>
      <x:c r="F227" s="20" t="n">
        <x:v>45806.5</x:v>
      </x:c>
      <x:c r="G227" s="18" t="str">
        <x:v>Funded</x:v>
      </x:c>
      <x:c r="H227" s="23" t="n">
        <x:v>53000</x:v>
      </x:c>
      <x:c r="I227" s="18" t="str">
        <x:v>Debt consolidation loan</x:v>
      </x:c>
      <x:c r="J227" s="18" t="str">
        <x:v>Referral</x:v>
      </x:c>
      <x:c r="K227" s="20" t="n">
        <x:v>45814.5</x:v>
      </x:c>
    </x:row>
    <x:row r="228" ht="15" hidden="0" customHeight="1">
      <x:c r="A228" s="18" t="str">
        <x:v>LN000227</x:v>
      </x:c>
      <x:c r="B228" s="18" t="str">
        <x:v>LOS-SYN-0000227</x:v>
      </x:c>
      <x:c r="C228" s="18" t="str">
        <x:v>EMP013</x:v>
      </x:c>
      <x:c r="D228" s="18" t="str">
        <x:v>CY2025Q2</x:v>
      </x:c>
      <x:c r="E228" s="18" t="str">
        <x:v>BR005</x:v>
      </x:c>
      <x:c r="F228" s="20" t="n">
        <x:v>45753.5</x:v>
      </x:c>
      <x:c r="G228" s="18" t="str">
        <x:v>Funded</x:v>
      </x:c>
      <x:c r="H228" s="23" t="n">
        <x:v>36000</x:v>
      </x:c>
      <x:c r="I228" s="18" t="str">
        <x:v>Auto loan</x:v>
      </x:c>
      <x:c r="J228" s="18" t="str">
        <x:v>Existing customer</x:v>
      </x:c>
      <x:c r="K228" s="20" t="n">
        <x:v>45763.5</x:v>
      </x:c>
    </x:row>
    <x:row r="229" ht="15" hidden="0" customHeight="1">
      <x:c r="A229" s="18" t="str">
        <x:v>LN000228</x:v>
      </x:c>
      <x:c r="B229" s="18" t="str">
        <x:v>LOS-SYN-0000228</x:v>
      </x:c>
      <x:c r="C229" s="18" t="str">
        <x:v>EMP013</x:v>
      </x:c>
      <x:c r="D229" s="18" t="str">
        <x:v>CY2025Q2</x:v>
      </x:c>
      <x:c r="E229" s="18" t="str">
        <x:v>BR005</x:v>
      </x:c>
      <x:c r="F229" s="20" t="n">
        <x:v>45795.5</x:v>
      </x:c>
      <x:c r="G229" s="18" t="str">
        <x:v>Funded</x:v>
      </x:c>
      <x:c r="H229" s="23" t="n">
        <x:v>33000</x:v>
      </x:c>
      <x:c r="I229" s="18" t="str">
        <x:v>Debt consolidation loan</x:v>
      </x:c>
      <x:c r="J229" s="18" t="str">
        <x:v>Existing customer</x:v>
      </x:c>
      <x:c r="K229" s="20" t="n">
        <x:v>45806.5</x:v>
      </x:c>
    </x:row>
    <x:row r="230" ht="15" hidden="0" customHeight="1">
      <x:c r="A230" s="18" t="str">
        <x:v>LN000229</x:v>
      </x:c>
      <x:c r="B230" s="18" t="str">
        <x:v>LOS-SYN-0000229</x:v>
      </x:c>
      <x:c r="C230" s="18" t="str">
        <x:v>EMP013</x:v>
      </x:c>
      <x:c r="D230" s="18" t="str">
        <x:v>CY2025Q2</x:v>
      </x:c>
      <x:c r="E230" s="18" t="str">
        <x:v>BR005</x:v>
      </x:c>
      <x:c r="F230" s="20" t="n">
        <x:v>45796.5</x:v>
      </x:c>
      <x:c r="G230" s="18" t="str">
        <x:v>Funded</x:v>
      </x:c>
      <x:c r="H230" s="23" t="n">
        <x:v>38500</x:v>
      </x:c>
      <x:c r="I230" s="18" t="str">
        <x:v>Auto loan</x:v>
      </x:c>
      <x:c r="J230" s="18" t="str">
        <x:v>Existing customer</x:v>
      </x:c>
      <x:c r="K230" s="20" t="n">
        <x:v>45805.5</x:v>
      </x:c>
    </x:row>
    <x:row r="231" ht="15" hidden="0" customHeight="1">
      <x:c r="A231" s="18" t="str">
        <x:v>LN000230</x:v>
      </x:c>
      <x:c r="B231" s="18" t="str">
        <x:v>LOS-SYN-0000230</x:v>
      </x:c>
      <x:c r="C231" s="18" t="str">
        <x:v>EMP013</x:v>
      </x:c>
      <x:c r="D231" s="18" t="str">
        <x:v>CY2025Q2</x:v>
      </x:c>
      <x:c r="E231" s="18" t="str">
        <x:v>BR005</x:v>
      </x:c>
      <x:c r="F231" s="20" t="n">
        <x:v>45793.5</x:v>
      </x:c>
      <x:c r="G231" s="18" t="str">
        <x:v>Funded</x:v>
      </x:c>
      <x:c r="H231" s="23" t="n">
        <x:v>41500</x:v>
      </x:c>
      <x:c r="I231" s="18" t="str">
        <x:v>Personal loan</x:v>
      </x:c>
      <x:c r="J231" s="18" t="str">
        <x:v>New customer</x:v>
      </x:c>
      <x:c r="K231" s="20" t="n">
        <x:v>45802.5</x:v>
      </x:c>
    </x:row>
    <x:row r="232" ht="15" hidden="0" customHeight="1">
      <x:c r="A232" s="18" t="str">
        <x:v>LN000231</x:v>
      </x:c>
      <x:c r="B232" s="18" t="str">
        <x:v>LOS-SYN-0000231</x:v>
      </x:c>
      <x:c r="C232" s="18" t="str">
        <x:v>EMP013</x:v>
      </x:c>
      <x:c r="D232" s="18" t="str">
        <x:v>CY2025Q2</x:v>
      </x:c>
      <x:c r="E232" s="18" t="str">
        <x:v>BR005</x:v>
      </x:c>
      <x:c r="F232" s="20" t="n">
        <x:v>45789.5</x:v>
      </x:c>
      <x:c r="G232" s="18" t="str">
        <x:v>Funded</x:v>
      </x:c>
      <x:c r="H232" s="23" t="n">
        <x:v>36000</x:v>
      </x:c>
      <x:c r="I232" s="18" t="str">
        <x:v>Auto loan</x:v>
      </x:c>
      <x:c r="J232" s="18" t="str">
        <x:v>New customer</x:v>
      </x:c>
      <x:c r="K232" s="20" t="n">
        <x:v>45792.5</x:v>
      </x:c>
    </x:row>
    <x:row r="233" ht="15" hidden="0" customHeight="1">
      <x:c r="A233" s="18" t="str">
        <x:v>LN000232</x:v>
      </x:c>
      <x:c r="B233" s="18" t="str">
        <x:v>LOS-SYN-0000232</x:v>
      </x:c>
      <x:c r="C233" s="18" t="str">
        <x:v>EMP013</x:v>
      </x:c>
      <x:c r="D233" s="18" t="str">
        <x:v>CY2025Q2</x:v>
      </x:c>
      <x:c r="E233" s="18" t="str">
        <x:v>BR005</x:v>
      </x:c>
      <x:c r="F233" s="20" t="n">
        <x:v>45760.5</x:v>
      </x:c>
      <x:c r="G233" s="18" t="str">
        <x:v>Funded</x:v>
      </x:c>
      <x:c r="H233" s="23" t="n">
        <x:v>44000</x:v>
      </x:c>
      <x:c r="I233" s="18" t="str">
        <x:v>Personal loan</x:v>
      </x:c>
      <x:c r="J233" s="18" t="str">
        <x:v>Referral</x:v>
      </x:c>
      <x:c r="K233" s="20" t="n">
        <x:v>45765.5</x:v>
      </x:c>
    </x:row>
    <x:row r="234" ht="15" hidden="0" customHeight="1">
      <x:c r="A234" s="18" t="str">
        <x:v>LN000233</x:v>
      </x:c>
      <x:c r="B234" s="18" t="str">
        <x:v>LOS-SYN-0000233</x:v>
      </x:c>
      <x:c r="C234" s="18" t="str">
        <x:v>EMP013</x:v>
      </x:c>
      <x:c r="D234" s="18" t="str">
        <x:v>CY2025Q2</x:v>
      </x:c>
      <x:c r="E234" s="18" t="str">
        <x:v>BR005</x:v>
      </x:c>
      <x:c r="F234" s="20" t="n">
        <x:v>45779.5</x:v>
      </x:c>
      <x:c r="G234" s="18" t="str">
        <x:v>Funded</x:v>
      </x:c>
      <x:c r="H234" s="23" t="n">
        <x:v>55000</x:v>
      </x:c>
      <x:c r="I234" s="18" t="str">
        <x:v>Debt consolidation loan</x:v>
      </x:c>
      <x:c r="J234" s="18" t="str">
        <x:v>Referral</x:v>
      </x:c>
      <x:c r="K234" s="20" t="n">
        <x:v>45791.5</x:v>
      </x:c>
    </x:row>
    <x:row r="235" ht="15" hidden="0" customHeight="1">
      <x:c r="A235" s="18" t="str">
        <x:v>LN000234</x:v>
      </x:c>
      <x:c r="B235" s="18" t="str">
        <x:v>LOS-SYN-0000234</x:v>
      </x:c>
      <x:c r="C235" s="18" t="str">
        <x:v>EMP013</x:v>
      </x:c>
      <x:c r="D235" s="18" t="str">
        <x:v>CY2025Q2</x:v>
      </x:c>
      <x:c r="E235" s="18" t="str">
        <x:v>BR005</x:v>
      </x:c>
      <x:c r="F235" s="20" t="n">
        <x:v>45792.5</x:v>
      </x:c>
      <x:c r="G235" s="18" t="str">
        <x:v>Funded</x:v>
      </x:c>
      <x:c r="H235" s="23" t="n">
        <x:v>51000</x:v>
      </x:c>
      <x:c r="I235" s="18" t="str">
        <x:v>Debt consolidation loan</x:v>
      </x:c>
      <x:c r="J235" s="18" t="str">
        <x:v>Existing customer</x:v>
      </x:c>
      <x:c r="K235" s="20" t="n">
        <x:v>45798.5</x:v>
      </x:c>
    </x:row>
    <x:row r="236" ht="15" hidden="0" customHeight="1">
      <x:c r="A236" s="18" t="str">
        <x:v>LN000235</x:v>
      </x:c>
      <x:c r="B236" s="18" t="str">
        <x:v>LOS-SYN-0000235</x:v>
      </x:c>
      <x:c r="C236" s="18" t="str">
        <x:v>EMP014</x:v>
      </x:c>
      <x:c r="D236" s="18" t="str">
        <x:v>CY2025Q2</x:v>
      </x:c>
      <x:c r="E236" s="18" t="str">
        <x:v>BR006</x:v>
      </x:c>
      <x:c r="F236" s="20" t="n">
        <x:v>45756.5</x:v>
      </x:c>
      <x:c r="G236" s="18" t="str">
        <x:v>Funded</x:v>
      </x:c>
      <x:c r="H236" s="23" t="n">
        <x:v>40500</x:v>
      </x:c>
      <x:c r="I236" s="18" t="str">
        <x:v>Home improvement loan</x:v>
      </x:c>
      <x:c r="J236" s="18" t="str">
        <x:v>Referral</x:v>
      </x:c>
      <x:c r="K236" s="20" t="n">
        <x:v>45762.5</x:v>
      </x:c>
    </x:row>
    <x:row r="237" ht="15" hidden="0" customHeight="1">
      <x:c r="A237" s="18" t="str">
        <x:v>LN000236</x:v>
      </x:c>
      <x:c r="B237" s="18" t="str">
        <x:v>LOS-SYN-0000236</x:v>
      </x:c>
      <x:c r="C237" s="18" t="str">
        <x:v>EMP014</x:v>
      </x:c>
      <x:c r="D237" s="18" t="str">
        <x:v>CY2025Q2</x:v>
      </x:c>
      <x:c r="E237" s="18" t="str">
        <x:v>BR006</x:v>
      </x:c>
      <x:c r="F237" s="20" t="n">
        <x:v>45785.5</x:v>
      </x:c>
      <x:c r="G237" s="18" t="str">
        <x:v>Funded</x:v>
      </x:c>
      <x:c r="H237" s="23" t="n">
        <x:v>36500</x:v>
      </x:c>
      <x:c r="I237" s="18" t="str">
        <x:v>Personal loan</x:v>
      </x:c>
      <x:c r="J237" s="18" t="str">
        <x:v>Existing customer</x:v>
      </x:c>
      <x:c r="K237" s="20" t="n">
        <x:v>45794.5</x:v>
      </x:c>
    </x:row>
    <x:row r="238" ht="15" hidden="0" customHeight="1">
      <x:c r="A238" s="18" t="str">
        <x:v>LN000237</x:v>
      </x:c>
      <x:c r="B238" s="18" t="str">
        <x:v>LOS-SYN-0000237</x:v>
      </x:c>
      <x:c r="C238" s="18" t="str">
        <x:v>EMP014</x:v>
      </x:c>
      <x:c r="D238" s="18" t="str">
        <x:v>CY2025Q2</x:v>
      </x:c>
      <x:c r="E238" s="18" t="str">
        <x:v>BR006</x:v>
      </x:c>
      <x:c r="F238" s="20" t="n">
        <x:v>45819.5</x:v>
      </x:c>
      <x:c r="G238" s="18" t="str">
        <x:v>Funded</x:v>
      </x:c>
      <x:c r="H238" s="23" t="n">
        <x:v>38000</x:v>
      </x:c>
      <x:c r="I238" s="18" t="str">
        <x:v>Auto loan</x:v>
      </x:c>
      <x:c r="J238" s="18" t="str">
        <x:v>Referral</x:v>
      </x:c>
      <x:c r="K238" s="20" t="n">
        <x:v>45822.5</x:v>
      </x:c>
    </x:row>
    <x:row r="239" ht="15" hidden="0" customHeight="1">
      <x:c r="A239" s="18" t="str">
        <x:v>LN000238</x:v>
      </x:c>
      <x:c r="B239" s="18" t="str">
        <x:v>LOS-SYN-0000238</x:v>
      </x:c>
      <x:c r="C239" s="18" t="str">
        <x:v>EMP014</x:v>
      </x:c>
      <x:c r="D239" s="18" t="str">
        <x:v>CY2025Q2</x:v>
      </x:c>
      <x:c r="E239" s="18" t="str">
        <x:v>BR006</x:v>
      </x:c>
      <x:c r="F239" s="20" t="n">
        <x:v>45764.5</x:v>
      </x:c>
      <x:c r="G239" s="18" t="str">
        <x:v>Funded</x:v>
      </x:c>
      <x:c r="H239" s="23" t="n">
        <x:v>37500</x:v>
      </x:c>
      <x:c r="I239" s="18" t="str">
        <x:v>Debt consolidation loan</x:v>
      </x:c>
      <x:c r="J239" s="18" t="str">
        <x:v>Referral</x:v>
      </x:c>
      <x:c r="K239" s="20" t="n">
        <x:v>45771.5</x:v>
      </x:c>
    </x:row>
    <x:row r="240" ht="15" hidden="0" customHeight="1">
      <x:c r="A240" s="18" t="str">
        <x:v>LN000239</x:v>
      </x:c>
      <x:c r="B240" s="18" t="str">
        <x:v>LOS-SYN-0000239</x:v>
      </x:c>
      <x:c r="C240" s="18" t="str">
        <x:v>EMP014</x:v>
      </x:c>
      <x:c r="D240" s="18" t="str">
        <x:v>CY2025Q2</x:v>
      </x:c>
      <x:c r="E240" s="18" t="str">
        <x:v>BR006</x:v>
      </x:c>
      <x:c r="F240" s="20" t="n">
        <x:v>45802.5</x:v>
      </x:c>
      <x:c r="G240" s="18" t="str">
        <x:v>Funded</x:v>
      </x:c>
      <x:c r="H240" s="23" t="n">
        <x:v>46000</x:v>
      </x:c>
      <x:c r="I240" s="18" t="str">
        <x:v>Debt consolidation loan</x:v>
      </x:c>
      <x:c r="J240" s="18" t="str">
        <x:v>Existing customer</x:v>
      </x:c>
      <x:c r="K240" s="20" t="n">
        <x:v>45806.5</x:v>
      </x:c>
    </x:row>
    <x:row r="241" ht="15" hidden="0" customHeight="1">
      <x:c r="A241" s="18" t="str">
        <x:v>LN000240</x:v>
      </x:c>
      <x:c r="B241" s="18" t="str">
        <x:v>LOS-SYN-0000240</x:v>
      </x:c>
      <x:c r="C241" s="18" t="str">
        <x:v>EMP014</x:v>
      </x:c>
      <x:c r="D241" s="18" t="str">
        <x:v>CY2025Q2</x:v>
      </x:c>
      <x:c r="E241" s="18" t="str">
        <x:v>BR006</x:v>
      </x:c>
      <x:c r="F241" s="20" t="n">
        <x:v>45787.5</x:v>
      </x:c>
      <x:c r="G241" s="18" t="str">
        <x:v>Funded</x:v>
      </x:c>
      <x:c r="H241" s="23" t="n">
        <x:v>43000</x:v>
      </x:c>
      <x:c r="I241" s="18" t="str">
        <x:v>Personal loan</x:v>
      </x:c>
      <x:c r="J241" s="18" t="str">
        <x:v>Referral</x:v>
      </x:c>
      <x:c r="K241" s="20" t="n">
        <x:v>45799.5</x:v>
      </x:c>
    </x:row>
    <x:row r="242" ht="15" hidden="0" customHeight="1">
      <x:c r="A242" s="18" t="str">
        <x:v>LN000241</x:v>
      </x:c>
      <x:c r="B242" s="18" t="str">
        <x:v>LOS-SYN-0000241</x:v>
      </x:c>
      <x:c r="C242" s="18" t="str">
        <x:v>EMP014</x:v>
      </x:c>
      <x:c r="D242" s="18" t="str">
        <x:v>CY2025Q2</x:v>
      </x:c>
      <x:c r="E242" s="18" t="str">
        <x:v>BR006</x:v>
      </x:c>
      <x:c r="F242" s="20" t="n">
        <x:v>45812.5</x:v>
      </x:c>
      <x:c r="G242" s="18" t="str">
        <x:v>Funded</x:v>
      </x:c>
      <x:c r="H242" s="23" t="n">
        <x:v>51500</x:v>
      </x:c>
      <x:c r="I242" s="18" t="str">
        <x:v>Personal loan</x:v>
      </x:c>
      <x:c r="J242" s="18" t="str">
        <x:v>New customer</x:v>
      </x:c>
      <x:c r="K242" s="20" t="n">
        <x:v>45821.5</x:v>
      </x:c>
    </x:row>
    <x:row r="243" ht="15" hidden="0" customHeight="1">
      <x:c r="A243" s="18" t="str">
        <x:v>LN000242</x:v>
      </x:c>
      <x:c r="B243" s="18" t="str">
        <x:v>LOS-SYN-0000242</x:v>
      </x:c>
      <x:c r="C243" s="18" t="str">
        <x:v>EMP014</x:v>
      </x:c>
      <x:c r="D243" s="18" t="str">
        <x:v>CY2025Q2</x:v>
      </x:c>
      <x:c r="E243" s="18" t="str">
        <x:v>BR006</x:v>
      </x:c>
      <x:c r="F243" s="20" t="n">
        <x:v>45822.5</x:v>
      </x:c>
      <x:c r="G243" s="18" t="str">
        <x:v>Funded</x:v>
      </x:c>
      <x:c r="H243" s="23" t="n">
        <x:v>30500</x:v>
      </x:c>
      <x:c r="I243" s="18" t="str">
        <x:v>Debt consolidation loan</x:v>
      </x:c>
      <x:c r="J243" s="18" t="str">
        <x:v>New customer</x:v>
      </x:c>
      <x:c r="K243" s="20" t="n">
        <x:v>45830.5</x:v>
      </x:c>
    </x:row>
    <x:row r="244" ht="15" hidden="0" customHeight="1">
      <x:c r="A244" s="18" t="str">
        <x:v>LN000243</x:v>
      </x:c>
      <x:c r="B244" s="18" t="str">
        <x:v>LOS-SYN-0000243</x:v>
      </x:c>
      <x:c r="C244" s="18" t="str">
        <x:v>EMP014</x:v>
      </x:c>
      <x:c r="D244" s="18" t="str">
        <x:v>CY2025Q2</x:v>
      </x:c>
      <x:c r="E244" s="18" t="str">
        <x:v>BR006</x:v>
      </x:c>
      <x:c r="F244" s="20" t="n">
        <x:v>45749.5</x:v>
      </x:c>
      <x:c r="G244" s="18" t="str">
        <x:v>Funded</x:v>
      </x:c>
      <x:c r="H244" s="23" t="n">
        <x:v>47500</x:v>
      </x:c>
      <x:c r="I244" s="18" t="str">
        <x:v>Auto loan</x:v>
      </x:c>
      <x:c r="J244" s="18" t="str">
        <x:v>Existing customer</x:v>
      </x:c>
      <x:c r="K244" s="20" t="n">
        <x:v>45760.5</x:v>
      </x:c>
    </x:row>
    <x:row r="245" ht="15" hidden="0" customHeight="1">
      <x:c r="A245" s="18" t="str">
        <x:v>LN000244</x:v>
      </x:c>
      <x:c r="B245" s="18" t="str">
        <x:v>LOS-SYN-0000244</x:v>
      </x:c>
      <x:c r="C245" s="18" t="str">
        <x:v>EMP015</x:v>
      </x:c>
      <x:c r="D245" s="18" t="str">
        <x:v>CY2025Q2</x:v>
      </x:c>
      <x:c r="E245" s="18" t="str">
        <x:v>BR006</x:v>
      </x:c>
      <x:c r="F245" s="20" t="n">
        <x:v>45778.5</x:v>
      </x:c>
      <x:c r="G245" s="18" t="str">
        <x:v>Funded</x:v>
      </x:c>
      <x:c r="H245" s="23" t="n">
        <x:v>37000</x:v>
      </x:c>
      <x:c r="I245" s="18" t="str">
        <x:v>Home improvement loan</x:v>
      </x:c>
      <x:c r="J245" s="18" t="str">
        <x:v>New customer</x:v>
      </x:c>
      <x:c r="K245" s="20" t="n">
        <x:v>45786.5</x:v>
      </x:c>
    </x:row>
    <x:row r="246" ht="15" hidden="0" customHeight="1">
      <x:c r="A246" s="18" t="str">
        <x:v>LN000245</x:v>
      </x:c>
      <x:c r="B246" s="18" t="str">
        <x:v>LOS-SYN-0000245</x:v>
      </x:c>
      <x:c r="C246" s="18" t="str">
        <x:v>EMP015</x:v>
      </x:c>
      <x:c r="D246" s="18" t="str">
        <x:v>CY2025Q2</x:v>
      </x:c>
      <x:c r="E246" s="18" t="str">
        <x:v>BR006</x:v>
      </x:c>
      <x:c r="F246" s="20" t="n">
        <x:v>45749.5</x:v>
      </x:c>
      <x:c r="G246" s="18" t="str">
        <x:v>Funded</x:v>
      </x:c>
      <x:c r="H246" s="23" t="n">
        <x:v>48000</x:v>
      </x:c>
      <x:c r="I246" s="18" t="str">
        <x:v>Auto loan</x:v>
      </x:c>
      <x:c r="J246" s="18" t="str">
        <x:v>Referral</x:v>
      </x:c>
      <x:c r="K246" s="20" t="n">
        <x:v>45752.5</x:v>
      </x:c>
    </x:row>
    <x:row r="247" ht="15" hidden="0" customHeight="1">
      <x:c r="A247" s="18" t="str">
        <x:v>LN000246</x:v>
      </x:c>
      <x:c r="B247" s="18" t="str">
        <x:v>LOS-SYN-0000246</x:v>
      </x:c>
      <x:c r="C247" s="18" t="str">
        <x:v>EMP015</x:v>
      </x:c>
      <x:c r="D247" s="18" t="str">
        <x:v>CY2025Q2</x:v>
      </x:c>
      <x:c r="E247" s="18" t="str">
        <x:v>BR006</x:v>
      </x:c>
      <x:c r="F247" s="20" t="n">
        <x:v>45801.5</x:v>
      </x:c>
      <x:c r="G247" s="18" t="str">
        <x:v>Funded</x:v>
      </x:c>
      <x:c r="H247" s="23" t="n">
        <x:v>32000</x:v>
      </x:c>
      <x:c r="I247" s="18" t="str">
        <x:v>Home improvement loan</x:v>
      </x:c>
      <x:c r="J247" s="18" t="str">
        <x:v>New customer</x:v>
      </x:c>
      <x:c r="K247" s="20" t="n">
        <x:v>45808.5</x:v>
      </x:c>
    </x:row>
    <x:row r="248" ht="15" hidden="0" customHeight="1">
      <x:c r="A248" s="18" t="str">
        <x:v>LN000247</x:v>
      </x:c>
      <x:c r="B248" s="18" t="str">
        <x:v>LOS-SYN-0000247</x:v>
      </x:c>
      <x:c r="C248" s="18" t="str">
        <x:v>EMP015</x:v>
      </x:c>
      <x:c r="D248" s="18" t="str">
        <x:v>CY2025Q2</x:v>
      </x:c>
      <x:c r="E248" s="18" t="str">
        <x:v>BR006</x:v>
      </x:c>
      <x:c r="F248" s="20" t="n">
        <x:v>45757.5</x:v>
      </x:c>
      <x:c r="G248" s="18" t="str">
        <x:v>Funded</x:v>
      </x:c>
      <x:c r="H248" s="23" t="n">
        <x:v>52500</x:v>
      </x:c>
      <x:c r="I248" s="18" t="str">
        <x:v>Debt consolidation loan</x:v>
      </x:c>
      <x:c r="J248" s="18" t="str">
        <x:v>New customer</x:v>
      </x:c>
      <x:c r="K248" s="20" t="n">
        <x:v>45766.5</x:v>
      </x:c>
    </x:row>
    <x:row r="249" ht="15" hidden="0" customHeight="1">
      <x:c r="A249" s="18" t="str">
        <x:v>LN000248</x:v>
      </x:c>
      <x:c r="B249" s="18" t="str">
        <x:v>LOS-SYN-0000248</x:v>
      </x:c>
      <x:c r="C249" s="18" t="str">
        <x:v>EMP015</x:v>
      </x:c>
      <x:c r="D249" s="18" t="str">
        <x:v>CY2025Q2</x:v>
      </x:c>
      <x:c r="E249" s="18" t="str">
        <x:v>BR006</x:v>
      </x:c>
      <x:c r="F249" s="20" t="n">
        <x:v>45754.5</x:v>
      </x:c>
      <x:c r="G249" s="18" t="str">
        <x:v>Funded</x:v>
      </x:c>
      <x:c r="H249" s="23" t="n">
        <x:v>38500</x:v>
      </x:c>
      <x:c r="I249" s="18" t="str">
        <x:v>Auto loan</x:v>
      </x:c>
      <x:c r="J249" s="18" t="str">
        <x:v>Referral</x:v>
      </x:c>
      <x:c r="K249" s="20" t="n">
        <x:v>45760.5</x:v>
      </x:c>
    </x:row>
    <x:row r="250" ht="15" hidden="0" customHeight="1">
      <x:c r="A250" s="18" t="str">
        <x:v>LN000249</x:v>
      </x:c>
      <x:c r="B250" s="18" t="str">
        <x:v>LOS-SYN-0000249</x:v>
      </x:c>
      <x:c r="C250" s="18" t="str">
        <x:v>EMP015</x:v>
      </x:c>
      <x:c r="D250" s="18" t="str">
        <x:v>CY2025Q2</x:v>
      </x:c>
      <x:c r="E250" s="18" t="str">
        <x:v>BR006</x:v>
      </x:c>
      <x:c r="F250" s="20" t="n">
        <x:v>45762.5</x:v>
      </x:c>
      <x:c r="G250" s="18" t="str">
        <x:v>Funded</x:v>
      </x:c>
      <x:c r="H250" s="23" t="n">
        <x:v>37000</x:v>
      </x:c>
      <x:c r="I250" s="18" t="str">
        <x:v>Home improvement loan</x:v>
      </x:c>
      <x:c r="J250" s="18" t="str">
        <x:v>New customer</x:v>
      </x:c>
      <x:c r="K250" s="20" t="n">
        <x:v>45774.5</x:v>
      </x:c>
    </x:row>
    <x:row r="251" ht="15" hidden="0" customHeight="1">
      <x:c r="A251" s="18" t="str">
        <x:v>LN000250</x:v>
      </x:c>
      <x:c r="B251" s="18" t="str">
        <x:v>LOS-SYN-0000250</x:v>
      </x:c>
      <x:c r="C251" s="18" t="str">
        <x:v>EMP015</x:v>
      </x:c>
      <x:c r="D251" s="18" t="str">
        <x:v>CY2025Q2</x:v>
      </x:c>
      <x:c r="E251" s="18" t="str">
        <x:v>BR006</x:v>
      </x:c>
      <x:c r="F251" s="20" t="n">
        <x:v>45805.5</x:v>
      </x:c>
      <x:c r="G251" s="18" t="str">
        <x:v>Cancelled</x:v>
      </x:c>
      <x:c r="H251" s="23" t="n">
        <x:v>31000</x:v>
      </x:c>
      <x:c r="I251" s="18" t="str">
        <x:v>Personal loan</x:v>
      </x:c>
      <x:c r="J251" s="18" t="str">
        <x:v>New customer</x:v>
      </x:c>
      <x:c r="K251" s="20"/>
    </x:row>
    <x:row r="252" ht="15" hidden="0" customHeight="1">
      <x:c r="A252" s="18" t="str">
        <x:v>LN000251</x:v>
      </x:c>
      <x:c r="B252" s="18" t="str">
        <x:v>LOS-SYN-0000251</x:v>
      </x:c>
      <x:c r="C252" s="18" t="str">
        <x:v>EMP001</x:v>
      </x:c>
      <x:c r="D252" s="18" t="str">
        <x:v>CY2025Q3</x:v>
      </x:c>
      <x:c r="E252" s="18" t="str">
        <x:v>BR001</x:v>
      </x:c>
      <x:c r="F252" s="20" t="n">
        <x:v>45916.5</x:v>
      </x:c>
      <x:c r="G252" s="18" t="str">
        <x:v>Funded</x:v>
      </x:c>
      <x:c r="H252" s="23" t="n">
        <x:v>52500</x:v>
      </x:c>
      <x:c r="I252" s="18" t="str">
        <x:v>Debt consolidation loan</x:v>
      </x:c>
      <x:c r="J252" s="18" t="str">
        <x:v>Existing customer</x:v>
      </x:c>
      <x:c r="K252" s="20" t="n">
        <x:v>45927.5</x:v>
      </x:c>
    </x:row>
    <x:row r="253" ht="15" hidden="0" customHeight="1">
      <x:c r="A253" s="18" t="str">
        <x:v>LN000252</x:v>
      </x:c>
      <x:c r="B253" s="18" t="str">
        <x:v>LOS-SYN-0000252</x:v>
      </x:c>
      <x:c r="C253" s="18" t="str">
        <x:v>EMP001</x:v>
      </x:c>
      <x:c r="D253" s="18" t="str">
        <x:v>CY2025Q3</x:v>
      </x:c>
      <x:c r="E253" s="18" t="str">
        <x:v>BR001</x:v>
      </x:c>
      <x:c r="F253" s="20" t="n">
        <x:v>45878.5</x:v>
      </x:c>
      <x:c r="G253" s="18" t="str">
        <x:v>Funded</x:v>
      </x:c>
      <x:c r="H253" s="23" t="n">
        <x:v>38000</x:v>
      </x:c>
      <x:c r="I253" s="18" t="str">
        <x:v>Personal loan</x:v>
      </x:c>
      <x:c r="J253" s="18" t="str">
        <x:v>Referral</x:v>
      </x:c>
      <x:c r="K253" s="20" t="n">
        <x:v>45881.5</x:v>
      </x:c>
    </x:row>
    <x:row r="254" ht="15" hidden="0" customHeight="1">
      <x:c r="A254" s="18" t="str">
        <x:v>LN000253</x:v>
      </x:c>
      <x:c r="B254" s="18" t="str">
        <x:v>LOS-SYN-0000253</x:v>
      </x:c>
      <x:c r="C254" s="18" t="str">
        <x:v>EMP001</x:v>
      </x:c>
      <x:c r="D254" s="18" t="str">
        <x:v>CY2025Q3</x:v>
      </x:c>
      <x:c r="E254" s="18" t="str">
        <x:v>BR001</x:v>
      </x:c>
      <x:c r="F254" s="20" t="n">
        <x:v>45859.5</x:v>
      </x:c>
      <x:c r="G254" s="18" t="str">
        <x:v>Funded</x:v>
      </x:c>
      <x:c r="H254" s="23" t="n">
        <x:v>47500</x:v>
      </x:c>
      <x:c r="I254" s="18" t="str">
        <x:v>Debt consolidation loan</x:v>
      </x:c>
      <x:c r="J254" s="18" t="str">
        <x:v>Referral</x:v>
      </x:c>
      <x:c r="K254" s="20" t="n">
        <x:v>45870.5</x:v>
      </x:c>
    </x:row>
    <x:row r="255" ht="15" hidden="0" customHeight="1">
      <x:c r="A255" s="18" t="str">
        <x:v>LN000254</x:v>
      </x:c>
      <x:c r="B255" s="18" t="str">
        <x:v>LOS-SYN-0000254</x:v>
      </x:c>
      <x:c r="C255" s="18" t="str">
        <x:v>EMP001</x:v>
      </x:c>
      <x:c r="D255" s="18" t="str">
        <x:v>CY2025Q3</x:v>
      </x:c>
      <x:c r="E255" s="18" t="str">
        <x:v>BR001</x:v>
      </x:c>
      <x:c r="F255" s="20" t="n">
        <x:v>45912.5</x:v>
      </x:c>
      <x:c r="G255" s="18" t="str">
        <x:v>Funded</x:v>
      </x:c>
      <x:c r="H255" s="23" t="n">
        <x:v>37500</x:v>
      </x:c>
      <x:c r="I255" s="18" t="str">
        <x:v>Personal loan</x:v>
      </x:c>
      <x:c r="J255" s="18" t="str">
        <x:v>Referral</x:v>
      </x:c>
      <x:c r="K255" s="20" t="n">
        <x:v>45919.5</x:v>
      </x:c>
    </x:row>
    <x:row r="256" ht="15" hidden="0" customHeight="1">
      <x:c r="A256" s="18" t="str">
        <x:v>LN000255</x:v>
      </x:c>
      <x:c r="B256" s="18" t="str">
        <x:v>LOS-SYN-0000255</x:v>
      </x:c>
      <x:c r="C256" s="18" t="str">
        <x:v>EMP001</x:v>
      </x:c>
      <x:c r="D256" s="18" t="str">
        <x:v>CY2025Q3</x:v>
      </x:c>
      <x:c r="E256" s="18" t="str">
        <x:v>BR001</x:v>
      </x:c>
      <x:c r="F256" s="20" t="n">
        <x:v>45839.5</x:v>
      </x:c>
      <x:c r="G256" s="18" t="str">
        <x:v>Funded</x:v>
      </x:c>
      <x:c r="H256" s="23" t="n">
        <x:v>49000</x:v>
      </x:c>
      <x:c r="I256" s="18" t="str">
        <x:v>Auto loan</x:v>
      </x:c>
      <x:c r="J256" s="18" t="str">
        <x:v>Referral</x:v>
      </x:c>
      <x:c r="K256" s="20" t="n">
        <x:v>45845.5</x:v>
      </x:c>
    </x:row>
    <x:row r="257" ht="15" hidden="0" customHeight="1">
      <x:c r="A257" s="18" t="str">
        <x:v>LN000256</x:v>
      </x:c>
      <x:c r="B257" s="18" t="str">
        <x:v>LOS-SYN-0000256</x:v>
      </x:c>
      <x:c r="C257" s="18" t="str">
        <x:v>EMP001</x:v>
      </x:c>
      <x:c r="D257" s="18" t="str">
        <x:v>CY2025Q3</x:v>
      </x:c>
      <x:c r="E257" s="18" t="str">
        <x:v>BR001</x:v>
      </x:c>
      <x:c r="F257" s="20" t="n">
        <x:v>45898.5</x:v>
      </x:c>
      <x:c r="G257" s="18" t="str">
        <x:v>Funded</x:v>
      </x:c>
      <x:c r="H257" s="23" t="n">
        <x:v>61000</x:v>
      </x:c>
      <x:c r="I257" s="18" t="str">
        <x:v>Auto loan</x:v>
      </x:c>
      <x:c r="J257" s="18" t="str">
        <x:v>Existing customer</x:v>
      </x:c>
      <x:c r="K257" s="20" t="n">
        <x:v>45909.5</x:v>
      </x:c>
    </x:row>
    <x:row r="258" ht="15" hidden="0" customHeight="1">
      <x:c r="A258" s="18" t="str">
        <x:v>LN000257</x:v>
      </x:c>
      <x:c r="B258" s="18" t="str">
        <x:v>LOS-SYN-0000257</x:v>
      </x:c>
      <x:c r="C258" s="18" t="str">
        <x:v>EMP001</x:v>
      </x:c>
      <x:c r="D258" s="18" t="str">
        <x:v>CY2025Q3</x:v>
      </x:c>
      <x:c r="E258" s="18" t="str">
        <x:v>BR001</x:v>
      </x:c>
      <x:c r="F258" s="20" t="n">
        <x:v>45902.5</x:v>
      </x:c>
      <x:c r="G258" s="18" t="str">
        <x:v>Funded</x:v>
      </x:c>
      <x:c r="H258" s="23" t="n">
        <x:v>34500</x:v>
      </x:c>
      <x:c r="I258" s="18" t="str">
        <x:v>Personal loan</x:v>
      </x:c>
      <x:c r="J258" s="18" t="str">
        <x:v>Referral</x:v>
      </x:c>
      <x:c r="K258" s="20" t="n">
        <x:v>45909.5</x:v>
      </x:c>
    </x:row>
    <x:row r="259" ht="15" hidden="0" customHeight="1">
      <x:c r="A259" s="18" t="str">
        <x:v>LN000258</x:v>
      </x:c>
      <x:c r="B259" s="18" t="str">
        <x:v>LOS-SYN-0000258</x:v>
      </x:c>
      <x:c r="C259" s="18" t="str">
        <x:v>EMP001</x:v>
      </x:c>
      <x:c r="D259" s="18" t="str">
        <x:v>CY2025Q3</x:v>
      </x:c>
      <x:c r="E259" s="18" t="str">
        <x:v>BR001</x:v>
      </x:c>
      <x:c r="F259" s="20" t="n">
        <x:v>45874.5</x:v>
      </x:c>
      <x:c r="G259" s="18" t="str">
        <x:v>Funded</x:v>
      </x:c>
      <x:c r="H259" s="23" t="n">
        <x:v>54000</x:v>
      </x:c>
      <x:c r="I259" s="18" t="str">
        <x:v>Auto loan</x:v>
      </x:c>
      <x:c r="J259" s="18" t="str">
        <x:v>New customer</x:v>
      </x:c>
      <x:c r="K259" s="20" t="n">
        <x:v>45880.5</x:v>
      </x:c>
    </x:row>
    <x:row r="260" ht="15" hidden="0" customHeight="1">
      <x:c r="A260" s="18" t="str">
        <x:v>LN000259</x:v>
      </x:c>
      <x:c r="B260" s="18" t="str">
        <x:v>LOS-SYN-0000259</x:v>
      </x:c>
      <x:c r="C260" s="18" t="str">
        <x:v>EMP002</x:v>
      </x:c>
      <x:c r="D260" s="18" t="str">
        <x:v>CY2025Q3</x:v>
      </x:c>
      <x:c r="E260" s="18" t="str">
        <x:v>BR001</x:v>
      </x:c>
      <x:c r="F260" s="20" t="n">
        <x:v>45863.5</x:v>
      </x:c>
      <x:c r="G260" s="18" t="str">
        <x:v>Funded</x:v>
      </x:c>
      <x:c r="H260" s="23" t="n">
        <x:v>51500</x:v>
      </x:c>
      <x:c r="I260" s="18" t="str">
        <x:v>Home improvement loan</x:v>
      </x:c>
      <x:c r="J260" s="18" t="str">
        <x:v>New customer</x:v>
      </x:c>
      <x:c r="K260" s="20" t="n">
        <x:v>45874.5</x:v>
      </x:c>
    </x:row>
    <x:row r="261" ht="15" hidden="0" customHeight="1">
      <x:c r="A261" s="18" t="str">
        <x:v>LN000260</x:v>
      </x:c>
      <x:c r="B261" s="18" t="str">
        <x:v>LOS-SYN-0000260</x:v>
      </x:c>
      <x:c r="C261" s="18" t="str">
        <x:v>EMP002</x:v>
      </x:c>
      <x:c r="D261" s="18" t="str">
        <x:v>CY2025Q3</x:v>
      </x:c>
      <x:c r="E261" s="18" t="str">
        <x:v>BR001</x:v>
      </x:c>
      <x:c r="F261" s="20" t="n">
        <x:v>45913.5</x:v>
      </x:c>
      <x:c r="G261" s="18" t="str">
        <x:v>Funded</x:v>
      </x:c>
      <x:c r="H261" s="23" t="n">
        <x:v>48000</x:v>
      </x:c>
      <x:c r="I261" s="18" t="str">
        <x:v>Auto loan</x:v>
      </x:c>
      <x:c r="J261" s="18" t="str">
        <x:v>Existing customer</x:v>
      </x:c>
      <x:c r="K261" s="20" t="n">
        <x:v>45920.5</x:v>
      </x:c>
    </x:row>
    <x:row r="262" ht="15" hidden="0" customHeight="1">
      <x:c r="A262" s="18" t="str">
        <x:v>LN000261</x:v>
      </x:c>
      <x:c r="B262" s="18" t="str">
        <x:v>LOS-SYN-0000261</x:v>
      </x:c>
      <x:c r="C262" s="18" t="str">
        <x:v>EMP002</x:v>
      </x:c>
      <x:c r="D262" s="18" t="str">
        <x:v>CY2025Q3</x:v>
      </x:c>
      <x:c r="E262" s="18" t="str">
        <x:v>BR001</x:v>
      </x:c>
      <x:c r="F262" s="20" t="n">
        <x:v>45891.5</x:v>
      </x:c>
      <x:c r="G262" s="18" t="str">
        <x:v>Funded</x:v>
      </x:c>
      <x:c r="H262" s="23" t="n">
        <x:v>48000</x:v>
      </x:c>
      <x:c r="I262" s="18" t="str">
        <x:v>Auto loan</x:v>
      </x:c>
      <x:c r="J262" s="18" t="str">
        <x:v>Existing customer</x:v>
      </x:c>
      <x:c r="K262" s="20" t="n">
        <x:v>45898.5</x:v>
      </x:c>
    </x:row>
    <x:row r="263" ht="15" hidden="0" customHeight="1">
      <x:c r="A263" s="18" t="str">
        <x:v>LN000262</x:v>
      </x:c>
      <x:c r="B263" s="18" t="str">
        <x:v>LOS-SYN-0000262</x:v>
      </x:c>
      <x:c r="C263" s="18" t="str">
        <x:v>EMP002</x:v>
      </x:c>
      <x:c r="D263" s="18" t="str">
        <x:v>CY2025Q3</x:v>
      </x:c>
      <x:c r="E263" s="18" t="str">
        <x:v>BR001</x:v>
      </x:c>
      <x:c r="F263" s="20" t="n">
        <x:v>45901.5</x:v>
      </x:c>
      <x:c r="G263" s="18" t="str">
        <x:v>Funded</x:v>
      </x:c>
      <x:c r="H263" s="23" t="n">
        <x:v>39500</x:v>
      </x:c>
      <x:c r="I263" s="18" t="str">
        <x:v>Personal loan</x:v>
      </x:c>
      <x:c r="J263" s="18" t="str">
        <x:v>New customer</x:v>
      </x:c>
      <x:c r="K263" s="20" t="n">
        <x:v>45911.5</x:v>
      </x:c>
    </x:row>
    <x:row r="264" ht="15" hidden="0" customHeight="1">
      <x:c r="A264" s="18" t="str">
        <x:v>LN000263</x:v>
      </x:c>
      <x:c r="B264" s="18" t="str">
        <x:v>LOS-SYN-0000263</x:v>
      </x:c>
      <x:c r="C264" s="18" t="str">
        <x:v>EMP002</x:v>
      </x:c>
      <x:c r="D264" s="18" t="str">
        <x:v>CY2025Q3</x:v>
      </x:c>
      <x:c r="E264" s="18" t="str">
        <x:v>BR001</x:v>
      </x:c>
      <x:c r="F264" s="20" t="n">
        <x:v>45842.5</x:v>
      </x:c>
      <x:c r="G264" s="18" t="str">
        <x:v>Funded</x:v>
      </x:c>
      <x:c r="H264" s="23" t="n">
        <x:v>47500</x:v>
      </x:c>
      <x:c r="I264" s="18" t="str">
        <x:v>Debt consolidation loan</x:v>
      </x:c>
      <x:c r="J264" s="18" t="str">
        <x:v>Existing customer</x:v>
      </x:c>
      <x:c r="K264" s="20" t="n">
        <x:v>45846.5</x:v>
      </x:c>
    </x:row>
    <x:row r="265" ht="15" hidden="0" customHeight="1">
      <x:c r="A265" s="18" t="str">
        <x:v>LN000264</x:v>
      </x:c>
      <x:c r="B265" s="18" t="str">
        <x:v>LOS-SYN-0000264</x:v>
      </x:c>
      <x:c r="C265" s="18" t="str">
        <x:v>EMP002</x:v>
      </x:c>
      <x:c r="D265" s="18" t="str">
        <x:v>CY2025Q3</x:v>
      </x:c>
      <x:c r="E265" s="18" t="str">
        <x:v>BR001</x:v>
      </x:c>
      <x:c r="F265" s="20" t="n">
        <x:v>45901.5</x:v>
      </x:c>
      <x:c r="G265" s="18" t="str">
        <x:v>Funded</x:v>
      </x:c>
      <x:c r="H265" s="23" t="n">
        <x:v>56500</x:v>
      </x:c>
      <x:c r="I265" s="18" t="str">
        <x:v>Personal loan</x:v>
      </x:c>
      <x:c r="J265" s="18" t="str">
        <x:v>Existing customer</x:v>
      </x:c>
      <x:c r="K265" s="20" t="n">
        <x:v>45905.5</x:v>
      </x:c>
    </x:row>
    <x:row r="266" ht="15" hidden="0" customHeight="1">
      <x:c r="A266" s="18" t="str">
        <x:v>LN000265</x:v>
      </x:c>
      <x:c r="B266" s="18" t="str">
        <x:v>LOS-SYN-0000265</x:v>
      </x:c>
      <x:c r="C266" s="18" t="str">
        <x:v>EMP002</x:v>
      </x:c>
      <x:c r="D266" s="18" t="str">
        <x:v>CY2025Q3</x:v>
      </x:c>
      <x:c r="E266" s="18" t="str">
        <x:v>BR001</x:v>
      </x:c>
      <x:c r="F266" s="20" t="n">
        <x:v>45847.5</x:v>
      </x:c>
      <x:c r="G266" s="18" t="str">
        <x:v>Funded</x:v>
      </x:c>
      <x:c r="H266" s="23" t="n">
        <x:v>41000</x:v>
      </x:c>
      <x:c r="I266" s="18" t="str">
        <x:v>Personal loan</x:v>
      </x:c>
      <x:c r="J266" s="18" t="str">
        <x:v>Referral</x:v>
      </x:c>
      <x:c r="K266" s="20" t="n">
        <x:v>45854.5</x:v>
      </x:c>
    </x:row>
    <x:row r="267" ht="15" hidden="0" customHeight="1">
      <x:c r="A267" s="18" t="str">
        <x:v>LN000266</x:v>
      </x:c>
      <x:c r="B267" s="18" t="str">
        <x:v>LOS-SYN-0000266</x:v>
      </x:c>
      <x:c r="C267" s="18" t="str">
        <x:v>EMP002</x:v>
      </x:c>
      <x:c r="D267" s="18" t="str">
        <x:v>CY2025Q3</x:v>
      </x:c>
      <x:c r="E267" s="18" t="str">
        <x:v>BR001</x:v>
      </x:c>
      <x:c r="F267" s="20" t="n">
        <x:v>45912.5</x:v>
      </x:c>
      <x:c r="G267" s="18" t="str">
        <x:v>Funded</x:v>
      </x:c>
      <x:c r="H267" s="23" t="n">
        <x:v>43000</x:v>
      </x:c>
      <x:c r="I267" s="18" t="str">
        <x:v>Home improvement loan</x:v>
      </x:c>
      <x:c r="J267" s="18" t="str">
        <x:v>Existing customer</x:v>
      </x:c>
      <x:c r="K267" s="20" t="n">
        <x:v>45922.5</x:v>
      </x:c>
    </x:row>
    <x:row r="268" ht="15" hidden="0" customHeight="1">
      <x:c r="A268" s="18" t="str">
        <x:v>LN000267</x:v>
      </x:c>
      <x:c r="B268" s="18" t="str">
        <x:v>LOS-SYN-0000267</x:v>
      </x:c>
      <x:c r="C268" s="18" t="str">
        <x:v>EMP002</x:v>
      </x:c>
      <x:c r="D268" s="18" t="str">
        <x:v>CY2025Q3</x:v>
      </x:c>
      <x:c r="E268" s="18" t="str">
        <x:v>BR001</x:v>
      </x:c>
      <x:c r="F268" s="20" t="n">
        <x:v>45904.5</x:v>
      </x:c>
      <x:c r="G268" s="18" t="str">
        <x:v>Cancelled</x:v>
      </x:c>
      <x:c r="H268" s="23" t="n">
        <x:v>32000</x:v>
      </x:c>
      <x:c r="I268" s="18" t="str">
        <x:v>Personal loan</x:v>
      </x:c>
      <x:c r="J268" s="18" t="str">
        <x:v>New customer</x:v>
      </x:c>
      <x:c r="K268" s="20"/>
    </x:row>
    <x:row r="269" ht="15" hidden="0" customHeight="1">
      <x:c r="A269" s="18" t="str">
        <x:v>LN000268</x:v>
      </x:c>
      <x:c r="B269" s="18" t="str">
        <x:v>LOS-SYN-0000268</x:v>
      </x:c>
      <x:c r="C269" s="18" t="str">
        <x:v>EMP003</x:v>
      </x:c>
      <x:c r="D269" s="18" t="str">
        <x:v>CY2025Q3</x:v>
      </x:c>
      <x:c r="E269" s="18" t="str">
        <x:v>BR001</x:v>
      </x:c>
      <x:c r="F269" s="20" t="n">
        <x:v>45894.5</x:v>
      </x:c>
      <x:c r="G269" s="18" t="str">
        <x:v>Funded</x:v>
      </x:c>
      <x:c r="H269" s="23" t="n">
        <x:v>46500</x:v>
      </x:c>
      <x:c r="I269" s="18" t="str">
        <x:v>Home improvement loan</x:v>
      </x:c>
      <x:c r="J269" s="18" t="str">
        <x:v>Existing customer</x:v>
      </x:c>
      <x:c r="K269" s="20" t="n">
        <x:v>45902.5</x:v>
      </x:c>
    </x:row>
    <x:row r="270" ht="15" hidden="0" customHeight="1">
      <x:c r="A270" s="18" t="str">
        <x:v>LN000269</x:v>
      </x:c>
      <x:c r="B270" s="18" t="str">
        <x:v>LOS-SYN-0000269</x:v>
      </x:c>
      <x:c r="C270" s="18" t="str">
        <x:v>EMP003</x:v>
      </x:c>
      <x:c r="D270" s="18" t="str">
        <x:v>CY2025Q3</x:v>
      </x:c>
      <x:c r="E270" s="18" t="str">
        <x:v>BR001</x:v>
      </x:c>
      <x:c r="F270" s="20" t="n">
        <x:v>45903.5</x:v>
      </x:c>
      <x:c r="G270" s="18" t="str">
        <x:v>Funded</x:v>
      </x:c>
      <x:c r="H270" s="23" t="n">
        <x:v>59500</x:v>
      </x:c>
      <x:c r="I270" s="18" t="str">
        <x:v>Debt consolidation loan</x:v>
      </x:c>
      <x:c r="J270" s="18" t="str">
        <x:v>New customer</x:v>
      </x:c>
      <x:c r="K270" s="20" t="n">
        <x:v>45914.5</x:v>
      </x:c>
    </x:row>
    <x:row r="271" ht="15" hidden="0" customHeight="1">
      <x:c r="A271" s="18" t="str">
        <x:v>LN000270</x:v>
      </x:c>
      <x:c r="B271" s="18" t="str">
        <x:v>LOS-SYN-0000270</x:v>
      </x:c>
      <x:c r="C271" s="18" t="str">
        <x:v>EMP003</x:v>
      </x:c>
      <x:c r="D271" s="18" t="str">
        <x:v>CY2025Q3</x:v>
      </x:c>
      <x:c r="E271" s="18" t="str">
        <x:v>BR001</x:v>
      </x:c>
      <x:c r="F271" s="20" t="n">
        <x:v>45923.5</x:v>
      </x:c>
      <x:c r="G271" s="18" t="str">
        <x:v>Funded</x:v>
      </x:c>
      <x:c r="H271" s="23" t="n">
        <x:v>54500</x:v>
      </x:c>
      <x:c r="I271" s="18" t="str">
        <x:v>Personal loan</x:v>
      </x:c>
      <x:c r="J271" s="18" t="str">
        <x:v>New customer</x:v>
      </x:c>
      <x:c r="K271" s="20" t="n">
        <x:v>45932.5</x:v>
      </x:c>
    </x:row>
    <x:row r="272" ht="15" hidden="0" customHeight="1">
      <x:c r="A272" s="18" t="str">
        <x:v>LN000271</x:v>
      </x:c>
      <x:c r="B272" s="18" t="str">
        <x:v>LOS-SYN-0000271</x:v>
      </x:c>
      <x:c r="C272" s="18" t="str">
        <x:v>EMP003</x:v>
      </x:c>
      <x:c r="D272" s="18" t="str">
        <x:v>CY2025Q3</x:v>
      </x:c>
      <x:c r="E272" s="18" t="str">
        <x:v>BR001</x:v>
      </x:c>
      <x:c r="F272" s="20" t="n">
        <x:v>45871.5</x:v>
      </x:c>
      <x:c r="G272" s="18" t="str">
        <x:v>Funded</x:v>
      </x:c>
      <x:c r="H272" s="23" t="n">
        <x:v>36000</x:v>
      </x:c>
      <x:c r="I272" s="18" t="str">
        <x:v>Auto loan</x:v>
      </x:c>
      <x:c r="J272" s="18" t="str">
        <x:v>Existing customer</x:v>
      </x:c>
      <x:c r="K272" s="20" t="n">
        <x:v>45876.5</x:v>
      </x:c>
    </x:row>
    <x:row r="273" ht="15" hidden="0" customHeight="1">
      <x:c r="A273" s="18" t="str">
        <x:v>LN000272</x:v>
      </x:c>
      <x:c r="B273" s="18" t="str">
        <x:v>LOS-SYN-0000272</x:v>
      </x:c>
      <x:c r="C273" s="18" t="str">
        <x:v>EMP003</x:v>
      </x:c>
      <x:c r="D273" s="18" t="str">
        <x:v>CY2025Q3</x:v>
      </x:c>
      <x:c r="E273" s="18" t="str">
        <x:v>BR001</x:v>
      </x:c>
      <x:c r="F273" s="20" t="n">
        <x:v>45852.5</x:v>
      </x:c>
      <x:c r="G273" s="18" t="str">
        <x:v>Funded</x:v>
      </x:c>
      <x:c r="H273" s="23" t="n">
        <x:v>55000</x:v>
      </x:c>
      <x:c r="I273" s="18" t="str">
        <x:v>Debt consolidation loan</x:v>
      </x:c>
      <x:c r="J273" s="18" t="str">
        <x:v>Existing customer</x:v>
      </x:c>
      <x:c r="K273" s="20" t="n">
        <x:v>45862.5</x:v>
      </x:c>
    </x:row>
    <x:row r="274" ht="15" hidden="0" customHeight="1">
      <x:c r="A274" s="18" t="str">
        <x:v>LN000273</x:v>
      </x:c>
      <x:c r="B274" s="18" t="str">
        <x:v>LOS-SYN-0000273</x:v>
      </x:c>
      <x:c r="C274" s="18" t="str">
        <x:v>EMP003</x:v>
      </x:c>
      <x:c r="D274" s="18" t="str">
        <x:v>CY2025Q3</x:v>
      </x:c>
      <x:c r="E274" s="18" t="str">
        <x:v>BR001</x:v>
      </x:c>
      <x:c r="F274" s="20" t="n">
        <x:v>45879.5</x:v>
      </x:c>
      <x:c r="G274" s="18" t="str">
        <x:v>Funded</x:v>
      </x:c>
      <x:c r="H274" s="23" t="n">
        <x:v>34500</x:v>
      </x:c>
      <x:c r="I274" s="18" t="str">
        <x:v>Auto loan</x:v>
      </x:c>
      <x:c r="J274" s="18" t="str">
        <x:v>New customer</x:v>
      </x:c>
      <x:c r="K274" s="20" t="n">
        <x:v>45882.5</x:v>
      </x:c>
    </x:row>
    <x:row r="275" ht="15" hidden="0" customHeight="1">
      <x:c r="A275" s="18" t="str">
        <x:v>LN000274</x:v>
      </x:c>
      <x:c r="B275" s="18" t="str">
        <x:v>LOS-SYN-0000274</x:v>
      </x:c>
      <x:c r="C275" s="18" t="str">
        <x:v>EMP003</x:v>
      </x:c>
      <x:c r="D275" s="18" t="str">
        <x:v>CY2025Q3</x:v>
      </x:c>
      <x:c r="E275" s="18" t="str">
        <x:v>BR001</x:v>
      </x:c>
      <x:c r="F275" s="20" t="n">
        <x:v>45910.5</x:v>
      </x:c>
      <x:c r="G275" s="18" t="str">
        <x:v>Funded</x:v>
      </x:c>
      <x:c r="H275" s="23" t="n">
        <x:v>55000</x:v>
      </x:c>
      <x:c r="I275" s="18" t="str">
        <x:v>Auto loan</x:v>
      </x:c>
      <x:c r="J275" s="18" t="str">
        <x:v>Existing customer</x:v>
      </x:c>
      <x:c r="K275" s="20" t="n">
        <x:v>45913.5</x:v>
      </x:c>
    </x:row>
    <x:row r="276" ht="15" hidden="0" customHeight="1">
      <x:c r="A276" s="18" t="str">
        <x:v>LN000275</x:v>
      </x:c>
      <x:c r="B276" s="18" t="str">
        <x:v>LOS-SYN-0000275</x:v>
      </x:c>
      <x:c r="C276" s="18" t="str">
        <x:v>EMP004</x:v>
      </x:c>
      <x:c r="D276" s="18" t="str">
        <x:v>CY2025Q3</x:v>
      </x:c>
      <x:c r="E276" s="18" t="str">
        <x:v>BR002</x:v>
      </x:c>
      <x:c r="F276" s="20" t="n">
        <x:v>45915.5</x:v>
      </x:c>
      <x:c r="G276" s="18" t="str">
        <x:v>Funded</x:v>
      </x:c>
      <x:c r="H276" s="23" t="n">
        <x:v>31500</x:v>
      </x:c>
      <x:c r="I276" s="18" t="str">
        <x:v>Home improvement loan</x:v>
      </x:c>
      <x:c r="J276" s="18" t="str">
        <x:v>Referral</x:v>
      </x:c>
      <x:c r="K276" s="20" t="n">
        <x:v>45921.5</x:v>
      </x:c>
    </x:row>
    <x:row r="277" ht="15" hidden="0" customHeight="1">
      <x:c r="A277" s="18" t="str">
        <x:v>LN000276</x:v>
      </x:c>
      <x:c r="B277" s="18" t="str">
        <x:v>LOS-SYN-0000276</x:v>
      </x:c>
      <x:c r="C277" s="18" t="str">
        <x:v>EMP004</x:v>
      </x:c>
      <x:c r="D277" s="18" t="str">
        <x:v>CY2025Q3</x:v>
      </x:c>
      <x:c r="E277" s="18" t="str">
        <x:v>BR002</x:v>
      </x:c>
      <x:c r="F277" s="20" t="n">
        <x:v>45869.5</x:v>
      </x:c>
      <x:c r="G277" s="18" t="str">
        <x:v>Funded</x:v>
      </x:c>
      <x:c r="H277" s="23" t="n">
        <x:v>41500</x:v>
      </x:c>
      <x:c r="I277" s="18" t="str">
        <x:v>Personal loan</x:v>
      </x:c>
      <x:c r="J277" s="18" t="str">
        <x:v>Existing customer</x:v>
      </x:c>
      <x:c r="K277" s="20" t="n">
        <x:v>45874.5</x:v>
      </x:c>
    </x:row>
    <x:row r="278" ht="15" hidden="0" customHeight="1">
      <x:c r="A278" s="18" t="str">
        <x:v>LN000277</x:v>
      </x:c>
      <x:c r="B278" s="18" t="str">
        <x:v>LOS-SYN-0000277</x:v>
      </x:c>
      <x:c r="C278" s="18" t="str">
        <x:v>EMP004</x:v>
      </x:c>
      <x:c r="D278" s="18" t="str">
        <x:v>CY2025Q3</x:v>
      </x:c>
      <x:c r="E278" s="18" t="str">
        <x:v>BR002</x:v>
      </x:c>
      <x:c r="F278" s="20" t="n">
        <x:v>45898.5</x:v>
      </x:c>
      <x:c r="G278" s="18" t="str">
        <x:v>Funded</x:v>
      </x:c>
      <x:c r="H278" s="23" t="n">
        <x:v>44500</x:v>
      </x:c>
      <x:c r="I278" s="18" t="str">
        <x:v>Personal loan</x:v>
      </x:c>
      <x:c r="J278" s="18" t="str">
        <x:v>Referral</x:v>
      </x:c>
      <x:c r="K278" s="20" t="n">
        <x:v>45907.5</x:v>
      </x:c>
    </x:row>
    <x:row r="279" ht="15" hidden="0" customHeight="1">
      <x:c r="A279" s="18" t="str">
        <x:v>LN000278</x:v>
      </x:c>
      <x:c r="B279" s="18" t="str">
        <x:v>LOS-SYN-0000278</x:v>
      </x:c>
      <x:c r="C279" s="18" t="str">
        <x:v>EMP004</x:v>
      </x:c>
      <x:c r="D279" s="18" t="str">
        <x:v>CY2025Q3</x:v>
      </x:c>
      <x:c r="E279" s="18" t="str">
        <x:v>BR002</x:v>
      </x:c>
      <x:c r="F279" s="20" t="n">
        <x:v>45886.5</x:v>
      </x:c>
      <x:c r="G279" s="18" t="str">
        <x:v>Funded</x:v>
      </x:c>
      <x:c r="H279" s="23" t="n">
        <x:v>37500</x:v>
      </x:c>
      <x:c r="I279" s="18" t="str">
        <x:v>Auto loan</x:v>
      </x:c>
      <x:c r="J279" s="18" t="str">
        <x:v>New customer</x:v>
      </x:c>
      <x:c r="K279" s="20" t="n">
        <x:v>45897.5</x:v>
      </x:c>
    </x:row>
    <x:row r="280" ht="15" hidden="0" customHeight="1">
      <x:c r="A280" s="18" t="str">
        <x:v>LN000279</x:v>
      </x:c>
      <x:c r="B280" s="18" t="str">
        <x:v>LOS-SYN-0000279</x:v>
      </x:c>
      <x:c r="C280" s="18" t="str">
        <x:v>EMP004</x:v>
      </x:c>
      <x:c r="D280" s="18" t="str">
        <x:v>CY2025Q3</x:v>
      </x:c>
      <x:c r="E280" s="18" t="str">
        <x:v>BR002</x:v>
      </x:c>
      <x:c r="F280" s="20" t="n">
        <x:v>45855.5</x:v>
      </x:c>
      <x:c r="G280" s="18" t="str">
        <x:v>Funded</x:v>
      </x:c>
      <x:c r="H280" s="23" t="n">
        <x:v>49000</x:v>
      </x:c>
      <x:c r="I280" s="18" t="str">
        <x:v>Debt consolidation loan</x:v>
      </x:c>
      <x:c r="J280" s="18" t="str">
        <x:v>Existing customer</x:v>
      </x:c>
      <x:c r="K280" s="20" t="n">
        <x:v>45858.5</x:v>
      </x:c>
    </x:row>
    <x:row r="281" ht="15" hidden="0" customHeight="1">
      <x:c r="A281" s="18" t="str">
        <x:v>LN000280</x:v>
      </x:c>
      <x:c r="B281" s="18" t="str">
        <x:v>LOS-SYN-0000280</x:v>
      </x:c>
      <x:c r="C281" s="18" t="str">
        <x:v>EMP004</x:v>
      </x:c>
      <x:c r="D281" s="18" t="str">
        <x:v>CY2025Q3</x:v>
      </x:c>
      <x:c r="E281" s="18" t="str">
        <x:v>BR002</x:v>
      </x:c>
      <x:c r="F281" s="20" t="n">
        <x:v>45866.5</x:v>
      </x:c>
      <x:c r="G281" s="18" t="str">
        <x:v>Funded</x:v>
      </x:c>
      <x:c r="H281" s="23" t="n">
        <x:v>38500</x:v>
      </x:c>
      <x:c r="I281" s="18" t="str">
        <x:v>Home improvement loan</x:v>
      </x:c>
      <x:c r="J281" s="18" t="str">
        <x:v>Referral</x:v>
      </x:c>
      <x:c r="K281" s="20" t="n">
        <x:v>45874.5</x:v>
      </x:c>
    </x:row>
    <x:row r="282" ht="15" hidden="0" customHeight="1">
      <x:c r="A282" s="18" t="str">
        <x:v>LN000281</x:v>
      </x:c>
      <x:c r="B282" s="18" t="str">
        <x:v>LOS-SYN-0000281</x:v>
      </x:c>
      <x:c r="C282" s="18" t="str">
        <x:v>EMP004</x:v>
      </x:c>
      <x:c r="D282" s="18" t="str">
        <x:v>CY2025Q3</x:v>
      </x:c>
      <x:c r="E282" s="18" t="str">
        <x:v>BR002</x:v>
      </x:c>
      <x:c r="F282" s="20" t="n">
        <x:v>45842.5</x:v>
      </x:c>
      <x:c r="G282" s="18" t="str">
        <x:v>Funded</x:v>
      </x:c>
      <x:c r="H282" s="23" t="n">
        <x:v>44500</x:v>
      </x:c>
      <x:c r="I282" s="18" t="str">
        <x:v>Home improvement loan</x:v>
      </x:c>
      <x:c r="J282" s="18" t="str">
        <x:v>Existing customer</x:v>
      </x:c>
      <x:c r="K282" s="20" t="n">
        <x:v>45850.5</x:v>
      </x:c>
    </x:row>
    <x:row r="283" ht="15" hidden="0" customHeight="1">
      <x:c r="A283" s="18" t="str">
        <x:v>LN000282</x:v>
      </x:c>
      <x:c r="B283" s="18" t="str">
        <x:v>LOS-SYN-0000282</x:v>
      </x:c>
      <x:c r="C283" s="18" t="str">
        <x:v>EMP004</x:v>
      </x:c>
      <x:c r="D283" s="18" t="str">
        <x:v>CY2025Q3</x:v>
      </x:c>
      <x:c r="E283" s="18" t="str">
        <x:v>BR002</x:v>
      </x:c>
      <x:c r="F283" s="20" t="n">
        <x:v>45863.5</x:v>
      </x:c>
      <x:c r="G283" s="18" t="str">
        <x:v>Funded</x:v>
      </x:c>
      <x:c r="H283" s="23" t="n">
        <x:v>28000</x:v>
      </x:c>
      <x:c r="I283" s="18" t="str">
        <x:v>Home improvement loan</x:v>
      </x:c>
      <x:c r="J283" s="18" t="str">
        <x:v>Referral</x:v>
      </x:c>
      <x:c r="K283" s="20" t="n">
        <x:v>45874.5</x:v>
      </x:c>
    </x:row>
    <x:row r="284" ht="15" hidden="0" customHeight="1">
      <x:c r="A284" s="18" t="str">
        <x:v>LN000283</x:v>
      </x:c>
      <x:c r="B284" s="18" t="str">
        <x:v>LOS-SYN-0000283</x:v>
      </x:c>
      <x:c r="C284" s="18" t="str">
        <x:v>EMP005</x:v>
      </x:c>
      <x:c r="D284" s="18" t="str">
        <x:v>CY2025Q3</x:v>
      </x:c>
      <x:c r="E284" s="18" t="str">
        <x:v>BR002</x:v>
      </x:c>
      <x:c r="F284" s="20" t="n">
        <x:v>45844.5</x:v>
      </x:c>
      <x:c r="G284" s="18" t="str">
        <x:v>Funded</x:v>
      </x:c>
      <x:c r="H284" s="23" t="n">
        <x:v>44500</x:v>
      </x:c>
      <x:c r="I284" s="18" t="str">
        <x:v>Personal loan</x:v>
      </x:c>
      <x:c r="J284" s="18" t="str">
        <x:v>New customer</x:v>
      </x:c>
      <x:c r="K284" s="20" t="n">
        <x:v>45853.5</x:v>
      </x:c>
    </x:row>
    <x:row r="285" ht="15" hidden="0" customHeight="1">
      <x:c r="A285" s="18" t="str">
        <x:v>LN000284</x:v>
      </x:c>
      <x:c r="B285" s="18" t="str">
        <x:v>LOS-SYN-0000284</x:v>
      </x:c>
      <x:c r="C285" s="18" t="str">
        <x:v>EMP005</x:v>
      </x:c>
      <x:c r="D285" s="18" t="str">
        <x:v>CY2025Q3</x:v>
      </x:c>
      <x:c r="E285" s="18" t="str">
        <x:v>BR002</x:v>
      </x:c>
      <x:c r="F285" s="20" t="n">
        <x:v>45894.5</x:v>
      </x:c>
      <x:c r="G285" s="18" t="str">
        <x:v>Funded</x:v>
      </x:c>
      <x:c r="H285" s="23" t="n">
        <x:v>38500</x:v>
      </x:c>
      <x:c r="I285" s="18" t="str">
        <x:v>Auto loan</x:v>
      </x:c>
      <x:c r="J285" s="18" t="str">
        <x:v>Existing customer</x:v>
      </x:c>
      <x:c r="K285" s="20" t="n">
        <x:v>45906.5</x:v>
      </x:c>
    </x:row>
    <x:row r="286" ht="15" hidden="0" customHeight="1">
      <x:c r="A286" s="18" t="str">
        <x:v>LN000285</x:v>
      </x:c>
      <x:c r="B286" s="18" t="str">
        <x:v>LOS-SYN-0000285</x:v>
      </x:c>
      <x:c r="C286" s="18" t="str">
        <x:v>EMP005</x:v>
      </x:c>
      <x:c r="D286" s="18" t="str">
        <x:v>CY2025Q3</x:v>
      </x:c>
      <x:c r="E286" s="18" t="str">
        <x:v>BR002</x:v>
      </x:c>
      <x:c r="F286" s="20" t="n">
        <x:v>45919.5</x:v>
      </x:c>
      <x:c r="G286" s="18" t="str">
        <x:v>Funded</x:v>
      </x:c>
      <x:c r="H286" s="23" t="n">
        <x:v>47500</x:v>
      </x:c>
      <x:c r="I286" s="18" t="str">
        <x:v>Auto loan</x:v>
      </x:c>
      <x:c r="J286" s="18" t="str">
        <x:v>Referral</x:v>
      </x:c>
      <x:c r="K286" s="20" t="n">
        <x:v>45924.5</x:v>
      </x:c>
    </x:row>
    <x:row r="287" ht="15" hidden="0" customHeight="1">
      <x:c r="A287" s="18" t="str">
        <x:v>LN000286</x:v>
      </x:c>
      <x:c r="B287" s="18" t="str">
        <x:v>LOS-SYN-0000286</x:v>
      </x:c>
      <x:c r="C287" s="18" t="str">
        <x:v>EMP005</x:v>
      </x:c>
      <x:c r="D287" s="18" t="str">
        <x:v>CY2025Q3</x:v>
      </x:c>
      <x:c r="E287" s="18" t="str">
        <x:v>BR002</x:v>
      </x:c>
      <x:c r="F287" s="20" t="n">
        <x:v>45862.5</x:v>
      </x:c>
      <x:c r="G287" s="18" t="str">
        <x:v>Funded</x:v>
      </x:c>
      <x:c r="H287" s="23" t="n">
        <x:v>36500</x:v>
      </x:c>
      <x:c r="I287" s="18" t="str">
        <x:v>Home improvement loan</x:v>
      </x:c>
      <x:c r="J287" s="18" t="str">
        <x:v>Referral</x:v>
      </x:c>
      <x:c r="K287" s="20" t="n">
        <x:v>45868.5</x:v>
      </x:c>
    </x:row>
    <x:row r="288" ht="15" hidden="0" customHeight="1">
      <x:c r="A288" s="18" t="str">
        <x:v>LN000287</x:v>
      </x:c>
      <x:c r="B288" s="18" t="str">
        <x:v>LOS-SYN-0000287</x:v>
      </x:c>
      <x:c r="C288" s="18" t="str">
        <x:v>EMP005</x:v>
      </x:c>
      <x:c r="D288" s="18" t="str">
        <x:v>CY2025Q3</x:v>
      </x:c>
      <x:c r="E288" s="18" t="str">
        <x:v>BR002</x:v>
      </x:c>
      <x:c r="F288" s="20" t="n">
        <x:v>45859.5</x:v>
      </x:c>
      <x:c r="G288" s="18" t="str">
        <x:v>Funded</x:v>
      </x:c>
      <x:c r="H288" s="23" t="n">
        <x:v>39000</x:v>
      </x:c>
      <x:c r="I288" s="18" t="str">
        <x:v>Auto loan</x:v>
      </x:c>
      <x:c r="J288" s="18" t="str">
        <x:v>New customer</x:v>
      </x:c>
      <x:c r="K288" s="20" t="n">
        <x:v>45864.5</x:v>
      </x:c>
    </x:row>
    <x:row r="289" ht="15" hidden="0" customHeight="1">
      <x:c r="A289" s="18" t="str">
        <x:v>LN000288</x:v>
      </x:c>
      <x:c r="B289" s="18" t="str">
        <x:v>LOS-SYN-0000288</x:v>
      </x:c>
      <x:c r="C289" s="18" t="str">
        <x:v>EMP005</x:v>
      </x:c>
      <x:c r="D289" s="18" t="str">
        <x:v>CY2025Q3</x:v>
      </x:c>
      <x:c r="E289" s="18" t="str">
        <x:v>BR002</x:v>
      </x:c>
      <x:c r="F289" s="20" t="n">
        <x:v>45894.5</x:v>
      </x:c>
      <x:c r="G289" s="18" t="str">
        <x:v>Funded</x:v>
      </x:c>
      <x:c r="H289" s="23" t="n">
        <x:v>29500</x:v>
      </x:c>
      <x:c r="I289" s="18" t="str">
        <x:v>Personal loan</x:v>
      </x:c>
      <x:c r="J289" s="18" t="str">
        <x:v>New customer</x:v>
      </x:c>
      <x:c r="K289" s="20" t="n">
        <x:v>45905.5</x:v>
      </x:c>
    </x:row>
    <x:row r="290" ht="15" hidden="0" customHeight="1">
      <x:c r="A290" s="18" t="str">
        <x:v>LN000289</x:v>
      </x:c>
      <x:c r="B290" s="18" t="str">
        <x:v>LOS-SYN-0000289</x:v>
      </x:c>
      <x:c r="C290" s="18" t="str">
        <x:v>EMP005</x:v>
      </x:c>
      <x:c r="D290" s="18" t="str">
        <x:v>CY2025Q3</x:v>
      </x:c>
      <x:c r="E290" s="18" t="str">
        <x:v>BR002</x:v>
      </x:c>
      <x:c r="F290" s="20" t="n">
        <x:v>45844.5</x:v>
      </x:c>
      <x:c r="G290" s="18" t="str">
        <x:v>Funded</x:v>
      </x:c>
      <x:c r="H290" s="23" t="n">
        <x:v>42500</x:v>
      </x:c>
      <x:c r="I290" s="18" t="str">
        <x:v>Home improvement loan</x:v>
      </x:c>
      <x:c r="J290" s="18" t="str">
        <x:v>Existing customer</x:v>
      </x:c>
      <x:c r="K290" s="20" t="n">
        <x:v>45849.5</x:v>
      </x:c>
    </x:row>
    <x:row r="291" ht="15" hidden="0" customHeight="1">
      <x:c r="A291" s="18" t="str">
        <x:v>LN000290</x:v>
      </x:c>
      <x:c r="B291" s="18" t="str">
        <x:v>LOS-SYN-0000290</x:v>
      </x:c>
      <x:c r="C291" s="18" t="str">
        <x:v>EMP005</x:v>
      </x:c>
      <x:c r="D291" s="18" t="str">
        <x:v>CY2025Q3</x:v>
      </x:c>
      <x:c r="E291" s="18" t="str">
        <x:v>BR002</x:v>
      </x:c>
      <x:c r="F291" s="20" t="n">
        <x:v>45843.5</x:v>
      </x:c>
      <x:c r="G291" s="18" t="str">
        <x:v>Funded</x:v>
      </x:c>
      <x:c r="H291" s="23" t="n">
        <x:v>33500</x:v>
      </x:c>
      <x:c r="I291" s="18" t="str">
        <x:v>Personal loan</x:v>
      </x:c>
      <x:c r="J291" s="18" t="str">
        <x:v>New customer</x:v>
      </x:c>
      <x:c r="K291" s="20" t="n">
        <x:v>45852.5</x:v>
      </x:c>
    </x:row>
    <x:row r="292" ht="15" hidden="0" customHeight="1">
      <x:c r="A292" s="18" t="str">
        <x:v>LN000291</x:v>
      </x:c>
      <x:c r="B292" s="18" t="str">
        <x:v>LOS-SYN-0000291</x:v>
      </x:c>
      <x:c r="C292" s="18" t="str">
        <x:v>EMP005</x:v>
      </x:c>
      <x:c r="D292" s="18" t="str">
        <x:v>CY2025Q3</x:v>
      </x:c>
      <x:c r="E292" s="18" t="str">
        <x:v>BR002</x:v>
      </x:c>
      <x:c r="F292" s="20" t="n">
        <x:v>45877.5</x:v>
      </x:c>
      <x:c r="G292" s="18" t="str">
        <x:v>Funded</x:v>
      </x:c>
      <x:c r="H292" s="23" t="n">
        <x:v>47500</x:v>
      </x:c>
      <x:c r="I292" s="18" t="str">
        <x:v>Auto loan</x:v>
      </x:c>
      <x:c r="J292" s="18" t="str">
        <x:v>Existing customer</x:v>
      </x:c>
      <x:c r="K292" s="20" t="n">
        <x:v>45887.5</x:v>
      </x:c>
    </x:row>
    <x:row r="293" ht="15" hidden="0" customHeight="1">
      <x:c r="A293" s="18" t="str">
        <x:v>LN000292</x:v>
      </x:c>
      <x:c r="B293" s="18" t="str">
        <x:v>LOS-SYN-0000292</x:v>
      </x:c>
      <x:c r="C293" s="18" t="str">
        <x:v>EMP005</x:v>
      </x:c>
      <x:c r="D293" s="18" t="str">
        <x:v>CY2025Q3</x:v>
      </x:c>
      <x:c r="E293" s="18" t="str">
        <x:v>BR002</x:v>
      </x:c>
      <x:c r="F293" s="20" t="n">
        <x:v>45879.5</x:v>
      </x:c>
      <x:c r="G293" s="18" t="str">
        <x:v>Funded</x:v>
      </x:c>
      <x:c r="H293" s="23" t="n">
        <x:v>29000</x:v>
      </x:c>
      <x:c r="I293" s="18" t="str">
        <x:v>Personal loan</x:v>
      </x:c>
      <x:c r="J293" s="18" t="str">
        <x:v>New customer</x:v>
      </x:c>
      <x:c r="K293" s="20" t="n">
        <x:v>45884.5</x:v>
      </x:c>
    </x:row>
    <x:row r="294" ht="15" hidden="0" customHeight="1">
      <x:c r="A294" s="18" t="str">
        <x:v>LN000293</x:v>
      </x:c>
      <x:c r="B294" s="18" t="str">
        <x:v>LOS-SYN-0000293</x:v>
      </x:c>
      <x:c r="C294" s="18" t="str">
        <x:v>EMP005</x:v>
      </x:c>
      <x:c r="D294" s="18" t="str">
        <x:v>CY2025Q3</x:v>
      </x:c>
      <x:c r="E294" s="18" t="str">
        <x:v>BR002</x:v>
      </x:c>
      <x:c r="F294" s="20" t="n">
        <x:v>45879.5</x:v>
      </x:c>
      <x:c r="G294" s="18" t="str">
        <x:v>Cancelled</x:v>
      </x:c>
      <x:c r="H294" s="23" t="n">
        <x:v>63000</x:v>
      </x:c>
      <x:c r="I294" s="18" t="str">
        <x:v>Personal loan</x:v>
      </x:c>
      <x:c r="J294" s="18" t="str">
        <x:v>New customer</x:v>
      </x:c>
      <x:c r="K294" s="20"/>
    </x:row>
    <x:row r="295" ht="15" hidden="0" customHeight="1">
      <x:c r="A295" s="18" t="str">
        <x:v>LN000294</x:v>
      </x:c>
      <x:c r="B295" s="18" t="str">
        <x:v>LOS-SYN-0000294</x:v>
      </x:c>
      <x:c r="C295" s="18" t="str">
        <x:v>EMP006</x:v>
      </x:c>
      <x:c r="D295" s="18" t="str">
        <x:v>CY2025Q3</x:v>
      </x:c>
      <x:c r="E295" s="18" t="str">
        <x:v>BR002</x:v>
      </x:c>
      <x:c r="F295" s="20" t="n">
        <x:v>45879.5</x:v>
      </x:c>
      <x:c r="G295" s="18" t="str">
        <x:v>Funded</x:v>
      </x:c>
      <x:c r="H295" s="23" t="n">
        <x:v>42500</x:v>
      </x:c>
      <x:c r="I295" s="18" t="str">
        <x:v>Auto loan</x:v>
      </x:c>
      <x:c r="J295" s="18" t="str">
        <x:v>New customer</x:v>
      </x:c>
      <x:c r="K295" s="20" t="n">
        <x:v>45891.5</x:v>
      </x:c>
    </x:row>
    <x:row r="296" ht="15" hidden="0" customHeight="1">
      <x:c r="A296" s="18" t="str">
        <x:v>LN000295</x:v>
      </x:c>
      <x:c r="B296" s="18" t="str">
        <x:v>LOS-SYN-0000295</x:v>
      </x:c>
      <x:c r="C296" s="18" t="str">
        <x:v>EMP006</x:v>
      </x:c>
      <x:c r="D296" s="18" t="str">
        <x:v>CY2025Q3</x:v>
      </x:c>
      <x:c r="E296" s="18" t="str">
        <x:v>BR002</x:v>
      </x:c>
      <x:c r="F296" s="20" t="n">
        <x:v>45919.5</x:v>
      </x:c>
      <x:c r="G296" s="18" t="str">
        <x:v>Funded</x:v>
      </x:c>
      <x:c r="H296" s="23" t="n">
        <x:v>32500</x:v>
      </x:c>
      <x:c r="I296" s="18" t="str">
        <x:v>Personal loan</x:v>
      </x:c>
      <x:c r="J296" s="18" t="str">
        <x:v>Referral</x:v>
      </x:c>
      <x:c r="K296" s="20" t="n">
        <x:v>45922.5</x:v>
      </x:c>
    </x:row>
    <x:row r="297" ht="15" hidden="0" customHeight="1">
      <x:c r="A297" s="18" t="str">
        <x:v>LN000296</x:v>
      </x:c>
      <x:c r="B297" s="18" t="str">
        <x:v>LOS-SYN-0000296</x:v>
      </x:c>
      <x:c r="C297" s="18" t="str">
        <x:v>EMP006</x:v>
      </x:c>
      <x:c r="D297" s="18" t="str">
        <x:v>CY2025Q3</x:v>
      </x:c>
      <x:c r="E297" s="18" t="str">
        <x:v>BR002</x:v>
      </x:c>
      <x:c r="F297" s="20" t="n">
        <x:v>45915.5</x:v>
      </x:c>
      <x:c r="G297" s="18" t="str">
        <x:v>Funded</x:v>
      </x:c>
      <x:c r="H297" s="23" t="n">
        <x:v>37000</x:v>
      </x:c>
      <x:c r="I297" s="18" t="str">
        <x:v>Home improvement loan</x:v>
      </x:c>
      <x:c r="J297" s="18" t="str">
        <x:v>Referral</x:v>
      </x:c>
      <x:c r="K297" s="20" t="n">
        <x:v>45923.5</x:v>
      </x:c>
    </x:row>
    <x:row r="298" ht="15" hidden="0" customHeight="1">
      <x:c r="A298" s="18" t="str">
        <x:v>LN000297</x:v>
      </x:c>
      <x:c r="B298" s="18" t="str">
        <x:v>LOS-SYN-0000297</x:v>
      </x:c>
      <x:c r="C298" s="18" t="str">
        <x:v>EMP006</x:v>
      </x:c>
      <x:c r="D298" s="18" t="str">
        <x:v>CY2025Q3</x:v>
      </x:c>
      <x:c r="E298" s="18" t="str">
        <x:v>BR002</x:v>
      </x:c>
      <x:c r="F298" s="20" t="n">
        <x:v>45914.5</x:v>
      </x:c>
      <x:c r="G298" s="18" t="str">
        <x:v>Funded</x:v>
      </x:c>
      <x:c r="H298" s="23" t="n">
        <x:v>38500</x:v>
      </x:c>
      <x:c r="I298" s="18" t="str">
        <x:v>Debt consolidation loan</x:v>
      </x:c>
      <x:c r="J298" s="18" t="str">
        <x:v>Existing customer</x:v>
      </x:c>
      <x:c r="K298" s="20" t="n">
        <x:v>45920.5</x:v>
      </x:c>
    </x:row>
    <x:row r="299" ht="15" hidden="0" customHeight="1">
      <x:c r="A299" s="18" t="str">
        <x:v>LN000298</x:v>
      </x:c>
      <x:c r="B299" s="18" t="str">
        <x:v>LOS-SYN-0000298</x:v>
      </x:c>
      <x:c r="C299" s="18" t="str">
        <x:v>EMP006</x:v>
      </x:c>
      <x:c r="D299" s="18" t="str">
        <x:v>CY2025Q3</x:v>
      </x:c>
      <x:c r="E299" s="18" t="str">
        <x:v>BR002</x:v>
      </x:c>
      <x:c r="F299" s="20" t="n">
        <x:v>45920.5</x:v>
      </x:c>
      <x:c r="G299" s="18" t="str">
        <x:v>Funded</x:v>
      </x:c>
      <x:c r="H299" s="23" t="n">
        <x:v>37500</x:v>
      </x:c>
      <x:c r="I299" s="18" t="str">
        <x:v>Debt consolidation loan</x:v>
      </x:c>
      <x:c r="J299" s="18" t="str">
        <x:v>Referral</x:v>
      </x:c>
      <x:c r="K299" s="20" t="n">
        <x:v>45929.5</x:v>
      </x:c>
    </x:row>
    <x:row r="300" ht="15" hidden="0" customHeight="1">
      <x:c r="A300" s="18" t="str">
        <x:v>LN000299</x:v>
      </x:c>
      <x:c r="B300" s="18" t="str">
        <x:v>LOS-SYN-0000299</x:v>
      </x:c>
      <x:c r="C300" s="18" t="str">
        <x:v>EMP006</x:v>
      </x:c>
      <x:c r="D300" s="18" t="str">
        <x:v>CY2025Q3</x:v>
      </x:c>
      <x:c r="E300" s="18" t="str">
        <x:v>BR002</x:v>
      </x:c>
      <x:c r="F300" s="20" t="n">
        <x:v>45903.5</x:v>
      </x:c>
      <x:c r="G300" s="18" t="str">
        <x:v>Funded</x:v>
      </x:c>
      <x:c r="H300" s="23" t="n">
        <x:v>28500</x:v>
      </x:c>
      <x:c r="I300" s="18" t="str">
        <x:v>Auto loan</x:v>
      </x:c>
      <x:c r="J300" s="18" t="str">
        <x:v>New customer</x:v>
      </x:c>
      <x:c r="K300" s="20" t="n">
        <x:v>45913.5</x:v>
      </x:c>
    </x:row>
    <x:row r="301" ht="15" hidden="0" customHeight="1">
      <x:c r="A301" s="18" t="str">
        <x:v>LN000300</x:v>
      </x:c>
      <x:c r="B301" s="18" t="str">
        <x:v>LOS-SYN-0000300</x:v>
      </x:c>
      <x:c r="C301" s="18" t="str">
        <x:v>EMP006</x:v>
      </x:c>
      <x:c r="D301" s="18" t="str">
        <x:v>CY2025Q3</x:v>
      </x:c>
      <x:c r="E301" s="18" t="str">
        <x:v>BR002</x:v>
      </x:c>
      <x:c r="F301" s="20" t="n">
        <x:v>45864.5</x:v>
      </x:c>
      <x:c r="G301" s="18" t="str">
        <x:v>Funded</x:v>
      </x:c>
      <x:c r="H301" s="23" t="n">
        <x:v>44500</x:v>
      </x:c>
      <x:c r="I301" s="18" t="str">
        <x:v>Auto loan</x:v>
      </x:c>
      <x:c r="J301" s="18" t="str">
        <x:v>Existing customer</x:v>
      </x:c>
      <x:c r="K301" s="20" t="n">
        <x:v>45870.5</x:v>
      </x:c>
    </x:row>
    <x:row r="302" ht="15" hidden="0" customHeight="1">
      <x:c r="A302" s="18" t="str">
        <x:v>LN000301</x:v>
      </x:c>
      <x:c r="B302" s="18" t="str">
        <x:v>LOS-SYN-0000301</x:v>
      </x:c>
      <x:c r="C302" s="18" t="str">
        <x:v>EMP007</x:v>
      </x:c>
      <x:c r="D302" s="18" t="str">
        <x:v>CY2025Q3</x:v>
      </x:c>
      <x:c r="E302" s="18" t="str">
        <x:v>BR003</x:v>
      </x:c>
      <x:c r="F302" s="20" t="n">
        <x:v>45846.5</x:v>
      </x:c>
      <x:c r="G302" s="18" t="str">
        <x:v>Funded</x:v>
      </x:c>
      <x:c r="H302" s="23" t="n">
        <x:v>36000</x:v>
      </x:c>
      <x:c r="I302" s="18" t="str">
        <x:v>Personal loan</x:v>
      </x:c>
      <x:c r="J302" s="18" t="str">
        <x:v>Existing customer</x:v>
      </x:c>
      <x:c r="K302" s="20" t="n">
        <x:v>45849.5</x:v>
      </x:c>
    </x:row>
    <x:row r="303" ht="15" hidden="0" customHeight="1">
      <x:c r="A303" s="18" t="str">
        <x:v>LN000302</x:v>
      </x:c>
      <x:c r="B303" s="18" t="str">
        <x:v>LOS-SYN-0000302</x:v>
      </x:c>
      <x:c r="C303" s="18" t="str">
        <x:v>EMP007</x:v>
      </x:c>
      <x:c r="D303" s="18" t="str">
        <x:v>CY2025Q3</x:v>
      </x:c>
      <x:c r="E303" s="18" t="str">
        <x:v>BR003</x:v>
      </x:c>
      <x:c r="F303" s="20" t="n">
        <x:v>45914.5</x:v>
      </x:c>
      <x:c r="G303" s="18" t="str">
        <x:v>Funded</x:v>
      </x:c>
      <x:c r="H303" s="23" t="n">
        <x:v>36000</x:v>
      </x:c>
      <x:c r="I303" s="18" t="str">
        <x:v>Debt consolidation loan</x:v>
      </x:c>
      <x:c r="J303" s="18" t="str">
        <x:v>Existing customer</x:v>
      </x:c>
      <x:c r="K303" s="20" t="n">
        <x:v>45921.5</x:v>
      </x:c>
    </x:row>
    <x:row r="304" ht="15" hidden="0" customHeight="1">
      <x:c r="A304" s="18" t="str">
        <x:v>LN000303</x:v>
      </x:c>
      <x:c r="B304" s="18" t="str">
        <x:v>LOS-SYN-0000303</x:v>
      </x:c>
      <x:c r="C304" s="18" t="str">
        <x:v>EMP007</x:v>
      </x:c>
      <x:c r="D304" s="18" t="str">
        <x:v>CY2025Q3</x:v>
      </x:c>
      <x:c r="E304" s="18" t="str">
        <x:v>BR003</x:v>
      </x:c>
      <x:c r="F304" s="20" t="n">
        <x:v>45846.5</x:v>
      </x:c>
      <x:c r="G304" s="18" t="str">
        <x:v>Funded</x:v>
      </x:c>
      <x:c r="H304" s="23" t="n">
        <x:v>32500</x:v>
      </x:c>
      <x:c r="I304" s="18" t="str">
        <x:v>Home improvement loan</x:v>
      </x:c>
      <x:c r="J304" s="18" t="str">
        <x:v>New customer</x:v>
      </x:c>
      <x:c r="K304" s="20" t="n">
        <x:v>45854.5</x:v>
      </x:c>
    </x:row>
    <x:row r="305" ht="15" hidden="0" customHeight="1">
      <x:c r="A305" s="18" t="str">
        <x:v>LN000304</x:v>
      </x:c>
      <x:c r="B305" s="18" t="str">
        <x:v>LOS-SYN-0000304</x:v>
      </x:c>
      <x:c r="C305" s="18" t="str">
        <x:v>EMP007</x:v>
      </x:c>
      <x:c r="D305" s="18" t="str">
        <x:v>CY2025Q3</x:v>
      </x:c>
      <x:c r="E305" s="18" t="str">
        <x:v>BR003</x:v>
      </x:c>
      <x:c r="F305" s="20" t="n">
        <x:v>45843.5</x:v>
      </x:c>
      <x:c r="G305" s="18" t="str">
        <x:v>Funded</x:v>
      </x:c>
      <x:c r="H305" s="23" t="n">
        <x:v>53000</x:v>
      </x:c>
      <x:c r="I305" s="18" t="str">
        <x:v>Debt consolidation loan</x:v>
      </x:c>
      <x:c r="J305" s="18" t="str">
        <x:v>New customer</x:v>
      </x:c>
      <x:c r="K305" s="20" t="n">
        <x:v>45851.5</x:v>
      </x:c>
    </x:row>
    <x:row r="306" ht="15" hidden="0" customHeight="1">
      <x:c r="A306" s="18" t="str">
        <x:v>LN000305</x:v>
      </x:c>
      <x:c r="B306" s="18" t="str">
        <x:v>LOS-SYN-0000305</x:v>
      </x:c>
      <x:c r="C306" s="18" t="str">
        <x:v>EMP007</x:v>
      </x:c>
      <x:c r="D306" s="18" t="str">
        <x:v>CY2025Q3</x:v>
      </x:c>
      <x:c r="E306" s="18" t="str">
        <x:v>BR003</x:v>
      </x:c>
      <x:c r="F306" s="20" t="n">
        <x:v>45907.5</x:v>
      </x:c>
      <x:c r="G306" s="18" t="str">
        <x:v>Funded</x:v>
      </x:c>
      <x:c r="H306" s="23" t="n">
        <x:v>38000</x:v>
      </x:c>
      <x:c r="I306" s="18" t="str">
        <x:v>Auto loan</x:v>
      </x:c>
      <x:c r="J306" s="18" t="str">
        <x:v>New customer</x:v>
      </x:c>
      <x:c r="K306" s="20" t="n">
        <x:v>45918.5</x:v>
      </x:c>
    </x:row>
    <x:row r="307" ht="15" hidden="0" customHeight="1">
      <x:c r="A307" s="18" t="str">
        <x:v>LN000306</x:v>
      </x:c>
      <x:c r="B307" s="18" t="str">
        <x:v>LOS-SYN-0000306</x:v>
      </x:c>
      <x:c r="C307" s="18" t="str">
        <x:v>EMP007</x:v>
      </x:c>
      <x:c r="D307" s="18" t="str">
        <x:v>CY2025Q3</x:v>
      </x:c>
      <x:c r="E307" s="18" t="str">
        <x:v>BR003</x:v>
      </x:c>
      <x:c r="F307" s="20" t="n">
        <x:v>45919.5</x:v>
      </x:c>
      <x:c r="G307" s="18" t="str">
        <x:v>Funded</x:v>
      </x:c>
      <x:c r="H307" s="23" t="n">
        <x:v>38500</x:v>
      </x:c>
      <x:c r="I307" s="18" t="str">
        <x:v>Auto loan</x:v>
      </x:c>
      <x:c r="J307" s="18" t="str">
        <x:v>Existing customer</x:v>
      </x:c>
      <x:c r="K307" s="20" t="n">
        <x:v>45923.5</x:v>
      </x:c>
    </x:row>
    <x:row r="308" ht="15" hidden="0" customHeight="1">
      <x:c r="A308" s="18" t="str">
        <x:v>LN000307</x:v>
      </x:c>
      <x:c r="B308" s="18" t="str">
        <x:v>LOS-SYN-0000307</x:v>
      </x:c>
      <x:c r="C308" s="18" t="str">
        <x:v>EMP007</x:v>
      </x:c>
      <x:c r="D308" s="18" t="str">
        <x:v>CY2025Q3</x:v>
      </x:c>
      <x:c r="E308" s="18" t="str">
        <x:v>BR003</x:v>
      </x:c>
      <x:c r="F308" s="20" t="n">
        <x:v>45923.5</x:v>
      </x:c>
      <x:c r="G308" s="18" t="str">
        <x:v>Funded</x:v>
      </x:c>
      <x:c r="H308" s="23" t="n">
        <x:v>44000</x:v>
      </x:c>
      <x:c r="I308" s="18" t="str">
        <x:v>Home improvement loan</x:v>
      </x:c>
      <x:c r="J308" s="18" t="str">
        <x:v>Existing customer</x:v>
      </x:c>
      <x:c r="K308" s="20" t="n">
        <x:v>45927.5</x:v>
      </x:c>
    </x:row>
    <x:row r="309" ht="15" hidden="0" customHeight="1">
      <x:c r="A309" s="18" t="str">
        <x:v>LN000308</x:v>
      </x:c>
      <x:c r="B309" s="18" t="str">
        <x:v>LOS-SYN-0000308</x:v>
      </x:c>
      <x:c r="C309" s="18" t="str">
        <x:v>EMP008</x:v>
      </x:c>
      <x:c r="D309" s="18" t="str">
        <x:v>CY2025Q3</x:v>
      </x:c>
      <x:c r="E309" s="18" t="str">
        <x:v>BR003</x:v>
      </x:c>
      <x:c r="F309" s="20" t="n">
        <x:v>45847.5</x:v>
      </x:c>
      <x:c r="G309" s="18" t="str">
        <x:v>Funded</x:v>
      </x:c>
      <x:c r="H309" s="23" t="n">
        <x:v>28500</x:v>
      </x:c>
      <x:c r="I309" s="18" t="str">
        <x:v>Debt consolidation loan</x:v>
      </x:c>
      <x:c r="J309" s="18" t="str">
        <x:v>Referral</x:v>
      </x:c>
      <x:c r="K309" s="20" t="n">
        <x:v>45859.5</x:v>
      </x:c>
    </x:row>
    <x:row r="310" ht="15" hidden="0" customHeight="1">
      <x:c r="A310" s="18" t="str">
        <x:v>LN000309</x:v>
      </x:c>
      <x:c r="B310" s="18" t="str">
        <x:v>LOS-SYN-0000309</x:v>
      </x:c>
      <x:c r="C310" s="18" t="str">
        <x:v>EMP008</x:v>
      </x:c>
      <x:c r="D310" s="18" t="str">
        <x:v>CY2025Q3</x:v>
      </x:c>
      <x:c r="E310" s="18" t="str">
        <x:v>BR003</x:v>
      </x:c>
      <x:c r="F310" s="20" t="n">
        <x:v>45910.5</x:v>
      </x:c>
      <x:c r="G310" s="18" t="str">
        <x:v>Funded</x:v>
      </x:c>
      <x:c r="H310" s="23" t="n">
        <x:v>42500</x:v>
      </x:c>
      <x:c r="I310" s="18" t="str">
        <x:v>Home improvement loan</x:v>
      </x:c>
      <x:c r="J310" s="18" t="str">
        <x:v>Existing customer</x:v>
      </x:c>
      <x:c r="K310" s="20" t="n">
        <x:v>45915.5</x:v>
      </x:c>
    </x:row>
    <x:row r="311" ht="15" hidden="0" customHeight="1">
      <x:c r="A311" s="18" t="str">
        <x:v>LN000310</x:v>
      </x:c>
      <x:c r="B311" s="18" t="str">
        <x:v>LOS-SYN-0000310</x:v>
      </x:c>
      <x:c r="C311" s="18" t="str">
        <x:v>EMP008</x:v>
      </x:c>
      <x:c r="D311" s="18" t="str">
        <x:v>CY2025Q3</x:v>
      </x:c>
      <x:c r="E311" s="18" t="str">
        <x:v>BR003</x:v>
      </x:c>
      <x:c r="F311" s="20" t="n">
        <x:v>45848.5</x:v>
      </x:c>
      <x:c r="G311" s="18" t="str">
        <x:v>Funded</x:v>
      </x:c>
      <x:c r="H311" s="23" t="n">
        <x:v>37500</x:v>
      </x:c>
      <x:c r="I311" s="18" t="str">
        <x:v>Debt consolidation loan</x:v>
      </x:c>
      <x:c r="J311" s="18" t="str">
        <x:v>New customer</x:v>
      </x:c>
      <x:c r="K311" s="20" t="n">
        <x:v>45858.5</x:v>
      </x:c>
    </x:row>
    <x:row r="312" ht="15" hidden="0" customHeight="1">
      <x:c r="A312" s="18" t="str">
        <x:v>LN000311</x:v>
      </x:c>
      <x:c r="B312" s="18" t="str">
        <x:v>LOS-SYN-0000311</x:v>
      </x:c>
      <x:c r="C312" s="18" t="str">
        <x:v>EMP008</x:v>
      </x:c>
      <x:c r="D312" s="18" t="str">
        <x:v>CY2025Q3</x:v>
      </x:c>
      <x:c r="E312" s="18" t="str">
        <x:v>BR003</x:v>
      </x:c>
      <x:c r="F312" s="20" t="n">
        <x:v>45890.5</x:v>
      </x:c>
      <x:c r="G312" s="18" t="str">
        <x:v>Funded</x:v>
      </x:c>
      <x:c r="H312" s="23" t="n">
        <x:v>33500</x:v>
      </x:c>
      <x:c r="I312" s="18" t="str">
        <x:v>Debt consolidation loan</x:v>
      </x:c>
      <x:c r="J312" s="18" t="str">
        <x:v>Existing customer</x:v>
      </x:c>
      <x:c r="K312" s="20" t="n">
        <x:v>45898.5</x:v>
      </x:c>
    </x:row>
    <x:row r="313" ht="15" hidden="0" customHeight="1">
      <x:c r="A313" s="18" t="str">
        <x:v>LN000312</x:v>
      </x:c>
      <x:c r="B313" s="18" t="str">
        <x:v>LOS-SYN-0000312</x:v>
      </x:c>
      <x:c r="C313" s="18" t="str">
        <x:v>EMP008</x:v>
      </x:c>
      <x:c r="D313" s="18" t="str">
        <x:v>CY2025Q3</x:v>
      </x:c>
      <x:c r="E313" s="18" t="str">
        <x:v>BR003</x:v>
      </x:c>
      <x:c r="F313" s="20" t="n">
        <x:v>45915.5</x:v>
      </x:c>
      <x:c r="G313" s="18" t="str">
        <x:v>Funded</x:v>
      </x:c>
      <x:c r="H313" s="23" t="n">
        <x:v>49000</x:v>
      </x:c>
      <x:c r="I313" s="18" t="str">
        <x:v>Debt consolidation loan</x:v>
      </x:c>
      <x:c r="J313" s="18" t="str">
        <x:v>Existing customer</x:v>
      </x:c>
      <x:c r="K313" s="20" t="n">
        <x:v>45926.5</x:v>
      </x:c>
    </x:row>
    <x:row r="314" ht="15" hidden="0" customHeight="1">
      <x:c r="A314" s="18" t="str">
        <x:v>LN000313</x:v>
      </x:c>
      <x:c r="B314" s="18" t="str">
        <x:v>LOS-SYN-0000313</x:v>
      </x:c>
      <x:c r="C314" s="18" t="str">
        <x:v>EMP008</x:v>
      </x:c>
      <x:c r="D314" s="18" t="str">
        <x:v>CY2025Q3</x:v>
      </x:c>
      <x:c r="E314" s="18" t="str">
        <x:v>BR003</x:v>
      </x:c>
      <x:c r="F314" s="20" t="n">
        <x:v>45865.5</x:v>
      </x:c>
      <x:c r="G314" s="18" t="str">
        <x:v>Cancelled</x:v>
      </x:c>
      <x:c r="H314" s="23" t="n">
        <x:v>34000</x:v>
      </x:c>
      <x:c r="I314" s="18" t="str">
        <x:v>Personal loan</x:v>
      </x:c>
      <x:c r="J314" s="18" t="str">
        <x:v>New customer</x:v>
      </x:c>
      <x:c r="K314" s="20"/>
    </x:row>
    <x:row r="315" ht="15" hidden="0" customHeight="1">
      <x:c r="A315" s="18" t="str">
        <x:v>LN000314</x:v>
      </x:c>
      <x:c r="B315" s="18" t="str">
        <x:v>LOS-SYN-0000314</x:v>
      </x:c>
      <x:c r="C315" s="18" t="str">
        <x:v>EMP009</x:v>
      </x:c>
      <x:c r="D315" s="18" t="str">
        <x:v>CY2025Q3</x:v>
      </x:c>
      <x:c r="E315" s="18" t="str">
        <x:v>BR004</x:v>
      </x:c>
      <x:c r="F315" s="20" t="n">
        <x:v>45887.5</x:v>
      </x:c>
      <x:c r="G315" s="18" t="str">
        <x:v>Funded</x:v>
      </x:c>
      <x:c r="H315" s="23" t="n">
        <x:v>43000</x:v>
      </x:c>
      <x:c r="I315" s="18" t="str">
        <x:v>Debt consolidation loan</x:v>
      </x:c>
      <x:c r="J315" s="18" t="str">
        <x:v>New customer</x:v>
      </x:c>
      <x:c r="K315" s="20" t="n">
        <x:v>45896.5</x:v>
      </x:c>
    </x:row>
    <x:row r="316" ht="15" hidden="0" customHeight="1">
      <x:c r="A316" s="18" t="str">
        <x:v>LN000315</x:v>
      </x:c>
      <x:c r="B316" s="18" t="str">
        <x:v>LOS-SYN-0000315</x:v>
      </x:c>
      <x:c r="C316" s="18" t="str">
        <x:v>EMP009</x:v>
      </x:c>
      <x:c r="D316" s="18" t="str">
        <x:v>CY2025Q3</x:v>
      </x:c>
      <x:c r="E316" s="18" t="str">
        <x:v>BR004</x:v>
      </x:c>
      <x:c r="F316" s="20" t="n">
        <x:v>45900.5</x:v>
      </x:c>
      <x:c r="G316" s="18" t="str">
        <x:v>Funded</x:v>
      </x:c>
      <x:c r="H316" s="23" t="n">
        <x:v>37000</x:v>
      </x:c>
      <x:c r="I316" s="18" t="str">
        <x:v>Home improvement loan</x:v>
      </x:c>
      <x:c r="J316" s="18" t="str">
        <x:v>Existing customer</x:v>
      </x:c>
      <x:c r="K316" s="20" t="n">
        <x:v>45904.5</x:v>
      </x:c>
    </x:row>
    <x:row r="317" ht="15" hidden="0" customHeight="1">
      <x:c r="A317" s="18" t="str">
        <x:v>LN000316</x:v>
      </x:c>
      <x:c r="B317" s="18" t="str">
        <x:v>LOS-SYN-0000316</x:v>
      </x:c>
      <x:c r="C317" s="18" t="str">
        <x:v>EMP009</x:v>
      </x:c>
      <x:c r="D317" s="18" t="str">
        <x:v>CY2025Q3</x:v>
      </x:c>
      <x:c r="E317" s="18" t="str">
        <x:v>BR004</x:v>
      </x:c>
      <x:c r="F317" s="20" t="n">
        <x:v>45848.5</x:v>
      </x:c>
      <x:c r="G317" s="18" t="str">
        <x:v>Funded</x:v>
      </x:c>
      <x:c r="H317" s="23" t="n">
        <x:v>38500</x:v>
      </x:c>
      <x:c r="I317" s="18" t="str">
        <x:v>Personal loan</x:v>
      </x:c>
      <x:c r="J317" s="18" t="str">
        <x:v>Referral</x:v>
      </x:c>
      <x:c r="K317" s="20" t="n">
        <x:v>45853.5</x:v>
      </x:c>
    </x:row>
    <x:row r="318" ht="15" hidden="0" customHeight="1">
      <x:c r="A318" s="18" t="str">
        <x:v>LN000317</x:v>
      </x:c>
      <x:c r="B318" s="18" t="str">
        <x:v>LOS-SYN-0000317</x:v>
      </x:c>
      <x:c r="C318" s="18" t="str">
        <x:v>EMP009</x:v>
      </x:c>
      <x:c r="D318" s="18" t="str">
        <x:v>CY2025Q3</x:v>
      </x:c>
      <x:c r="E318" s="18" t="str">
        <x:v>BR004</x:v>
      </x:c>
      <x:c r="F318" s="20" t="n">
        <x:v>45875.5</x:v>
      </x:c>
      <x:c r="G318" s="18" t="str">
        <x:v>Funded</x:v>
      </x:c>
      <x:c r="H318" s="23" t="n">
        <x:v>44500</x:v>
      </x:c>
      <x:c r="I318" s="18" t="str">
        <x:v>Auto loan</x:v>
      </x:c>
      <x:c r="J318" s="18" t="str">
        <x:v>Referral</x:v>
      </x:c>
      <x:c r="K318" s="20" t="n">
        <x:v>45879.5</x:v>
      </x:c>
    </x:row>
    <x:row r="319" ht="15" hidden="0" customHeight="1">
      <x:c r="A319" s="18" t="str">
        <x:v>LN000318</x:v>
      </x:c>
      <x:c r="B319" s="18" t="str">
        <x:v>LOS-SYN-0000318</x:v>
      </x:c>
      <x:c r="C319" s="18" t="str">
        <x:v>EMP009</x:v>
      </x:c>
      <x:c r="D319" s="18" t="str">
        <x:v>CY2025Q3</x:v>
      </x:c>
      <x:c r="E319" s="18" t="str">
        <x:v>BR004</x:v>
      </x:c>
      <x:c r="F319" s="20" t="n">
        <x:v>45853.5</x:v>
      </x:c>
      <x:c r="G319" s="18" t="str">
        <x:v>Funded</x:v>
      </x:c>
      <x:c r="H319" s="23" t="n">
        <x:v>55500</x:v>
      </x:c>
      <x:c r="I319" s="18" t="str">
        <x:v>Auto loan</x:v>
      </x:c>
      <x:c r="J319" s="18" t="str">
        <x:v>New customer</x:v>
      </x:c>
      <x:c r="K319" s="20" t="n">
        <x:v>45856.5</x:v>
      </x:c>
    </x:row>
    <x:row r="320" ht="15" hidden="0" customHeight="1">
      <x:c r="A320" s="18" t="str">
        <x:v>LN000319</x:v>
      </x:c>
      <x:c r="B320" s="18" t="str">
        <x:v>LOS-SYN-0000319</x:v>
      </x:c>
      <x:c r="C320" s="18" t="str">
        <x:v>EMP009</x:v>
      </x:c>
      <x:c r="D320" s="18" t="str">
        <x:v>CY2025Q3</x:v>
      </x:c>
      <x:c r="E320" s="18" t="str">
        <x:v>BR004</x:v>
      </x:c>
      <x:c r="F320" s="20" t="n">
        <x:v>45909.5</x:v>
      </x:c>
      <x:c r="G320" s="18" t="str">
        <x:v>Funded</x:v>
      </x:c>
      <x:c r="H320" s="23" t="n">
        <x:v>64000</x:v>
      </x:c>
      <x:c r="I320" s="18" t="str">
        <x:v>Home improvement loan</x:v>
      </x:c>
      <x:c r="J320" s="18" t="str">
        <x:v>New customer</x:v>
      </x:c>
      <x:c r="K320" s="20" t="n">
        <x:v>45917.5</x:v>
      </x:c>
    </x:row>
    <x:row r="321" ht="15" hidden="0" customHeight="1">
      <x:c r="A321" s="18" t="str">
        <x:v>LN000320</x:v>
      </x:c>
      <x:c r="B321" s="18" t="str">
        <x:v>LOS-SYN-0000320</x:v>
      </x:c>
      <x:c r="C321" s="18" t="str">
        <x:v>EMP009</x:v>
      </x:c>
      <x:c r="D321" s="18" t="str">
        <x:v>CY2025Q3</x:v>
      </x:c>
      <x:c r="E321" s="18" t="str">
        <x:v>BR004</x:v>
      </x:c>
      <x:c r="F321" s="20" t="n">
        <x:v>45873.5</x:v>
      </x:c>
      <x:c r="G321" s="18" t="str">
        <x:v>Funded</x:v>
      </x:c>
      <x:c r="H321" s="23" t="n">
        <x:v>44000</x:v>
      </x:c>
      <x:c r="I321" s="18" t="str">
        <x:v>Debt consolidation loan</x:v>
      </x:c>
      <x:c r="J321" s="18" t="str">
        <x:v>Referral</x:v>
      </x:c>
      <x:c r="K321" s="20" t="n">
        <x:v>45880.5</x:v>
      </x:c>
    </x:row>
    <x:row r="322" ht="15" hidden="0" customHeight="1">
      <x:c r="A322" s="18" t="str">
        <x:v>LN000321</x:v>
      </x:c>
      <x:c r="B322" s="18" t="str">
        <x:v>LOS-SYN-0000321</x:v>
      </x:c>
      <x:c r="C322" s="18" t="str">
        <x:v>EMP009</x:v>
      </x:c>
      <x:c r="D322" s="18" t="str">
        <x:v>CY2025Q3</x:v>
      </x:c>
      <x:c r="E322" s="18" t="str">
        <x:v>BR004</x:v>
      </x:c>
      <x:c r="F322" s="20" t="n">
        <x:v>45852.5</x:v>
      </x:c>
      <x:c r="G322" s="18" t="str">
        <x:v>Funded</x:v>
      </x:c>
      <x:c r="H322" s="23" t="n">
        <x:v>43500</x:v>
      </x:c>
      <x:c r="I322" s="18" t="str">
        <x:v>Home improvement loan</x:v>
      </x:c>
      <x:c r="J322" s="18" t="str">
        <x:v>Referral</x:v>
      </x:c>
      <x:c r="K322" s="20" t="n">
        <x:v>45858.5</x:v>
      </x:c>
    </x:row>
    <x:row r="323" ht="15" hidden="0" customHeight="1">
      <x:c r="A323" s="18" t="str">
        <x:v>LN000322</x:v>
      </x:c>
      <x:c r="B323" s="18" t="str">
        <x:v>LOS-SYN-0000322</x:v>
      </x:c>
      <x:c r="C323" s="18" t="str">
        <x:v>EMP009</x:v>
      </x:c>
      <x:c r="D323" s="18" t="str">
        <x:v>CY2025Q3</x:v>
      </x:c>
      <x:c r="E323" s="18" t="str">
        <x:v>BR004</x:v>
      </x:c>
      <x:c r="F323" s="20" t="n">
        <x:v>45887.5</x:v>
      </x:c>
      <x:c r="G323" s="18" t="str">
        <x:v>Funded</x:v>
      </x:c>
      <x:c r="H323" s="23" t="n">
        <x:v>66000</x:v>
      </x:c>
      <x:c r="I323" s="18" t="str">
        <x:v>Auto loan</x:v>
      </x:c>
      <x:c r="J323" s="18" t="str">
        <x:v>New customer</x:v>
      </x:c>
      <x:c r="K323" s="20" t="n">
        <x:v>45892.5</x:v>
      </x:c>
    </x:row>
    <x:row r="324" ht="15" hidden="0" customHeight="1">
      <x:c r="A324" s="18" t="str">
        <x:v>LN000323</x:v>
      </x:c>
      <x:c r="B324" s="18" t="str">
        <x:v>LOS-SYN-0000323</x:v>
      </x:c>
      <x:c r="C324" s="18" t="str">
        <x:v>EMP009</x:v>
      </x:c>
      <x:c r="D324" s="18" t="str">
        <x:v>CY2025Q3</x:v>
      </x:c>
      <x:c r="E324" s="18" t="str">
        <x:v>BR004</x:v>
      </x:c>
      <x:c r="F324" s="20" t="n">
        <x:v>45867.5</x:v>
      </x:c>
      <x:c r="G324" s="18" t="str">
        <x:v>Funded</x:v>
      </x:c>
      <x:c r="H324" s="23" t="n">
        <x:v>41000</x:v>
      </x:c>
      <x:c r="I324" s="18" t="str">
        <x:v>Home improvement loan</x:v>
      </x:c>
      <x:c r="J324" s="18" t="str">
        <x:v>New customer</x:v>
      </x:c>
      <x:c r="K324" s="20" t="n">
        <x:v>45876.5</x:v>
      </x:c>
    </x:row>
    <x:row r="325" ht="15" hidden="0" customHeight="1">
      <x:c r="A325" s="18" t="str">
        <x:v>LN000324</x:v>
      </x:c>
      <x:c r="B325" s="18" t="str">
        <x:v>LOS-SYN-0000324</x:v>
      </x:c>
      <x:c r="C325" s="18" t="str">
        <x:v>EMP009</x:v>
      </x:c>
      <x:c r="D325" s="18" t="str">
        <x:v>CY2025Q3</x:v>
      </x:c>
      <x:c r="E325" s="18" t="str">
        <x:v>BR004</x:v>
      </x:c>
      <x:c r="F325" s="20" t="n">
        <x:v>45870.5</x:v>
      </x:c>
      <x:c r="G325" s="18" t="str">
        <x:v>Funded</x:v>
      </x:c>
      <x:c r="H325" s="23" t="n">
        <x:v>55000</x:v>
      </x:c>
      <x:c r="I325" s="18" t="str">
        <x:v>Home improvement loan</x:v>
      </x:c>
      <x:c r="J325" s="18" t="str">
        <x:v>Existing customer</x:v>
      </x:c>
      <x:c r="K325" s="20" t="n">
        <x:v>45878.5</x:v>
      </x:c>
    </x:row>
    <x:row r="326" ht="15" hidden="0" customHeight="1">
      <x:c r="A326" s="18" t="str">
        <x:v>LN000325</x:v>
      </x:c>
      <x:c r="B326" s="18" t="str">
        <x:v>LOS-SYN-0000325</x:v>
      </x:c>
      <x:c r="C326" s="18" t="str">
        <x:v>EMP010</x:v>
      </x:c>
      <x:c r="D326" s="18" t="str">
        <x:v>CY2025Q3</x:v>
      </x:c>
      <x:c r="E326" s="18" t="str">
        <x:v>BR004</x:v>
      </x:c>
      <x:c r="F326" s="20" t="n">
        <x:v>45852.5</x:v>
      </x:c>
      <x:c r="G326" s="18" t="str">
        <x:v>Funded</x:v>
      </x:c>
      <x:c r="H326" s="23" t="n">
        <x:v>30000</x:v>
      </x:c>
      <x:c r="I326" s="18" t="str">
        <x:v>Debt consolidation loan</x:v>
      </x:c>
      <x:c r="J326" s="18" t="str">
        <x:v>Existing customer</x:v>
      </x:c>
      <x:c r="K326" s="20" t="n">
        <x:v>45862.5</x:v>
      </x:c>
    </x:row>
    <x:row r="327" ht="15" hidden="0" customHeight="1">
      <x:c r="A327" s="18" t="str">
        <x:v>LN000326</x:v>
      </x:c>
      <x:c r="B327" s="18" t="str">
        <x:v>LOS-SYN-0000326</x:v>
      </x:c>
      <x:c r="C327" s="18" t="str">
        <x:v>EMP010</x:v>
      </x:c>
      <x:c r="D327" s="18" t="str">
        <x:v>CY2025Q3</x:v>
      </x:c>
      <x:c r="E327" s="18" t="str">
        <x:v>BR004</x:v>
      </x:c>
      <x:c r="F327" s="20" t="n">
        <x:v>45909.5</x:v>
      </x:c>
      <x:c r="G327" s="18" t="str">
        <x:v>Funded</x:v>
      </x:c>
      <x:c r="H327" s="23" t="n">
        <x:v>47500</x:v>
      </x:c>
      <x:c r="I327" s="18" t="str">
        <x:v>Home improvement loan</x:v>
      </x:c>
      <x:c r="J327" s="18" t="str">
        <x:v>Referral</x:v>
      </x:c>
      <x:c r="K327" s="20" t="n">
        <x:v>45912.5</x:v>
      </x:c>
    </x:row>
    <x:row r="328" ht="15" hidden="0" customHeight="1">
      <x:c r="A328" s="18" t="str">
        <x:v>LN000327</x:v>
      </x:c>
      <x:c r="B328" s="18" t="str">
        <x:v>LOS-SYN-0000327</x:v>
      </x:c>
      <x:c r="C328" s="18" t="str">
        <x:v>EMP010</x:v>
      </x:c>
      <x:c r="D328" s="18" t="str">
        <x:v>CY2025Q3</x:v>
      </x:c>
      <x:c r="E328" s="18" t="str">
        <x:v>BR004</x:v>
      </x:c>
      <x:c r="F328" s="20" t="n">
        <x:v>45904.5</x:v>
      </x:c>
      <x:c r="G328" s="18" t="str">
        <x:v>Funded</x:v>
      </x:c>
      <x:c r="H328" s="23" t="n">
        <x:v>39500</x:v>
      </x:c>
      <x:c r="I328" s="18" t="str">
        <x:v>Personal loan</x:v>
      </x:c>
      <x:c r="J328" s="18" t="str">
        <x:v>Existing customer</x:v>
      </x:c>
      <x:c r="K328" s="20" t="n">
        <x:v>45912.5</x:v>
      </x:c>
    </x:row>
    <x:row r="329" ht="15" hidden="0" customHeight="1">
      <x:c r="A329" s="18" t="str">
        <x:v>LN000328</x:v>
      </x:c>
      <x:c r="B329" s="18" t="str">
        <x:v>LOS-SYN-0000328</x:v>
      </x:c>
      <x:c r="C329" s="18" t="str">
        <x:v>EMP010</x:v>
      </x:c>
      <x:c r="D329" s="18" t="str">
        <x:v>CY2025Q3</x:v>
      </x:c>
      <x:c r="E329" s="18" t="str">
        <x:v>BR004</x:v>
      </x:c>
      <x:c r="F329" s="20" t="n">
        <x:v>45898.5</x:v>
      </x:c>
      <x:c r="G329" s="18" t="str">
        <x:v>Funded</x:v>
      </x:c>
      <x:c r="H329" s="23" t="n">
        <x:v>29000</x:v>
      </x:c>
      <x:c r="I329" s="18" t="str">
        <x:v>Home improvement loan</x:v>
      </x:c>
      <x:c r="J329" s="18" t="str">
        <x:v>Existing customer</x:v>
      </x:c>
      <x:c r="K329" s="20" t="n">
        <x:v>45910.5</x:v>
      </x:c>
    </x:row>
    <x:row r="330" ht="15" hidden="0" customHeight="1">
      <x:c r="A330" s="18" t="str">
        <x:v>LN000329</x:v>
      </x:c>
      <x:c r="B330" s="18" t="str">
        <x:v>LOS-SYN-0000329</x:v>
      </x:c>
      <x:c r="C330" s="18" t="str">
        <x:v>EMP010</x:v>
      </x:c>
      <x:c r="D330" s="18" t="str">
        <x:v>CY2025Q3</x:v>
      </x:c>
      <x:c r="E330" s="18" t="str">
        <x:v>BR004</x:v>
      </x:c>
      <x:c r="F330" s="20" t="n">
        <x:v>45859.5</x:v>
      </x:c>
      <x:c r="G330" s="18" t="str">
        <x:v>Funded</x:v>
      </x:c>
      <x:c r="H330" s="23" t="n">
        <x:v>46000</x:v>
      </x:c>
      <x:c r="I330" s="18" t="str">
        <x:v>Home improvement loan</x:v>
      </x:c>
      <x:c r="J330" s="18" t="str">
        <x:v>Existing customer</x:v>
      </x:c>
      <x:c r="K330" s="20" t="n">
        <x:v>45865.5</x:v>
      </x:c>
    </x:row>
    <x:row r="331" ht="15" hidden="0" customHeight="1">
      <x:c r="A331" s="18" t="str">
        <x:v>LN000330</x:v>
      </x:c>
      <x:c r="B331" s="18" t="str">
        <x:v>LOS-SYN-0000330</x:v>
      </x:c>
      <x:c r="C331" s="18" t="str">
        <x:v>EMP010</x:v>
      </x:c>
      <x:c r="D331" s="18" t="str">
        <x:v>CY2025Q3</x:v>
      </x:c>
      <x:c r="E331" s="18" t="str">
        <x:v>BR004</x:v>
      </x:c>
      <x:c r="F331" s="20" t="n">
        <x:v>45885.5</x:v>
      </x:c>
      <x:c r="G331" s="18" t="str">
        <x:v>Funded</x:v>
      </x:c>
      <x:c r="H331" s="23" t="n">
        <x:v>40000</x:v>
      </x:c>
      <x:c r="I331" s="18" t="str">
        <x:v>Personal loan</x:v>
      </x:c>
      <x:c r="J331" s="18" t="str">
        <x:v>Existing customer</x:v>
      </x:c>
      <x:c r="K331" s="20" t="n">
        <x:v>45892.5</x:v>
      </x:c>
    </x:row>
    <x:row r="332" ht="15" hidden="0" customHeight="1">
      <x:c r="A332" s="18" t="str">
        <x:v>LN000331</x:v>
      </x:c>
      <x:c r="B332" s="18" t="str">
        <x:v>LOS-SYN-0000331</x:v>
      </x:c>
      <x:c r="C332" s="18" t="str">
        <x:v>EMP010</x:v>
      </x:c>
      <x:c r="D332" s="18" t="str">
        <x:v>CY2025Q3</x:v>
      </x:c>
      <x:c r="E332" s="18" t="str">
        <x:v>BR004</x:v>
      </x:c>
      <x:c r="F332" s="20" t="n">
        <x:v>45879.5</x:v>
      </x:c>
      <x:c r="G332" s="18" t="str">
        <x:v>Funded</x:v>
      </x:c>
      <x:c r="H332" s="23" t="n">
        <x:v>36000</x:v>
      </x:c>
      <x:c r="I332" s="18" t="str">
        <x:v>Personal loan</x:v>
      </x:c>
      <x:c r="J332" s="18" t="str">
        <x:v>New customer</x:v>
      </x:c>
      <x:c r="K332" s="20" t="n">
        <x:v>45890.5</x:v>
      </x:c>
    </x:row>
    <x:row r="333" ht="15" hidden="0" customHeight="1">
      <x:c r="A333" s="18" t="str">
        <x:v>LN000332</x:v>
      </x:c>
      <x:c r="B333" s="18" t="str">
        <x:v>LOS-SYN-0000332</x:v>
      </x:c>
      <x:c r="C333" s="18" t="str">
        <x:v>EMP010</x:v>
      </x:c>
      <x:c r="D333" s="18" t="str">
        <x:v>CY2025Q3</x:v>
      </x:c>
      <x:c r="E333" s="18" t="str">
        <x:v>BR004</x:v>
      </x:c>
      <x:c r="F333" s="20" t="n">
        <x:v>45874.5</x:v>
      </x:c>
      <x:c r="G333" s="18" t="str">
        <x:v>Funded</x:v>
      </x:c>
      <x:c r="H333" s="23" t="n">
        <x:v>37500</x:v>
      </x:c>
      <x:c r="I333" s="18" t="str">
        <x:v>Home improvement loan</x:v>
      </x:c>
      <x:c r="J333" s="18" t="str">
        <x:v>Existing customer</x:v>
      </x:c>
      <x:c r="K333" s="20" t="n">
        <x:v>45877.5</x:v>
      </x:c>
    </x:row>
    <x:row r="334" ht="15" hidden="0" customHeight="1">
      <x:c r="A334" s="18" t="str">
        <x:v>LN000333</x:v>
      </x:c>
      <x:c r="B334" s="18" t="str">
        <x:v>LOS-SYN-0000333</x:v>
      </x:c>
      <x:c r="C334" s="18" t="str">
        <x:v>EMP010</x:v>
      </x:c>
      <x:c r="D334" s="18" t="str">
        <x:v>CY2025Q3</x:v>
      </x:c>
      <x:c r="E334" s="18" t="str">
        <x:v>BR004</x:v>
      </x:c>
      <x:c r="F334" s="20" t="n">
        <x:v>45855.5</x:v>
      </x:c>
      <x:c r="G334" s="18" t="str">
        <x:v>Funded</x:v>
      </x:c>
      <x:c r="H334" s="23" t="n">
        <x:v>32000</x:v>
      </x:c>
      <x:c r="I334" s="18" t="str">
        <x:v>Debt consolidation loan</x:v>
      </x:c>
      <x:c r="J334" s="18" t="str">
        <x:v>New customer</x:v>
      </x:c>
      <x:c r="K334" s="20" t="n">
        <x:v>45866.5</x:v>
      </x:c>
    </x:row>
    <x:row r="335" ht="15" hidden="0" customHeight="1">
      <x:c r="A335" s="18" t="str">
        <x:v>LN000334</x:v>
      </x:c>
      <x:c r="B335" s="18" t="str">
        <x:v>LOS-SYN-0000334</x:v>
      </x:c>
      <x:c r="C335" s="18" t="str">
        <x:v>EMP010</x:v>
      </x:c>
      <x:c r="D335" s="18" t="str">
        <x:v>CY2025Q3</x:v>
      </x:c>
      <x:c r="E335" s="18" t="str">
        <x:v>BR004</x:v>
      </x:c>
      <x:c r="F335" s="20" t="n">
        <x:v>45863.5</x:v>
      </x:c>
      <x:c r="G335" s="18" t="str">
        <x:v>Funded</x:v>
      </x:c>
      <x:c r="H335" s="23" t="n">
        <x:v>31000</x:v>
      </x:c>
      <x:c r="I335" s="18" t="str">
        <x:v>Personal loan</x:v>
      </x:c>
      <x:c r="J335" s="18" t="str">
        <x:v>Referral</x:v>
      </x:c>
      <x:c r="K335" s="20" t="n">
        <x:v>45869.5</x:v>
      </x:c>
    </x:row>
    <x:row r="336" ht="15" hidden="0" customHeight="1">
      <x:c r="A336" s="18" t="str">
        <x:v>LN000335</x:v>
      </x:c>
      <x:c r="B336" s="18" t="str">
        <x:v>LOS-SYN-0000335</x:v>
      </x:c>
      <x:c r="C336" s="18" t="str">
        <x:v>EMP010</x:v>
      </x:c>
      <x:c r="D336" s="18" t="str">
        <x:v>CY2025Q3</x:v>
      </x:c>
      <x:c r="E336" s="18" t="str">
        <x:v>BR004</x:v>
      </x:c>
      <x:c r="F336" s="20" t="n">
        <x:v>45923.5</x:v>
      </x:c>
      <x:c r="G336" s="18" t="str">
        <x:v>Funded</x:v>
      </x:c>
      <x:c r="H336" s="23" t="n">
        <x:v>47500</x:v>
      </x:c>
      <x:c r="I336" s="18" t="str">
        <x:v>Personal loan</x:v>
      </x:c>
      <x:c r="J336" s="18" t="str">
        <x:v>New customer</x:v>
      </x:c>
      <x:c r="K336" s="20" t="n">
        <x:v>45927.5</x:v>
      </x:c>
    </x:row>
    <x:row r="337" ht="15" hidden="0" customHeight="1">
      <x:c r="A337" s="18" t="str">
        <x:v>LN000336</x:v>
      </x:c>
      <x:c r="B337" s="18" t="str">
        <x:v>LOS-SYN-0000336</x:v>
      </x:c>
      <x:c r="C337" s="18" t="str">
        <x:v>EMP011</x:v>
      </x:c>
      <x:c r="D337" s="18" t="str">
        <x:v>CY2025Q3</x:v>
      </x:c>
      <x:c r="E337" s="18" t="str">
        <x:v>BR004</x:v>
      </x:c>
      <x:c r="F337" s="20" t="n">
        <x:v>45922.5</x:v>
      </x:c>
      <x:c r="G337" s="18" t="str">
        <x:v>Funded</x:v>
      </x:c>
      <x:c r="H337" s="23" t="n">
        <x:v>37000</x:v>
      </x:c>
      <x:c r="I337" s="18" t="str">
        <x:v>Home improvement loan</x:v>
      </x:c>
      <x:c r="J337" s="18" t="str">
        <x:v>Referral</x:v>
      </x:c>
      <x:c r="K337" s="20" t="n">
        <x:v>45930.5</x:v>
      </x:c>
    </x:row>
    <x:row r="338" ht="15" hidden="0" customHeight="1">
      <x:c r="A338" s="18" t="str">
        <x:v>LN000337</x:v>
      </x:c>
      <x:c r="B338" s="18" t="str">
        <x:v>LOS-SYN-0000337</x:v>
      </x:c>
      <x:c r="C338" s="18" t="str">
        <x:v>EMP011</x:v>
      </x:c>
      <x:c r="D338" s="18" t="str">
        <x:v>CY2025Q3</x:v>
      </x:c>
      <x:c r="E338" s="18" t="str">
        <x:v>BR004</x:v>
      </x:c>
      <x:c r="F338" s="20" t="n">
        <x:v>45863.5</x:v>
      </x:c>
      <x:c r="G338" s="18" t="str">
        <x:v>Funded</x:v>
      </x:c>
      <x:c r="H338" s="23" t="n">
        <x:v>42500</x:v>
      </x:c>
      <x:c r="I338" s="18" t="str">
        <x:v>Auto loan</x:v>
      </x:c>
      <x:c r="J338" s="18" t="str">
        <x:v>Existing customer</x:v>
      </x:c>
      <x:c r="K338" s="20" t="n">
        <x:v>45874.5</x:v>
      </x:c>
    </x:row>
    <x:row r="339" ht="15" hidden="0" customHeight="1">
      <x:c r="A339" s="18" t="str">
        <x:v>LN000338</x:v>
      </x:c>
      <x:c r="B339" s="18" t="str">
        <x:v>LOS-SYN-0000338</x:v>
      </x:c>
      <x:c r="C339" s="18" t="str">
        <x:v>EMP011</x:v>
      </x:c>
      <x:c r="D339" s="18" t="str">
        <x:v>CY2025Q3</x:v>
      </x:c>
      <x:c r="E339" s="18" t="str">
        <x:v>BR004</x:v>
      </x:c>
      <x:c r="F339" s="20" t="n">
        <x:v>45920.5</x:v>
      </x:c>
      <x:c r="G339" s="18" t="str">
        <x:v>Funded</x:v>
      </x:c>
      <x:c r="H339" s="23" t="n">
        <x:v>37500</x:v>
      </x:c>
      <x:c r="I339" s="18" t="str">
        <x:v>Personal loan</x:v>
      </x:c>
      <x:c r="J339" s="18" t="str">
        <x:v>Existing customer</x:v>
      </x:c>
      <x:c r="K339" s="20" t="n">
        <x:v>45923.5</x:v>
      </x:c>
    </x:row>
    <x:row r="340" ht="15" hidden="0" customHeight="1">
      <x:c r="A340" s="18" t="str">
        <x:v>LN000339</x:v>
      </x:c>
      <x:c r="B340" s="18" t="str">
        <x:v>LOS-SYN-0000339</x:v>
      </x:c>
      <x:c r="C340" s="18" t="str">
        <x:v>EMP011</x:v>
      </x:c>
      <x:c r="D340" s="18" t="str">
        <x:v>CY2025Q3</x:v>
      </x:c>
      <x:c r="E340" s="18" t="str">
        <x:v>BR004</x:v>
      </x:c>
      <x:c r="F340" s="20" t="n">
        <x:v>45875.5</x:v>
      </x:c>
      <x:c r="G340" s="18" t="str">
        <x:v>Funded</x:v>
      </x:c>
      <x:c r="H340" s="23" t="n">
        <x:v>46500</x:v>
      </x:c>
      <x:c r="I340" s="18" t="str">
        <x:v>Debt consolidation loan</x:v>
      </x:c>
      <x:c r="J340" s="18" t="str">
        <x:v>Referral</x:v>
      </x:c>
      <x:c r="K340" s="20" t="n">
        <x:v>45878.5</x:v>
      </x:c>
    </x:row>
    <x:row r="341" ht="15" hidden="0" customHeight="1">
      <x:c r="A341" s="18" t="str">
        <x:v>LN000340</x:v>
      </x:c>
      <x:c r="B341" s="18" t="str">
        <x:v>LOS-SYN-0000340</x:v>
      </x:c>
      <x:c r="C341" s="18" t="str">
        <x:v>EMP011</x:v>
      </x:c>
      <x:c r="D341" s="18" t="str">
        <x:v>CY2025Q3</x:v>
      </x:c>
      <x:c r="E341" s="18" t="str">
        <x:v>BR004</x:v>
      </x:c>
      <x:c r="F341" s="20" t="n">
        <x:v>45870.5</x:v>
      </x:c>
      <x:c r="G341" s="18" t="str">
        <x:v>Funded</x:v>
      </x:c>
      <x:c r="H341" s="23" t="n">
        <x:v>55000</x:v>
      </x:c>
      <x:c r="I341" s="18" t="str">
        <x:v>Personal loan</x:v>
      </x:c>
      <x:c r="J341" s="18" t="str">
        <x:v>New customer</x:v>
      </x:c>
      <x:c r="K341" s="20" t="n">
        <x:v>45878.5</x:v>
      </x:c>
    </x:row>
    <x:row r="342" ht="15" hidden="0" customHeight="1">
      <x:c r="A342" s="18" t="str">
        <x:v>LN000341</x:v>
      </x:c>
      <x:c r="B342" s="18" t="str">
        <x:v>LOS-SYN-0000341</x:v>
      </x:c>
      <x:c r="C342" s="18" t="str">
        <x:v>EMP011</x:v>
      </x:c>
      <x:c r="D342" s="18" t="str">
        <x:v>CY2025Q3</x:v>
      </x:c>
      <x:c r="E342" s="18" t="str">
        <x:v>BR004</x:v>
      </x:c>
      <x:c r="F342" s="20" t="n">
        <x:v>45890.5</x:v>
      </x:c>
      <x:c r="G342" s="18" t="str">
        <x:v>Funded</x:v>
      </x:c>
      <x:c r="H342" s="23" t="n">
        <x:v>56000</x:v>
      </x:c>
      <x:c r="I342" s="18" t="str">
        <x:v>Debt consolidation loan</x:v>
      </x:c>
      <x:c r="J342" s="18" t="str">
        <x:v>Existing customer</x:v>
      </x:c>
      <x:c r="K342" s="20" t="n">
        <x:v>45898.5</x:v>
      </x:c>
    </x:row>
    <x:row r="343" ht="15" hidden="0" customHeight="1">
      <x:c r="A343" s="18" t="str">
        <x:v>LN000342</x:v>
      </x:c>
      <x:c r="B343" s="18" t="str">
        <x:v>LOS-SYN-0000342</x:v>
      </x:c>
      <x:c r="C343" s="18" t="str">
        <x:v>EMP011</x:v>
      </x:c>
      <x:c r="D343" s="18" t="str">
        <x:v>CY2025Q3</x:v>
      </x:c>
      <x:c r="E343" s="18" t="str">
        <x:v>BR004</x:v>
      </x:c>
      <x:c r="F343" s="20" t="n">
        <x:v>45898.5</x:v>
      </x:c>
      <x:c r="G343" s="18" t="str">
        <x:v>Funded</x:v>
      </x:c>
      <x:c r="H343" s="23" t="n">
        <x:v>39000</x:v>
      </x:c>
      <x:c r="I343" s="18" t="str">
        <x:v>Debt consolidation loan</x:v>
      </x:c>
      <x:c r="J343" s="18" t="str">
        <x:v>Existing customer</x:v>
      </x:c>
      <x:c r="K343" s="20" t="n">
        <x:v>45906.5</x:v>
      </x:c>
    </x:row>
    <x:row r="344" ht="15" hidden="0" customHeight="1">
      <x:c r="A344" s="18" t="str">
        <x:v>LN000343</x:v>
      </x:c>
      <x:c r="B344" s="18" t="str">
        <x:v>LOS-SYN-0000343</x:v>
      </x:c>
      <x:c r="C344" s="18" t="str">
        <x:v>EMP011</x:v>
      </x:c>
      <x:c r="D344" s="18" t="str">
        <x:v>CY2025Q3</x:v>
      </x:c>
      <x:c r="E344" s="18" t="str">
        <x:v>BR004</x:v>
      </x:c>
      <x:c r="F344" s="20" t="n">
        <x:v>45877.5</x:v>
      </x:c>
      <x:c r="G344" s="18" t="str">
        <x:v>Funded</x:v>
      </x:c>
      <x:c r="H344" s="23" t="n">
        <x:v>44500</x:v>
      </x:c>
      <x:c r="I344" s="18" t="str">
        <x:v>Debt consolidation loan</x:v>
      </x:c>
      <x:c r="J344" s="18" t="str">
        <x:v>Existing customer</x:v>
      </x:c>
      <x:c r="K344" s="20" t="n">
        <x:v>45882.5</x:v>
      </x:c>
    </x:row>
    <x:row r="345" ht="15" hidden="0" customHeight="1">
      <x:c r="A345" s="18" t="str">
        <x:v>LN000344</x:v>
      </x:c>
      <x:c r="B345" s="18" t="str">
        <x:v>LOS-SYN-0000344</x:v>
      </x:c>
      <x:c r="C345" s="18" t="str">
        <x:v>EMP011</x:v>
      </x:c>
      <x:c r="D345" s="18" t="str">
        <x:v>CY2025Q3</x:v>
      </x:c>
      <x:c r="E345" s="18" t="str">
        <x:v>BR004</x:v>
      </x:c>
      <x:c r="F345" s="20" t="n">
        <x:v>45886.5</x:v>
      </x:c>
      <x:c r="G345" s="18" t="str">
        <x:v>Cancelled</x:v>
      </x:c>
      <x:c r="H345" s="23" t="n">
        <x:v>76000</x:v>
      </x:c>
      <x:c r="I345" s="18" t="str">
        <x:v>Personal loan</x:v>
      </x:c>
      <x:c r="J345" s="18" t="str">
        <x:v>New customer</x:v>
      </x:c>
      <x:c r="K345" s="20"/>
    </x:row>
    <x:row r="346" ht="15" hidden="0" customHeight="1">
      <x:c r="A346" s="18" t="str">
        <x:v>LN000345</x:v>
      </x:c>
      <x:c r="B346" s="18" t="str">
        <x:v>LOS-SYN-0000345</x:v>
      </x:c>
      <x:c r="C346" s="18" t="str">
        <x:v>EMP012</x:v>
      </x:c>
      <x:c r="D346" s="18" t="str">
        <x:v>CY2025Q3</x:v>
      </x:c>
      <x:c r="E346" s="18" t="str">
        <x:v>BR005</x:v>
      </x:c>
      <x:c r="F346" s="20" t="n">
        <x:v>45906.5</x:v>
      </x:c>
      <x:c r="G346" s="18" t="str">
        <x:v>Funded</x:v>
      </x:c>
      <x:c r="H346" s="23" t="n">
        <x:v>46000</x:v>
      </x:c>
      <x:c r="I346" s="18" t="str">
        <x:v>Home improvement loan</x:v>
      </x:c>
      <x:c r="J346" s="18" t="str">
        <x:v>Referral</x:v>
      </x:c>
      <x:c r="K346" s="20" t="n">
        <x:v>45917.5</x:v>
      </x:c>
    </x:row>
    <x:row r="347" ht="15" hidden="0" customHeight="1">
      <x:c r="A347" s="18" t="str">
        <x:v>LN000346</x:v>
      </x:c>
      <x:c r="B347" s="18" t="str">
        <x:v>LOS-SYN-0000346</x:v>
      </x:c>
      <x:c r="C347" s="18" t="str">
        <x:v>EMP012</x:v>
      </x:c>
      <x:c r="D347" s="18" t="str">
        <x:v>CY2025Q3</x:v>
      </x:c>
      <x:c r="E347" s="18" t="str">
        <x:v>BR005</x:v>
      </x:c>
      <x:c r="F347" s="20" t="n">
        <x:v>45853.5</x:v>
      </x:c>
      <x:c r="G347" s="18" t="str">
        <x:v>Funded</x:v>
      </x:c>
      <x:c r="H347" s="23" t="n">
        <x:v>47000</x:v>
      </x:c>
      <x:c r="I347" s="18" t="str">
        <x:v>Personal loan</x:v>
      </x:c>
      <x:c r="J347" s="18" t="str">
        <x:v>Referral</x:v>
      </x:c>
      <x:c r="K347" s="20" t="n">
        <x:v>45858.5</x:v>
      </x:c>
    </x:row>
    <x:row r="348" ht="15" hidden="0" customHeight="1">
      <x:c r="A348" s="18" t="str">
        <x:v>LN000347</x:v>
      </x:c>
      <x:c r="B348" s="18" t="str">
        <x:v>LOS-SYN-0000347</x:v>
      </x:c>
      <x:c r="C348" s="18" t="str">
        <x:v>EMP012</x:v>
      </x:c>
      <x:c r="D348" s="18" t="str">
        <x:v>CY2025Q3</x:v>
      </x:c>
      <x:c r="E348" s="18" t="str">
        <x:v>BR005</x:v>
      </x:c>
      <x:c r="F348" s="20" t="n">
        <x:v>45890.5</x:v>
      </x:c>
      <x:c r="G348" s="18" t="str">
        <x:v>Funded</x:v>
      </x:c>
      <x:c r="H348" s="23" t="n">
        <x:v>58500</x:v>
      </x:c>
      <x:c r="I348" s="18" t="str">
        <x:v>Personal loan</x:v>
      </x:c>
      <x:c r="J348" s="18" t="str">
        <x:v>New customer</x:v>
      </x:c>
      <x:c r="K348" s="20" t="n">
        <x:v>45900.5</x:v>
      </x:c>
    </x:row>
    <x:row r="349" ht="15" hidden="0" customHeight="1">
      <x:c r="A349" s="18" t="str">
        <x:v>LN000348</x:v>
      </x:c>
      <x:c r="B349" s="18" t="str">
        <x:v>LOS-SYN-0000348</x:v>
      </x:c>
      <x:c r="C349" s="18" t="str">
        <x:v>EMP012</x:v>
      </x:c>
      <x:c r="D349" s="18" t="str">
        <x:v>CY2025Q3</x:v>
      </x:c>
      <x:c r="E349" s="18" t="str">
        <x:v>BR005</x:v>
      </x:c>
      <x:c r="F349" s="20" t="n">
        <x:v>45842.5</x:v>
      </x:c>
      <x:c r="G349" s="18" t="str">
        <x:v>Funded</x:v>
      </x:c>
      <x:c r="H349" s="23" t="n">
        <x:v>42500</x:v>
      </x:c>
      <x:c r="I349" s="18" t="str">
        <x:v>Auto loan</x:v>
      </x:c>
      <x:c r="J349" s="18" t="str">
        <x:v>Existing customer</x:v>
      </x:c>
      <x:c r="K349" s="20" t="n">
        <x:v>45848.5</x:v>
      </x:c>
    </x:row>
    <x:row r="350" ht="15" hidden="0" customHeight="1">
      <x:c r="A350" s="18" t="str">
        <x:v>LN000349</x:v>
      </x:c>
      <x:c r="B350" s="18" t="str">
        <x:v>LOS-SYN-0000349</x:v>
      </x:c>
      <x:c r="C350" s="18" t="str">
        <x:v>EMP012</x:v>
      </x:c>
      <x:c r="D350" s="18" t="str">
        <x:v>CY2025Q3</x:v>
      </x:c>
      <x:c r="E350" s="18" t="str">
        <x:v>BR005</x:v>
      </x:c>
      <x:c r="F350" s="20" t="n">
        <x:v>45894.5</x:v>
      </x:c>
      <x:c r="G350" s="18" t="str">
        <x:v>Funded</x:v>
      </x:c>
      <x:c r="H350" s="23" t="n">
        <x:v>37000</x:v>
      </x:c>
      <x:c r="I350" s="18" t="str">
        <x:v>Personal loan</x:v>
      </x:c>
      <x:c r="J350" s="18" t="str">
        <x:v>Referral</x:v>
      </x:c>
      <x:c r="K350" s="20" t="n">
        <x:v>45903.5</x:v>
      </x:c>
    </x:row>
    <x:row r="351" ht="15" hidden="0" customHeight="1">
      <x:c r="A351" s="18" t="str">
        <x:v>LN000350</x:v>
      </x:c>
      <x:c r="B351" s="18" t="str">
        <x:v>LOS-SYN-0000350</x:v>
      </x:c>
      <x:c r="C351" s="18" t="str">
        <x:v>EMP012</x:v>
      </x:c>
      <x:c r="D351" s="18" t="str">
        <x:v>CY2025Q3</x:v>
      </x:c>
      <x:c r="E351" s="18" t="str">
        <x:v>BR005</x:v>
      </x:c>
      <x:c r="F351" s="20" t="n">
        <x:v>45913.5</x:v>
      </x:c>
      <x:c r="G351" s="18" t="str">
        <x:v>Funded</x:v>
      </x:c>
      <x:c r="H351" s="23" t="n">
        <x:v>56500</x:v>
      </x:c>
      <x:c r="I351" s="18" t="str">
        <x:v>Debt consolidation loan</x:v>
      </x:c>
      <x:c r="J351" s="18" t="str">
        <x:v>Referral</x:v>
      </x:c>
      <x:c r="K351" s="20" t="n">
        <x:v>45920.5</x:v>
      </x:c>
    </x:row>
    <x:row r="352" ht="15" hidden="0" customHeight="1">
      <x:c r="A352" s="18" t="str">
        <x:v>LN000351</x:v>
      </x:c>
      <x:c r="B352" s="18" t="str">
        <x:v>LOS-SYN-0000351</x:v>
      </x:c>
      <x:c r="C352" s="18" t="str">
        <x:v>EMP012</x:v>
      </x:c>
      <x:c r="D352" s="18" t="str">
        <x:v>CY2025Q3</x:v>
      </x:c>
      <x:c r="E352" s="18" t="str">
        <x:v>BR005</x:v>
      </x:c>
      <x:c r="F352" s="20" t="n">
        <x:v>45910.5</x:v>
      </x:c>
      <x:c r="G352" s="18" t="str">
        <x:v>Funded</x:v>
      </x:c>
      <x:c r="H352" s="23" t="n">
        <x:v>44500</x:v>
      </x:c>
      <x:c r="I352" s="18" t="str">
        <x:v>Home improvement loan</x:v>
      </x:c>
      <x:c r="J352" s="18" t="str">
        <x:v>Existing customer</x:v>
      </x:c>
      <x:c r="K352" s="20" t="n">
        <x:v>45919.5</x:v>
      </x:c>
    </x:row>
    <x:row r="353" ht="15" hidden="0" customHeight="1">
      <x:c r="A353" s="18" t="str">
        <x:v>LN000352</x:v>
      </x:c>
      <x:c r="B353" s="18" t="str">
        <x:v>LOS-SYN-0000352</x:v>
      </x:c>
      <x:c r="C353" s="18" t="str">
        <x:v>EMP013</x:v>
      </x:c>
      <x:c r="D353" s="18" t="str">
        <x:v>CY2025Q3</x:v>
      </x:c>
      <x:c r="E353" s="18" t="str">
        <x:v>BR005</x:v>
      </x:c>
      <x:c r="F353" s="20" t="n">
        <x:v>45890.5</x:v>
      </x:c>
      <x:c r="G353" s="18" t="str">
        <x:v>Funded</x:v>
      </x:c>
      <x:c r="H353" s="23" t="n">
        <x:v>38000</x:v>
      </x:c>
      <x:c r="I353" s="18" t="str">
        <x:v>Home improvement loan</x:v>
      </x:c>
      <x:c r="J353" s="18" t="str">
        <x:v>Referral</x:v>
      </x:c>
      <x:c r="K353" s="20" t="n">
        <x:v>45897.5</x:v>
      </x:c>
    </x:row>
    <x:row r="354" ht="15" hidden="0" customHeight="1">
      <x:c r="A354" s="18" t="str">
        <x:v>LN000353</x:v>
      </x:c>
      <x:c r="B354" s="18" t="str">
        <x:v>LOS-SYN-0000353</x:v>
      </x:c>
      <x:c r="C354" s="18" t="str">
        <x:v>EMP013</x:v>
      </x:c>
      <x:c r="D354" s="18" t="str">
        <x:v>CY2025Q3</x:v>
      </x:c>
      <x:c r="E354" s="18" t="str">
        <x:v>BR005</x:v>
      </x:c>
      <x:c r="F354" s="20" t="n">
        <x:v>45870.5</x:v>
      </x:c>
      <x:c r="G354" s="18" t="str">
        <x:v>Funded</x:v>
      </x:c>
      <x:c r="H354" s="23" t="n">
        <x:v>53500</x:v>
      </x:c>
      <x:c r="I354" s="18" t="str">
        <x:v>Personal loan</x:v>
      </x:c>
      <x:c r="J354" s="18" t="str">
        <x:v>New customer</x:v>
      </x:c>
      <x:c r="K354" s="20" t="n">
        <x:v>45876.5</x:v>
      </x:c>
    </x:row>
    <x:row r="355" ht="15" hidden="0" customHeight="1">
      <x:c r="A355" s="18" t="str">
        <x:v>LN000354</x:v>
      </x:c>
      <x:c r="B355" s="18" t="str">
        <x:v>LOS-SYN-0000354</x:v>
      </x:c>
      <x:c r="C355" s="18" t="str">
        <x:v>EMP013</x:v>
      </x:c>
      <x:c r="D355" s="18" t="str">
        <x:v>CY2025Q3</x:v>
      </x:c>
      <x:c r="E355" s="18" t="str">
        <x:v>BR005</x:v>
      </x:c>
      <x:c r="F355" s="20" t="n">
        <x:v>45908.5</x:v>
      </x:c>
      <x:c r="G355" s="18" t="str">
        <x:v>Funded</x:v>
      </x:c>
      <x:c r="H355" s="23" t="n">
        <x:v>43500</x:v>
      </x:c>
      <x:c r="I355" s="18" t="str">
        <x:v>Home improvement loan</x:v>
      </x:c>
      <x:c r="J355" s="18" t="str">
        <x:v>Existing customer</x:v>
      </x:c>
      <x:c r="K355" s="20" t="n">
        <x:v>45919.5</x:v>
      </x:c>
    </x:row>
    <x:row r="356" ht="15" hidden="0" customHeight="1">
      <x:c r="A356" s="18" t="str">
        <x:v>LN000355</x:v>
      </x:c>
      <x:c r="B356" s="18" t="str">
        <x:v>LOS-SYN-0000355</x:v>
      </x:c>
      <x:c r="C356" s="18" t="str">
        <x:v>EMP013</x:v>
      </x:c>
      <x:c r="D356" s="18" t="str">
        <x:v>CY2025Q3</x:v>
      </x:c>
      <x:c r="E356" s="18" t="str">
        <x:v>BR005</x:v>
      </x:c>
      <x:c r="F356" s="20" t="n">
        <x:v>45841.5</x:v>
      </x:c>
      <x:c r="G356" s="18" t="str">
        <x:v>Funded</x:v>
      </x:c>
      <x:c r="H356" s="23" t="n">
        <x:v>50000</x:v>
      </x:c>
      <x:c r="I356" s="18" t="str">
        <x:v>Auto loan</x:v>
      </x:c>
      <x:c r="J356" s="18" t="str">
        <x:v>New customer</x:v>
      </x:c>
      <x:c r="K356" s="20" t="n">
        <x:v>45853.5</x:v>
      </x:c>
    </x:row>
    <x:row r="357" ht="15" hidden="0" customHeight="1">
      <x:c r="A357" s="18" t="str">
        <x:v>LN000356</x:v>
      </x:c>
      <x:c r="B357" s="18" t="str">
        <x:v>LOS-SYN-0000356</x:v>
      </x:c>
      <x:c r="C357" s="18" t="str">
        <x:v>EMP013</x:v>
      </x:c>
      <x:c r="D357" s="18" t="str">
        <x:v>CY2025Q3</x:v>
      </x:c>
      <x:c r="E357" s="18" t="str">
        <x:v>BR005</x:v>
      </x:c>
      <x:c r="F357" s="20" t="n">
        <x:v>45878.5</x:v>
      </x:c>
      <x:c r="G357" s="18" t="str">
        <x:v>Funded</x:v>
      </x:c>
      <x:c r="H357" s="23" t="n">
        <x:v>47000</x:v>
      </x:c>
      <x:c r="I357" s="18" t="str">
        <x:v>Personal loan</x:v>
      </x:c>
      <x:c r="J357" s="18" t="str">
        <x:v>Referral</x:v>
      </x:c>
      <x:c r="K357" s="20" t="n">
        <x:v>45889.5</x:v>
      </x:c>
    </x:row>
    <x:row r="358" ht="15" hidden="0" customHeight="1">
      <x:c r="A358" s="18" t="str">
        <x:v>LN000357</x:v>
      </x:c>
      <x:c r="B358" s="18" t="str">
        <x:v>LOS-SYN-0000357</x:v>
      </x:c>
      <x:c r="C358" s="18" t="str">
        <x:v>EMP013</x:v>
      </x:c>
      <x:c r="D358" s="18" t="str">
        <x:v>CY2025Q3</x:v>
      </x:c>
      <x:c r="E358" s="18" t="str">
        <x:v>BR005</x:v>
      </x:c>
      <x:c r="F358" s="20" t="n">
        <x:v>45906.5</x:v>
      </x:c>
      <x:c r="G358" s="18" t="str">
        <x:v>Funded</x:v>
      </x:c>
      <x:c r="H358" s="23" t="n">
        <x:v>49500</x:v>
      </x:c>
      <x:c r="I358" s="18" t="str">
        <x:v>Debt consolidation loan</x:v>
      </x:c>
      <x:c r="J358" s="18" t="str">
        <x:v>Existing customer</x:v>
      </x:c>
      <x:c r="K358" s="20" t="n">
        <x:v>45918.5</x:v>
      </x:c>
    </x:row>
    <x:row r="359" ht="15" hidden="0" customHeight="1">
      <x:c r="A359" s="18" t="str">
        <x:v>LN000358</x:v>
      </x:c>
      <x:c r="B359" s="18" t="str">
        <x:v>LOS-SYN-0000358</x:v>
      </x:c>
      <x:c r="C359" s="18" t="str">
        <x:v>EMP013</x:v>
      </x:c>
      <x:c r="D359" s="18" t="str">
        <x:v>CY2025Q3</x:v>
      </x:c>
      <x:c r="E359" s="18" t="str">
        <x:v>BR005</x:v>
      </x:c>
      <x:c r="F359" s="20" t="n">
        <x:v>45867.5</x:v>
      </x:c>
      <x:c r="G359" s="18" t="str">
        <x:v>Funded</x:v>
      </x:c>
      <x:c r="H359" s="23" t="n">
        <x:v>44000</x:v>
      </x:c>
      <x:c r="I359" s="18" t="str">
        <x:v>Debt consolidation loan</x:v>
      </x:c>
      <x:c r="J359" s="18" t="str">
        <x:v>Existing customer</x:v>
      </x:c>
      <x:c r="K359" s="20" t="n">
        <x:v>45875.5</x:v>
      </x:c>
    </x:row>
    <x:row r="360" ht="15" hidden="0" customHeight="1">
      <x:c r="A360" s="18" t="str">
        <x:v>LN000359</x:v>
      </x:c>
      <x:c r="B360" s="18" t="str">
        <x:v>LOS-SYN-0000359</x:v>
      </x:c>
      <x:c r="C360" s="18" t="str">
        <x:v>EMP013</x:v>
      </x:c>
      <x:c r="D360" s="18" t="str">
        <x:v>CY2025Q3</x:v>
      </x:c>
      <x:c r="E360" s="18" t="str">
        <x:v>BR005</x:v>
      </x:c>
      <x:c r="F360" s="20" t="n">
        <x:v>45909.5</x:v>
      </x:c>
      <x:c r="G360" s="18" t="str">
        <x:v>Funded</x:v>
      </x:c>
      <x:c r="H360" s="23" t="n">
        <x:v>38500</x:v>
      </x:c>
      <x:c r="I360" s="18" t="str">
        <x:v>Debt consolidation loan</x:v>
      </x:c>
      <x:c r="J360" s="18" t="str">
        <x:v>Existing customer</x:v>
      </x:c>
      <x:c r="K360" s="20" t="n">
        <x:v>45919.5</x:v>
      </x:c>
    </x:row>
    <x:row r="361" ht="15" hidden="0" customHeight="1">
      <x:c r="A361" s="18" t="str">
        <x:v>LN000360</x:v>
      </x:c>
      <x:c r="B361" s="18" t="str">
        <x:v>LOS-SYN-0000360</x:v>
      </x:c>
      <x:c r="C361" s="18" t="str">
        <x:v>EMP013</x:v>
      </x:c>
      <x:c r="D361" s="18" t="str">
        <x:v>CY2025Q3</x:v>
      </x:c>
      <x:c r="E361" s="18" t="str">
        <x:v>BR005</x:v>
      </x:c>
      <x:c r="F361" s="20" t="n">
        <x:v>45888.5</x:v>
      </x:c>
      <x:c r="G361" s="18" t="str">
        <x:v>Funded</x:v>
      </x:c>
      <x:c r="H361" s="23" t="n">
        <x:v>28000</x:v>
      </x:c>
      <x:c r="I361" s="18" t="str">
        <x:v>Home improvement loan</x:v>
      </x:c>
      <x:c r="J361" s="18" t="str">
        <x:v>Referral</x:v>
      </x:c>
      <x:c r="K361" s="20" t="n">
        <x:v>45896.5</x:v>
      </x:c>
    </x:row>
    <x:row r="362" ht="15" hidden="0" customHeight="1">
      <x:c r="A362" s="18" t="str">
        <x:v>LN000361</x:v>
      </x:c>
      <x:c r="B362" s="18" t="str">
        <x:v>LOS-SYN-0000361</x:v>
      </x:c>
      <x:c r="C362" s="18" t="str">
        <x:v>EMP014</x:v>
      </x:c>
      <x:c r="D362" s="18" t="str">
        <x:v>CY2025Q3</x:v>
      </x:c>
      <x:c r="E362" s="18" t="str">
        <x:v>BR006</x:v>
      </x:c>
      <x:c r="F362" s="20" t="n">
        <x:v>45846.5</x:v>
      </x:c>
      <x:c r="G362" s="18" t="str">
        <x:v>Funded</x:v>
      </x:c>
      <x:c r="H362" s="23" t="n">
        <x:v>54500</x:v>
      </x:c>
      <x:c r="I362" s="18" t="str">
        <x:v>Home improvement loan</x:v>
      </x:c>
      <x:c r="J362" s="18" t="str">
        <x:v>New customer</x:v>
      </x:c>
      <x:c r="K362" s="20" t="n">
        <x:v>45852.5</x:v>
      </x:c>
    </x:row>
    <x:row r="363" ht="15" hidden="0" customHeight="1">
      <x:c r="A363" s="18" t="str">
        <x:v>LN000362</x:v>
      </x:c>
      <x:c r="B363" s="18" t="str">
        <x:v>LOS-SYN-0000362</x:v>
      </x:c>
      <x:c r="C363" s="18" t="str">
        <x:v>EMP014</x:v>
      </x:c>
      <x:c r="D363" s="18" t="str">
        <x:v>CY2025Q3</x:v>
      </x:c>
      <x:c r="E363" s="18" t="str">
        <x:v>BR006</x:v>
      </x:c>
      <x:c r="F363" s="20" t="n">
        <x:v>45899.5</x:v>
      </x:c>
      <x:c r="G363" s="18" t="str">
        <x:v>Funded</x:v>
      </x:c>
      <x:c r="H363" s="23" t="n">
        <x:v>38000</x:v>
      </x:c>
      <x:c r="I363" s="18" t="str">
        <x:v>Personal loan</x:v>
      </x:c>
      <x:c r="J363" s="18" t="str">
        <x:v>New customer</x:v>
      </x:c>
      <x:c r="K363" s="20" t="n">
        <x:v>45910.5</x:v>
      </x:c>
    </x:row>
    <x:row r="364" ht="15" hidden="0" customHeight="1">
      <x:c r="A364" s="18" t="str">
        <x:v>LN000363</x:v>
      </x:c>
      <x:c r="B364" s="18" t="str">
        <x:v>LOS-SYN-0000363</x:v>
      </x:c>
      <x:c r="C364" s="18" t="str">
        <x:v>EMP014</x:v>
      </x:c>
      <x:c r="D364" s="18" t="str">
        <x:v>CY2025Q3</x:v>
      </x:c>
      <x:c r="E364" s="18" t="str">
        <x:v>BR006</x:v>
      </x:c>
      <x:c r="F364" s="20" t="n">
        <x:v>45921.5</x:v>
      </x:c>
      <x:c r="G364" s="18" t="str">
        <x:v>Funded</x:v>
      </x:c>
      <x:c r="H364" s="23" t="n">
        <x:v>55000</x:v>
      </x:c>
      <x:c r="I364" s="18" t="str">
        <x:v>Personal loan</x:v>
      </x:c>
      <x:c r="J364" s="18" t="str">
        <x:v>Referral</x:v>
      </x:c>
      <x:c r="K364" s="20" t="n">
        <x:v>45929.5</x:v>
      </x:c>
    </x:row>
    <x:row r="365" ht="15" hidden="0" customHeight="1">
      <x:c r="A365" s="18" t="str">
        <x:v>LN000364</x:v>
      </x:c>
      <x:c r="B365" s="18" t="str">
        <x:v>LOS-SYN-0000364</x:v>
      </x:c>
      <x:c r="C365" s="18" t="str">
        <x:v>EMP014</x:v>
      </x:c>
      <x:c r="D365" s="18" t="str">
        <x:v>CY2025Q3</x:v>
      </x:c>
      <x:c r="E365" s="18" t="str">
        <x:v>BR006</x:v>
      </x:c>
      <x:c r="F365" s="20" t="n">
        <x:v>45852.5</x:v>
      </x:c>
      <x:c r="G365" s="18" t="str">
        <x:v>Funded</x:v>
      </x:c>
      <x:c r="H365" s="23" t="n">
        <x:v>52500</x:v>
      </x:c>
      <x:c r="I365" s="18" t="str">
        <x:v>Debt consolidation loan</x:v>
      </x:c>
      <x:c r="J365" s="18" t="str">
        <x:v>New customer</x:v>
      </x:c>
      <x:c r="K365" s="20" t="n">
        <x:v>45856.5</x:v>
      </x:c>
    </x:row>
    <x:row r="366" ht="15" hidden="0" customHeight="1">
      <x:c r="A366" s="18" t="str">
        <x:v>LN000365</x:v>
      </x:c>
      <x:c r="B366" s="18" t="str">
        <x:v>LOS-SYN-0000365</x:v>
      </x:c>
      <x:c r="C366" s="18" t="str">
        <x:v>EMP014</x:v>
      </x:c>
      <x:c r="D366" s="18" t="str">
        <x:v>CY2025Q3</x:v>
      </x:c>
      <x:c r="E366" s="18" t="str">
        <x:v>BR006</x:v>
      </x:c>
      <x:c r="F366" s="20" t="n">
        <x:v>45885.5</x:v>
      </x:c>
      <x:c r="G366" s="18" t="str">
        <x:v>Funded</x:v>
      </x:c>
      <x:c r="H366" s="23" t="n">
        <x:v>42500</x:v>
      </x:c>
      <x:c r="I366" s="18" t="str">
        <x:v>Debt consolidation loan</x:v>
      </x:c>
      <x:c r="J366" s="18" t="str">
        <x:v>Existing customer</x:v>
      </x:c>
      <x:c r="K366" s="20" t="n">
        <x:v>45890.5</x:v>
      </x:c>
    </x:row>
    <x:row r="367" ht="15" hidden="0" customHeight="1">
      <x:c r="A367" s="18" t="str">
        <x:v>LN000366</x:v>
      </x:c>
      <x:c r="B367" s="18" t="str">
        <x:v>LOS-SYN-0000366</x:v>
      </x:c>
      <x:c r="C367" s="18" t="str">
        <x:v>EMP014</x:v>
      </x:c>
      <x:c r="D367" s="18" t="str">
        <x:v>CY2025Q3</x:v>
      </x:c>
      <x:c r="E367" s="18" t="str">
        <x:v>BR006</x:v>
      </x:c>
      <x:c r="F367" s="20" t="n">
        <x:v>45846.5</x:v>
      </x:c>
      <x:c r="G367" s="18" t="str">
        <x:v>Funded</x:v>
      </x:c>
      <x:c r="H367" s="23" t="n">
        <x:v>41500</x:v>
      </x:c>
      <x:c r="I367" s="18" t="str">
        <x:v>Home improvement loan</x:v>
      </x:c>
      <x:c r="J367" s="18" t="str">
        <x:v>New customer</x:v>
      </x:c>
      <x:c r="K367" s="20" t="n">
        <x:v>45854.5</x:v>
      </x:c>
    </x:row>
    <x:row r="368" ht="15" hidden="0" customHeight="1">
      <x:c r="A368" s="18" t="str">
        <x:v>LN000367</x:v>
      </x:c>
      <x:c r="B368" s="18" t="str">
        <x:v>LOS-SYN-0000367</x:v>
      </x:c>
      <x:c r="C368" s="18" t="str">
        <x:v>EMP014</x:v>
      </x:c>
      <x:c r="D368" s="18" t="str">
        <x:v>CY2025Q3</x:v>
      </x:c>
      <x:c r="E368" s="18" t="str">
        <x:v>BR006</x:v>
      </x:c>
      <x:c r="F368" s="20" t="n">
        <x:v>45875.5</x:v>
      </x:c>
      <x:c r="G368" s="18" t="str">
        <x:v>Funded</x:v>
      </x:c>
      <x:c r="H368" s="23" t="n">
        <x:v>48000</x:v>
      </x:c>
      <x:c r="I368" s="18" t="str">
        <x:v>Personal loan</x:v>
      </x:c>
      <x:c r="J368" s="18" t="str">
        <x:v>Referral</x:v>
      </x:c>
      <x:c r="K368" s="20" t="n">
        <x:v>45882.5</x:v>
      </x:c>
    </x:row>
    <x:row r="369" ht="15" hidden="0" customHeight="1">
      <x:c r="A369" s="18" t="str">
        <x:v>LN000368</x:v>
      </x:c>
      <x:c r="B369" s="18" t="str">
        <x:v>LOS-SYN-0000368</x:v>
      </x:c>
      <x:c r="C369" s="18" t="str">
        <x:v>EMP014</x:v>
      </x:c>
      <x:c r="D369" s="18" t="str">
        <x:v>CY2025Q3</x:v>
      </x:c>
      <x:c r="E369" s="18" t="str">
        <x:v>BR006</x:v>
      </x:c>
      <x:c r="F369" s="20" t="n">
        <x:v>45889.5</x:v>
      </x:c>
      <x:c r="G369" s="18" t="str">
        <x:v>Funded</x:v>
      </x:c>
      <x:c r="H369" s="23" t="n">
        <x:v>37000</x:v>
      </x:c>
      <x:c r="I369" s="18" t="str">
        <x:v>Debt consolidation loan</x:v>
      </x:c>
      <x:c r="J369" s="18" t="str">
        <x:v>New customer</x:v>
      </x:c>
      <x:c r="K369" s="20" t="n">
        <x:v>45896.5</x:v>
      </x:c>
    </x:row>
    <x:row r="370" ht="15" hidden="0" customHeight="1">
      <x:c r="A370" s="18" t="str">
        <x:v>LN000369</x:v>
      </x:c>
      <x:c r="B370" s="18" t="str">
        <x:v>LOS-SYN-0000369</x:v>
      </x:c>
      <x:c r="C370" s="18" t="str">
        <x:v>EMP014</x:v>
      </x:c>
      <x:c r="D370" s="18" t="str">
        <x:v>CY2025Q3</x:v>
      </x:c>
      <x:c r="E370" s="18" t="str">
        <x:v>BR006</x:v>
      </x:c>
      <x:c r="F370" s="20" t="n">
        <x:v>45876.5</x:v>
      </x:c>
      <x:c r="G370" s="18" t="str">
        <x:v>Funded</x:v>
      </x:c>
      <x:c r="H370" s="23" t="n">
        <x:v>42000</x:v>
      </x:c>
      <x:c r="I370" s="18" t="str">
        <x:v>Home improvement loan</x:v>
      </x:c>
      <x:c r="J370" s="18" t="str">
        <x:v>New customer</x:v>
      </x:c>
      <x:c r="K370" s="20" t="n">
        <x:v>45882.5</x:v>
      </x:c>
    </x:row>
    <x:row r="371" ht="15" hidden="0" customHeight="1">
      <x:c r="A371" s="18" t="str">
        <x:v>LN000370</x:v>
      </x:c>
      <x:c r="B371" s="18" t="str">
        <x:v>LOS-SYN-0000370</x:v>
      </x:c>
      <x:c r="C371" s="18" t="str">
        <x:v>EMP014</x:v>
      </x:c>
      <x:c r="D371" s="18" t="str">
        <x:v>CY2025Q3</x:v>
      </x:c>
      <x:c r="E371" s="18" t="str">
        <x:v>BR006</x:v>
      </x:c>
      <x:c r="F371" s="20" t="n">
        <x:v>45921.5</x:v>
      </x:c>
      <x:c r="G371" s="18" t="str">
        <x:v>Cancelled</x:v>
      </x:c>
      <x:c r="H371" s="23" t="n">
        <x:v>55000</x:v>
      </x:c>
      <x:c r="I371" s="18" t="str">
        <x:v>Personal loan</x:v>
      </x:c>
      <x:c r="J371" s="18" t="str">
        <x:v>New customer</x:v>
      </x:c>
      <x:c r="K371" s="20"/>
    </x:row>
    <x:row r="372" ht="15" hidden="0" customHeight="1">
      <x:c r="A372" s="18" t="str">
        <x:v>LN000371</x:v>
      </x:c>
      <x:c r="B372" s="18" t="str">
        <x:v>LOS-SYN-0000371</x:v>
      </x:c>
      <x:c r="C372" s="18" t="str">
        <x:v>EMP015</x:v>
      </x:c>
      <x:c r="D372" s="18" t="str">
        <x:v>CY2025Q3</x:v>
      </x:c>
      <x:c r="E372" s="18" t="str">
        <x:v>BR006</x:v>
      </x:c>
      <x:c r="F372" s="20" t="n">
        <x:v>45890.5</x:v>
      </x:c>
      <x:c r="G372" s="18" t="str">
        <x:v>Funded</x:v>
      </x:c>
      <x:c r="H372" s="23" t="n">
        <x:v>49500</x:v>
      </x:c>
      <x:c r="I372" s="18" t="str">
        <x:v>Home improvement loan</x:v>
      </x:c>
      <x:c r="J372" s="18" t="str">
        <x:v>Existing customer</x:v>
      </x:c>
      <x:c r="K372" s="20" t="n">
        <x:v>45894.5</x:v>
      </x:c>
    </x:row>
    <x:row r="373" ht="15" hidden="0" customHeight="1">
      <x:c r="A373" s="18" t="str">
        <x:v>LN000372</x:v>
      </x:c>
      <x:c r="B373" s="18" t="str">
        <x:v>LOS-SYN-0000372</x:v>
      </x:c>
      <x:c r="C373" s="18" t="str">
        <x:v>EMP015</x:v>
      </x:c>
      <x:c r="D373" s="18" t="str">
        <x:v>CY2025Q3</x:v>
      </x:c>
      <x:c r="E373" s="18" t="str">
        <x:v>BR006</x:v>
      </x:c>
      <x:c r="F373" s="20" t="n">
        <x:v>45897.5</x:v>
      </x:c>
      <x:c r="G373" s="18" t="str">
        <x:v>Funded</x:v>
      </x:c>
      <x:c r="H373" s="23" t="n">
        <x:v>49000</x:v>
      </x:c>
      <x:c r="I373" s="18" t="str">
        <x:v>Personal loan</x:v>
      </x:c>
      <x:c r="J373" s="18" t="str">
        <x:v>New customer</x:v>
      </x:c>
      <x:c r="K373" s="20" t="n">
        <x:v>45907.5</x:v>
      </x:c>
    </x:row>
    <x:row r="374" ht="15" hidden="0" customHeight="1">
      <x:c r="A374" s="18" t="str">
        <x:v>LN000373</x:v>
      </x:c>
      <x:c r="B374" s="18" t="str">
        <x:v>LOS-SYN-0000373</x:v>
      </x:c>
      <x:c r="C374" s="18" t="str">
        <x:v>EMP015</x:v>
      </x:c>
      <x:c r="D374" s="18" t="str">
        <x:v>CY2025Q3</x:v>
      </x:c>
      <x:c r="E374" s="18" t="str">
        <x:v>BR006</x:v>
      </x:c>
      <x:c r="F374" s="20" t="n">
        <x:v>45882.5</x:v>
      </x:c>
      <x:c r="G374" s="18" t="str">
        <x:v>Funded</x:v>
      </x:c>
      <x:c r="H374" s="23" t="n">
        <x:v>39500</x:v>
      </x:c>
      <x:c r="I374" s="18" t="str">
        <x:v>Home improvement loan</x:v>
      </x:c>
      <x:c r="J374" s="18" t="str">
        <x:v>Referral</x:v>
      </x:c>
      <x:c r="K374" s="20" t="n">
        <x:v>45885.5</x:v>
      </x:c>
    </x:row>
    <x:row r="375" ht="15" hidden="0" customHeight="1">
      <x:c r="A375" s="18" t="str">
        <x:v>LN000374</x:v>
      </x:c>
      <x:c r="B375" s="18" t="str">
        <x:v>LOS-SYN-0000374</x:v>
      </x:c>
      <x:c r="C375" s="18" t="str">
        <x:v>EMP015</x:v>
      </x:c>
      <x:c r="D375" s="18" t="str">
        <x:v>CY2025Q3</x:v>
      </x:c>
      <x:c r="E375" s="18" t="str">
        <x:v>BR006</x:v>
      </x:c>
      <x:c r="F375" s="20" t="n">
        <x:v>45904.5</x:v>
      </x:c>
      <x:c r="G375" s="18" t="str">
        <x:v>Funded</x:v>
      </x:c>
      <x:c r="H375" s="23" t="n">
        <x:v>39500</x:v>
      </x:c>
      <x:c r="I375" s="18" t="str">
        <x:v>Personal loan</x:v>
      </x:c>
      <x:c r="J375" s="18" t="str">
        <x:v>Existing customer</x:v>
      </x:c>
      <x:c r="K375" s="20" t="n">
        <x:v>45908.5</x:v>
      </x:c>
    </x:row>
    <x:row r="376" ht="15" hidden="0" customHeight="1">
      <x:c r="A376" s="18" t="str">
        <x:v>LN000375</x:v>
      </x:c>
      <x:c r="B376" s="18" t="str">
        <x:v>LOS-SYN-0000375</x:v>
      </x:c>
      <x:c r="C376" s="18" t="str">
        <x:v>EMP015</x:v>
      </x:c>
      <x:c r="D376" s="18" t="str">
        <x:v>CY2025Q3</x:v>
      </x:c>
      <x:c r="E376" s="18" t="str">
        <x:v>BR006</x:v>
      </x:c>
      <x:c r="F376" s="20" t="n">
        <x:v>45873.5</x:v>
      </x:c>
      <x:c r="G376" s="18" t="str">
        <x:v>Funded</x:v>
      </x:c>
      <x:c r="H376" s="23" t="n">
        <x:v>53000</x:v>
      </x:c>
      <x:c r="I376" s="18" t="str">
        <x:v>Auto loan</x:v>
      </x:c>
      <x:c r="J376" s="18" t="str">
        <x:v>New customer</x:v>
      </x:c>
      <x:c r="K376" s="20" t="n">
        <x:v>45877.5</x:v>
      </x:c>
    </x:row>
    <x:row r="377" ht="15" hidden="0" customHeight="1">
      <x:c r="A377" s="18" t="str">
        <x:v>LN000376</x:v>
      </x:c>
      <x:c r="B377" s="18" t="str">
        <x:v>LOS-SYN-0000376</x:v>
      </x:c>
      <x:c r="C377" s="18" t="str">
        <x:v>EMP015</x:v>
      </x:c>
      <x:c r="D377" s="18" t="str">
        <x:v>CY2025Q3</x:v>
      </x:c>
      <x:c r="E377" s="18" t="str">
        <x:v>BR006</x:v>
      </x:c>
      <x:c r="F377" s="20" t="n">
        <x:v>45851.5</x:v>
      </x:c>
      <x:c r="G377" s="18" t="str">
        <x:v>Funded</x:v>
      </x:c>
      <x:c r="H377" s="23" t="n">
        <x:v>38500</x:v>
      </x:c>
      <x:c r="I377" s="18" t="str">
        <x:v>Auto loan</x:v>
      </x:c>
      <x:c r="J377" s="18" t="str">
        <x:v>Referral</x:v>
      </x:c>
      <x:c r="K377" s="20" t="n">
        <x:v>45857.5</x:v>
      </x:c>
    </x:row>
    <x:row r="378" ht="15" hidden="0" customHeight="1">
      <x:c r="A378" s="18" t="str">
        <x:v>LN000377</x:v>
      </x:c>
      <x:c r="B378" s="18" t="str">
        <x:v>LOS-SYN-0000377</x:v>
      </x:c>
      <x:c r="C378" s="18" t="str">
        <x:v>EMP001</x:v>
      </x:c>
      <x:c r="D378" s="18" t="str">
        <x:v>CY2025Q4</x:v>
      </x:c>
      <x:c r="E378" s="18" t="str">
        <x:v>BR001</x:v>
      </x:c>
      <x:c r="F378" s="20" t="n">
        <x:v>46000.5</x:v>
      </x:c>
      <x:c r="G378" s="18" t="str">
        <x:v>Funded</x:v>
      </x:c>
      <x:c r="H378" s="23" t="n">
        <x:v>41000</x:v>
      </x:c>
      <x:c r="I378" s="18" t="str">
        <x:v>Debt consolidation loan</x:v>
      </x:c>
      <x:c r="J378" s="18" t="str">
        <x:v>Existing customer</x:v>
      </x:c>
      <x:c r="K378" s="20" t="n">
        <x:v>46012.5</x:v>
      </x:c>
    </x:row>
    <x:row r="379" ht="15" hidden="0" customHeight="1">
      <x:c r="A379" s="18" t="str">
        <x:v>LN000378</x:v>
      </x:c>
      <x:c r="B379" s="18" t="str">
        <x:v>LOS-SYN-0000378</x:v>
      </x:c>
      <x:c r="C379" s="18" t="str">
        <x:v>EMP001</x:v>
      </x:c>
      <x:c r="D379" s="18" t="str">
        <x:v>CY2025Q4</x:v>
      </x:c>
      <x:c r="E379" s="18" t="str">
        <x:v>BR001</x:v>
      </x:c>
      <x:c r="F379" s="20" t="n">
        <x:v>45957.5</x:v>
      </x:c>
      <x:c r="G379" s="18" t="str">
        <x:v>Funded</x:v>
      </x:c>
      <x:c r="H379" s="23" t="n">
        <x:v>33500</x:v>
      </x:c>
      <x:c r="I379" s="18" t="str">
        <x:v>Personal loan</x:v>
      </x:c>
      <x:c r="J379" s="18" t="str">
        <x:v>Existing customer</x:v>
      </x:c>
      <x:c r="K379" s="20" t="n">
        <x:v>45965.5</x:v>
      </x:c>
    </x:row>
    <x:row r="380" ht="15" hidden="0" customHeight="1">
      <x:c r="A380" s="18" t="str">
        <x:v>LN000379</x:v>
      </x:c>
      <x:c r="B380" s="18" t="str">
        <x:v>LOS-SYN-0000379</x:v>
      </x:c>
      <x:c r="C380" s="18" t="str">
        <x:v>EMP001</x:v>
      </x:c>
      <x:c r="D380" s="18" t="str">
        <x:v>CY2025Q4</x:v>
      </x:c>
      <x:c r="E380" s="18" t="str">
        <x:v>BR001</x:v>
      </x:c>
      <x:c r="F380" s="20" t="n">
        <x:v>45952.5</x:v>
      </x:c>
      <x:c r="G380" s="18" t="str">
        <x:v>Funded</x:v>
      </x:c>
      <x:c r="H380" s="23" t="n">
        <x:v>43500</x:v>
      </x:c>
      <x:c r="I380" s="18" t="str">
        <x:v>Auto loan</x:v>
      </x:c>
      <x:c r="J380" s="18" t="str">
        <x:v>Referral</x:v>
      </x:c>
      <x:c r="K380" s="20" t="n">
        <x:v>45961.5</x:v>
      </x:c>
    </x:row>
    <x:row r="381" ht="15" hidden="0" customHeight="1">
      <x:c r="A381" s="18" t="str">
        <x:v>LN000380</x:v>
      </x:c>
      <x:c r="B381" s="18" t="str">
        <x:v>LOS-SYN-0000380</x:v>
      </x:c>
      <x:c r="C381" s="18" t="str">
        <x:v>EMP001</x:v>
      </x:c>
      <x:c r="D381" s="18" t="str">
        <x:v>CY2025Q4</x:v>
      </x:c>
      <x:c r="E381" s="18" t="str">
        <x:v>BR001</x:v>
      </x:c>
      <x:c r="F381" s="20" t="n">
        <x:v>45935.5</x:v>
      </x:c>
      <x:c r="G381" s="18" t="str">
        <x:v>Funded</x:v>
      </x:c>
      <x:c r="H381" s="23" t="n">
        <x:v>42500</x:v>
      </x:c>
      <x:c r="I381" s="18" t="str">
        <x:v>Personal loan</x:v>
      </x:c>
      <x:c r="J381" s="18" t="str">
        <x:v>Existing customer</x:v>
      </x:c>
      <x:c r="K381" s="20" t="n">
        <x:v>45947.5</x:v>
      </x:c>
    </x:row>
    <x:row r="382" ht="15" hidden="0" customHeight="1">
      <x:c r="A382" s="18" t="str">
        <x:v>LN000381</x:v>
      </x:c>
      <x:c r="B382" s="18" t="str">
        <x:v>LOS-SYN-0000381</x:v>
      </x:c>
      <x:c r="C382" s="18" t="str">
        <x:v>EMP001</x:v>
      </x:c>
      <x:c r="D382" s="18" t="str">
        <x:v>CY2025Q4</x:v>
      </x:c>
      <x:c r="E382" s="18" t="str">
        <x:v>BR001</x:v>
      </x:c>
      <x:c r="F382" s="20" t="n">
        <x:v>45990.5</x:v>
      </x:c>
      <x:c r="G382" s="18" t="str">
        <x:v>Funded</x:v>
      </x:c>
      <x:c r="H382" s="23" t="n">
        <x:v>40500</x:v>
      </x:c>
      <x:c r="I382" s="18" t="str">
        <x:v>Debt consolidation loan</x:v>
      </x:c>
      <x:c r="J382" s="18" t="str">
        <x:v>New customer</x:v>
      </x:c>
      <x:c r="K382" s="20" t="n">
        <x:v>45995.5</x:v>
      </x:c>
    </x:row>
    <x:row r="383" ht="15" hidden="0" customHeight="1">
      <x:c r="A383" s="18" t="str">
        <x:v>LN000382</x:v>
      </x:c>
      <x:c r="B383" s="18" t="str">
        <x:v>LOS-SYN-0000382</x:v>
      </x:c>
      <x:c r="C383" s="18" t="str">
        <x:v>EMP001</x:v>
      </x:c>
      <x:c r="D383" s="18" t="str">
        <x:v>CY2025Q4</x:v>
      </x:c>
      <x:c r="E383" s="18" t="str">
        <x:v>BR001</x:v>
      </x:c>
      <x:c r="F383" s="20" t="n">
        <x:v>45956.5</x:v>
      </x:c>
      <x:c r="G383" s="18" t="str">
        <x:v>Funded</x:v>
      </x:c>
      <x:c r="H383" s="23" t="n">
        <x:v>48000</x:v>
      </x:c>
      <x:c r="I383" s="18" t="str">
        <x:v>Home improvement loan</x:v>
      </x:c>
      <x:c r="J383" s="18" t="str">
        <x:v>New customer</x:v>
      </x:c>
      <x:c r="K383" s="20" t="n">
        <x:v>45968.5</x:v>
      </x:c>
    </x:row>
    <x:row r="384" ht="15" hidden="0" customHeight="1">
      <x:c r="A384" s="18" t="str">
        <x:v>LN000383</x:v>
      </x:c>
      <x:c r="B384" s="18" t="str">
        <x:v>LOS-SYN-0000383</x:v>
      </x:c>
      <x:c r="C384" s="18" t="str">
        <x:v>EMP001</x:v>
      </x:c>
      <x:c r="D384" s="18" t="str">
        <x:v>CY2025Q4</x:v>
      </x:c>
      <x:c r="E384" s="18" t="str">
        <x:v>BR001</x:v>
      </x:c>
      <x:c r="F384" s="20" t="n">
        <x:v>45952.5</x:v>
      </x:c>
      <x:c r="G384" s="18" t="str">
        <x:v>Funded</x:v>
      </x:c>
      <x:c r="H384" s="23" t="n">
        <x:v>41000</x:v>
      </x:c>
      <x:c r="I384" s="18" t="str">
        <x:v>Debt consolidation loan</x:v>
      </x:c>
      <x:c r="J384" s="18" t="str">
        <x:v>New customer</x:v>
      </x:c>
      <x:c r="K384" s="20" t="n">
        <x:v>45960.5</x:v>
      </x:c>
    </x:row>
    <x:row r="385" ht="15" hidden="0" customHeight="1">
      <x:c r="A385" s="18" t="str">
        <x:v>LN000384</x:v>
      </x:c>
      <x:c r="B385" s="18" t="str">
        <x:v>LOS-SYN-0000384</x:v>
      </x:c>
      <x:c r="C385" s="18" t="str">
        <x:v>EMP001</x:v>
      </x:c>
      <x:c r="D385" s="18" t="str">
        <x:v>CY2025Q4</x:v>
      </x:c>
      <x:c r="E385" s="18" t="str">
        <x:v>BR001</x:v>
      </x:c>
      <x:c r="F385" s="20" t="n">
        <x:v>46010.5</x:v>
      </x:c>
      <x:c r="G385" s="18" t="str">
        <x:v>Funded</x:v>
      </x:c>
      <x:c r="H385" s="23" t="n">
        <x:v>46500</x:v>
      </x:c>
      <x:c r="I385" s="18" t="str">
        <x:v>Auto loan</x:v>
      </x:c>
      <x:c r="J385" s="18" t="str">
        <x:v>Existing customer</x:v>
      </x:c>
      <x:c r="K385" s="20" t="n">
        <x:v>46022.5</x:v>
      </x:c>
    </x:row>
    <x:row r="386" ht="15" hidden="0" customHeight="1">
      <x:c r="A386" s="18" t="str">
        <x:v>LN000385</x:v>
      </x:c>
      <x:c r="B386" s="18" t="str">
        <x:v>LOS-SYN-0000385</x:v>
      </x:c>
      <x:c r="C386" s="18" t="str">
        <x:v>EMP001</x:v>
      </x:c>
      <x:c r="D386" s="18" t="str">
        <x:v>CY2025Q4</x:v>
      </x:c>
      <x:c r="E386" s="18" t="str">
        <x:v>BR001</x:v>
      </x:c>
      <x:c r="F386" s="20" t="n">
        <x:v>46005.5</x:v>
      </x:c>
      <x:c r="G386" s="18" t="str">
        <x:v>Funded</x:v>
      </x:c>
      <x:c r="H386" s="23" t="n">
        <x:v>46500</x:v>
      </x:c>
      <x:c r="I386" s="18" t="str">
        <x:v>Debt consolidation loan</x:v>
      </x:c>
      <x:c r="J386" s="18" t="str">
        <x:v>Referral</x:v>
      </x:c>
      <x:c r="K386" s="20" t="n">
        <x:v>46008.5</x:v>
      </x:c>
    </x:row>
    <x:row r="387" ht="15" hidden="0" customHeight="1">
      <x:c r="A387" s="18" t="str">
        <x:v>LN000386</x:v>
      </x:c>
      <x:c r="B387" s="18" t="str">
        <x:v>LOS-SYN-0000386</x:v>
      </x:c>
      <x:c r="C387" s="18" t="str">
        <x:v>EMP001</x:v>
      </x:c>
      <x:c r="D387" s="18" t="str">
        <x:v>CY2025Q4</x:v>
      </x:c>
      <x:c r="E387" s="18" t="str">
        <x:v>BR001</x:v>
      </x:c>
      <x:c r="F387" s="20" t="n">
        <x:v>46013.5</x:v>
      </x:c>
      <x:c r="G387" s="18" t="str">
        <x:v>Funded</x:v>
      </x:c>
      <x:c r="H387" s="23" t="n">
        <x:v>40000</x:v>
      </x:c>
      <x:c r="I387" s="18" t="str">
        <x:v>Personal loan</x:v>
      </x:c>
      <x:c r="J387" s="18" t="str">
        <x:v>Existing customer</x:v>
      </x:c>
      <x:c r="K387" s="20" t="n">
        <x:v>46017.5</x:v>
      </x:c>
    </x:row>
    <x:row r="388" ht="15" hidden="0" customHeight="1">
      <x:c r="A388" s="18" t="str">
        <x:v>LN000387</x:v>
      </x:c>
      <x:c r="B388" s="18" t="str">
        <x:v>LOS-SYN-0000387</x:v>
      </x:c>
      <x:c r="C388" s="18" t="str">
        <x:v>EMP001</x:v>
      </x:c>
      <x:c r="D388" s="18" t="str">
        <x:v>CY2025Q4</x:v>
      </x:c>
      <x:c r="E388" s="18" t="str">
        <x:v>BR001</x:v>
      </x:c>
      <x:c r="F388" s="20" t="n">
        <x:v>45958.5</x:v>
      </x:c>
      <x:c r="G388" s="18" t="str">
        <x:v>Cancelled</x:v>
      </x:c>
      <x:c r="H388" s="23" t="n">
        <x:v>50000</x:v>
      </x:c>
      <x:c r="I388" s="18" t="str">
        <x:v>Personal loan</x:v>
      </x:c>
      <x:c r="J388" s="18" t="str">
        <x:v>New customer</x:v>
      </x:c>
      <x:c r="K388" s="20"/>
    </x:row>
    <x:row r="389" ht="15" hidden="0" customHeight="1">
      <x:c r="A389" s="18" t="str">
        <x:v>LN000388</x:v>
      </x:c>
      <x:c r="B389" s="18" t="str">
        <x:v>LOS-SYN-0000388</x:v>
      </x:c>
      <x:c r="C389" s="18" t="str">
        <x:v>EMP002</x:v>
      </x:c>
      <x:c r="D389" s="18" t="str">
        <x:v>CY2025Q4</x:v>
      </x:c>
      <x:c r="E389" s="18" t="str">
        <x:v>BR001</x:v>
      </x:c>
      <x:c r="F389" s="20" t="n">
        <x:v>45962.5</x:v>
      </x:c>
      <x:c r="G389" s="18" t="str">
        <x:v>Funded</x:v>
      </x:c>
      <x:c r="H389" s="23" t="n">
        <x:v>29000</x:v>
      </x:c>
      <x:c r="I389" s="18" t="str">
        <x:v>Auto loan</x:v>
      </x:c>
      <x:c r="J389" s="18" t="str">
        <x:v>New customer</x:v>
      </x:c>
      <x:c r="K389" s="20" t="n">
        <x:v>45971.5</x:v>
      </x:c>
    </x:row>
    <x:row r="390" ht="15" hidden="0" customHeight="1">
      <x:c r="A390" s="18" t="str">
        <x:v>LN000389</x:v>
      </x:c>
      <x:c r="B390" s="18" t="str">
        <x:v>LOS-SYN-0000389</x:v>
      </x:c>
      <x:c r="C390" s="18" t="str">
        <x:v>EMP002</x:v>
      </x:c>
      <x:c r="D390" s="18" t="str">
        <x:v>CY2025Q4</x:v>
      </x:c>
      <x:c r="E390" s="18" t="str">
        <x:v>BR001</x:v>
      </x:c>
      <x:c r="F390" s="20" t="n">
        <x:v>45948.5</x:v>
      </x:c>
      <x:c r="G390" s="18" t="str">
        <x:v>Funded</x:v>
      </x:c>
      <x:c r="H390" s="23" t="n">
        <x:v>34500</x:v>
      </x:c>
      <x:c r="I390" s="18" t="str">
        <x:v>Personal loan</x:v>
      </x:c>
      <x:c r="J390" s="18" t="str">
        <x:v>Existing customer</x:v>
      </x:c>
      <x:c r="K390" s="20" t="n">
        <x:v>45953.5</x:v>
      </x:c>
    </x:row>
    <x:row r="391" ht="15" hidden="0" customHeight="1">
      <x:c r="A391" s="18" t="str">
        <x:v>LN000390</x:v>
      </x:c>
      <x:c r="B391" s="18" t="str">
        <x:v>LOS-SYN-0000390</x:v>
      </x:c>
      <x:c r="C391" s="18" t="str">
        <x:v>EMP002</x:v>
      </x:c>
      <x:c r="D391" s="18" t="str">
        <x:v>CY2025Q4</x:v>
      </x:c>
      <x:c r="E391" s="18" t="str">
        <x:v>BR001</x:v>
      </x:c>
      <x:c r="F391" s="20" t="n">
        <x:v>45963.5</x:v>
      </x:c>
      <x:c r="G391" s="18" t="str">
        <x:v>Funded</x:v>
      </x:c>
      <x:c r="H391" s="23" t="n">
        <x:v>44000</x:v>
      </x:c>
      <x:c r="I391" s="18" t="str">
        <x:v>Home improvement loan</x:v>
      </x:c>
      <x:c r="J391" s="18" t="str">
        <x:v>Existing customer</x:v>
      </x:c>
      <x:c r="K391" s="20" t="n">
        <x:v>45971.5</x:v>
      </x:c>
    </x:row>
    <x:row r="392" ht="15" hidden="0" customHeight="1">
      <x:c r="A392" s="18" t="str">
        <x:v>LN000391</x:v>
      </x:c>
      <x:c r="B392" s="18" t="str">
        <x:v>LOS-SYN-0000391</x:v>
      </x:c>
      <x:c r="C392" s="18" t="str">
        <x:v>EMP002</x:v>
      </x:c>
      <x:c r="D392" s="18" t="str">
        <x:v>CY2025Q4</x:v>
      </x:c>
      <x:c r="E392" s="18" t="str">
        <x:v>BR001</x:v>
      </x:c>
      <x:c r="F392" s="20" t="n">
        <x:v>45945.5</x:v>
      </x:c>
      <x:c r="G392" s="18" t="str">
        <x:v>Funded</x:v>
      </x:c>
      <x:c r="H392" s="23" t="n">
        <x:v>27500</x:v>
      </x:c>
      <x:c r="I392" s="18" t="str">
        <x:v>Auto loan</x:v>
      </x:c>
      <x:c r="J392" s="18" t="str">
        <x:v>Referral</x:v>
      </x:c>
      <x:c r="K392" s="20" t="n">
        <x:v>45957.5</x:v>
      </x:c>
    </x:row>
    <x:row r="393" ht="15" hidden="0" customHeight="1">
      <x:c r="A393" s="18" t="str">
        <x:v>LN000392</x:v>
      </x:c>
      <x:c r="B393" s="18" t="str">
        <x:v>LOS-SYN-0000392</x:v>
      </x:c>
      <x:c r="C393" s="18" t="str">
        <x:v>EMP002</x:v>
      </x:c>
      <x:c r="D393" s="18" t="str">
        <x:v>CY2025Q4</x:v>
      </x:c>
      <x:c r="E393" s="18" t="str">
        <x:v>BR001</x:v>
      </x:c>
      <x:c r="F393" s="20" t="n">
        <x:v>45943.5</x:v>
      </x:c>
      <x:c r="G393" s="18" t="str">
        <x:v>Funded</x:v>
      </x:c>
      <x:c r="H393" s="23" t="n">
        <x:v>31000</x:v>
      </x:c>
      <x:c r="I393" s="18" t="str">
        <x:v>Personal loan</x:v>
      </x:c>
      <x:c r="J393" s="18" t="str">
        <x:v>Existing customer</x:v>
      </x:c>
      <x:c r="K393" s="20" t="n">
        <x:v>45952.5</x:v>
      </x:c>
    </x:row>
    <x:row r="394" ht="15" hidden="0" customHeight="1">
      <x:c r="A394" s="18" t="str">
        <x:v>LN000393</x:v>
      </x:c>
      <x:c r="B394" s="18" t="str">
        <x:v>LOS-SYN-0000393</x:v>
      </x:c>
      <x:c r="C394" s="18" t="str">
        <x:v>EMP002</x:v>
      </x:c>
      <x:c r="D394" s="18" t="str">
        <x:v>CY2025Q4</x:v>
      </x:c>
      <x:c r="E394" s="18" t="str">
        <x:v>BR001</x:v>
      </x:c>
      <x:c r="F394" s="20" t="n">
        <x:v>45944.5</x:v>
      </x:c>
      <x:c r="G394" s="18" t="str">
        <x:v>Funded</x:v>
      </x:c>
      <x:c r="H394" s="23" t="n">
        <x:v>31000</x:v>
      </x:c>
      <x:c r="I394" s="18" t="str">
        <x:v>Personal loan</x:v>
      </x:c>
      <x:c r="J394" s="18" t="str">
        <x:v>Existing customer</x:v>
      </x:c>
      <x:c r="K394" s="20" t="n">
        <x:v>45956.5</x:v>
      </x:c>
    </x:row>
    <x:row r="395" ht="15" hidden="0" customHeight="1">
      <x:c r="A395" s="18" t="str">
        <x:v>LN000394</x:v>
      </x:c>
      <x:c r="B395" s="18" t="str">
        <x:v>LOS-SYN-0000394</x:v>
      </x:c>
      <x:c r="C395" s="18" t="str">
        <x:v>EMP002</x:v>
      </x:c>
      <x:c r="D395" s="18" t="str">
        <x:v>CY2025Q4</x:v>
      </x:c>
      <x:c r="E395" s="18" t="str">
        <x:v>BR001</x:v>
      </x:c>
      <x:c r="F395" s="20" t="n">
        <x:v>45978.5</x:v>
      </x:c>
      <x:c r="G395" s="18" t="str">
        <x:v>Funded</x:v>
      </x:c>
      <x:c r="H395" s="23" t="n">
        <x:v>40000</x:v>
      </x:c>
      <x:c r="I395" s="18" t="str">
        <x:v>Personal loan</x:v>
      </x:c>
      <x:c r="J395" s="18" t="str">
        <x:v>Existing customer</x:v>
      </x:c>
      <x:c r="K395" s="20" t="n">
        <x:v>45984.5</x:v>
      </x:c>
    </x:row>
    <x:row r="396" ht="15" hidden="0" customHeight="1">
      <x:c r="A396" s="18" t="str">
        <x:v>LN000395</x:v>
      </x:c>
      <x:c r="B396" s="18" t="str">
        <x:v>LOS-SYN-0000395</x:v>
      </x:c>
      <x:c r="C396" s="18" t="str">
        <x:v>EMP002</x:v>
      </x:c>
      <x:c r="D396" s="18" t="str">
        <x:v>CY2025Q4</x:v>
      </x:c>
      <x:c r="E396" s="18" t="str">
        <x:v>BR001</x:v>
      </x:c>
      <x:c r="F396" s="20" t="n">
        <x:v>45984.5</x:v>
      </x:c>
      <x:c r="G396" s="18" t="str">
        <x:v>Funded</x:v>
      </x:c>
      <x:c r="H396" s="23" t="n">
        <x:v>53500</x:v>
      </x:c>
      <x:c r="I396" s="18" t="str">
        <x:v>Home improvement loan</x:v>
      </x:c>
      <x:c r="J396" s="18" t="str">
        <x:v>New customer</x:v>
      </x:c>
      <x:c r="K396" s="20" t="n">
        <x:v>45988.5</x:v>
      </x:c>
    </x:row>
    <x:row r="397" ht="15" hidden="0" customHeight="1">
      <x:c r="A397" s="18" t="str">
        <x:v>LN000396</x:v>
      </x:c>
      <x:c r="B397" s="18" t="str">
        <x:v>LOS-SYN-0000396</x:v>
      </x:c>
      <x:c r="C397" s="18" t="str">
        <x:v>EMP002</x:v>
      </x:c>
      <x:c r="D397" s="18" t="str">
        <x:v>CY2025Q4</x:v>
      </x:c>
      <x:c r="E397" s="18" t="str">
        <x:v>BR001</x:v>
      </x:c>
      <x:c r="F397" s="20" t="n">
        <x:v>45995.5</x:v>
      </x:c>
      <x:c r="G397" s="18" t="str">
        <x:v>Funded</x:v>
      </x:c>
      <x:c r="H397" s="23" t="n">
        <x:v>36500</x:v>
      </x:c>
      <x:c r="I397" s="18" t="str">
        <x:v>Home improvement loan</x:v>
      </x:c>
      <x:c r="J397" s="18" t="str">
        <x:v>New customer</x:v>
      </x:c>
      <x:c r="K397" s="20" t="n">
        <x:v>46001.5</x:v>
      </x:c>
    </x:row>
    <x:row r="398" ht="15" hidden="0" customHeight="1">
      <x:c r="A398" s="18" t="str">
        <x:v>LN000397</x:v>
      </x:c>
      <x:c r="B398" s="18" t="str">
        <x:v>LOS-SYN-0000397</x:v>
      </x:c>
      <x:c r="C398" s="18" t="str">
        <x:v>EMP003</x:v>
      </x:c>
      <x:c r="D398" s="18" t="str">
        <x:v>CY2025Q4</x:v>
      </x:c>
      <x:c r="E398" s="18" t="str">
        <x:v>BR001</x:v>
      </x:c>
      <x:c r="F398" s="20" t="n">
        <x:v>45949.5</x:v>
      </x:c>
      <x:c r="G398" s="18" t="str">
        <x:v>Funded</x:v>
      </x:c>
      <x:c r="H398" s="23" t="n">
        <x:v>52000</x:v>
      </x:c>
      <x:c r="I398" s="18" t="str">
        <x:v>Auto loan</x:v>
      </x:c>
      <x:c r="J398" s="18" t="str">
        <x:v>New customer</x:v>
      </x:c>
      <x:c r="K398" s="20" t="n">
        <x:v>45957.5</x:v>
      </x:c>
    </x:row>
    <x:row r="399" ht="15" hidden="0" customHeight="1">
      <x:c r="A399" s="18" t="str">
        <x:v>LN000398</x:v>
      </x:c>
      <x:c r="B399" s="18" t="str">
        <x:v>LOS-SYN-0000398</x:v>
      </x:c>
      <x:c r="C399" s="18" t="str">
        <x:v>EMP003</x:v>
      </x:c>
      <x:c r="D399" s="18" t="str">
        <x:v>CY2025Q4</x:v>
      </x:c>
      <x:c r="E399" s="18" t="str">
        <x:v>BR001</x:v>
      </x:c>
      <x:c r="F399" s="20" t="n">
        <x:v>45938.5</x:v>
      </x:c>
      <x:c r="G399" s="18" t="str">
        <x:v>Funded</x:v>
      </x:c>
      <x:c r="H399" s="23" t="n">
        <x:v>45500</x:v>
      </x:c>
      <x:c r="I399" s="18" t="str">
        <x:v>Personal loan</x:v>
      </x:c>
      <x:c r="J399" s="18" t="str">
        <x:v>New customer</x:v>
      </x:c>
      <x:c r="K399" s="20" t="n">
        <x:v>45941.5</x:v>
      </x:c>
    </x:row>
    <x:row r="400" ht="15" hidden="0" customHeight="1">
      <x:c r="A400" s="18" t="str">
        <x:v>LN000399</x:v>
      </x:c>
      <x:c r="B400" s="18" t="str">
        <x:v>LOS-SYN-0000399</x:v>
      </x:c>
      <x:c r="C400" s="18" t="str">
        <x:v>EMP003</x:v>
      </x:c>
      <x:c r="D400" s="18" t="str">
        <x:v>CY2025Q4</x:v>
      </x:c>
      <x:c r="E400" s="18" t="str">
        <x:v>BR001</x:v>
      </x:c>
      <x:c r="F400" s="20" t="n">
        <x:v>45941.5</x:v>
      </x:c>
      <x:c r="G400" s="18" t="str">
        <x:v>Funded</x:v>
      </x:c>
      <x:c r="H400" s="23" t="n">
        <x:v>48500</x:v>
      </x:c>
      <x:c r="I400" s="18" t="str">
        <x:v>Auto loan</x:v>
      </x:c>
      <x:c r="J400" s="18" t="str">
        <x:v>Referral</x:v>
      </x:c>
      <x:c r="K400" s="20" t="n">
        <x:v>45948.5</x:v>
      </x:c>
    </x:row>
    <x:row r="401" ht="15" hidden="0" customHeight="1">
      <x:c r="A401" s="18" t="str">
        <x:v>LN000400</x:v>
      </x:c>
      <x:c r="B401" s="18" t="str">
        <x:v>LOS-SYN-0000400</x:v>
      </x:c>
      <x:c r="C401" s="18" t="str">
        <x:v>EMP003</x:v>
      </x:c>
      <x:c r="D401" s="18" t="str">
        <x:v>CY2025Q4</x:v>
      </x:c>
      <x:c r="E401" s="18" t="str">
        <x:v>BR001</x:v>
      </x:c>
      <x:c r="F401" s="20" t="n">
        <x:v>46012.5</x:v>
      </x:c>
      <x:c r="G401" s="18" t="str">
        <x:v>Funded</x:v>
      </x:c>
      <x:c r="H401" s="23" t="n">
        <x:v>44000</x:v>
      </x:c>
      <x:c r="I401" s="18" t="str">
        <x:v>Personal loan</x:v>
      </x:c>
      <x:c r="J401" s="18" t="str">
        <x:v>Existing customer</x:v>
      </x:c>
      <x:c r="K401" s="20" t="n">
        <x:v>46023.5</x:v>
      </x:c>
    </x:row>
    <x:row r="402" ht="15" hidden="0" customHeight="1">
      <x:c r="A402" s="18" t="str">
        <x:v>LN000401</x:v>
      </x:c>
      <x:c r="B402" s="18" t="str">
        <x:v>LOS-SYN-0000401</x:v>
      </x:c>
      <x:c r="C402" s="18" t="str">
        <x:v>EMP003</x:v>
      </x:c>
      <x:c r="D402" s="18" t="str">
        <x:v>CY2025Q4</x:v>
      </x:c>
      <x:c r="E402" s="18" t="str">
        <x:v>BR001</x:v>
      </x:c>
      <x:c r="F402" s="20" t="n">
        <x:v>45940.5</x:v>
      </x:c>
      <x:c r="G402" s="18" t="str">
        <x:v>Funded</x:v>
      </x:c>
      <x:c r="H402" s="23" t="n">
        <x:v>36000</x:v>
      </x:c>
      <x:c r="I402" s="18" t="str">
        <x:v>Debt consolidation loan</x:v>
      </x:c>
      <x:c r="J402" s="18" t="str">
        <x:v>New customer</x:v>
      </x:c>
      <x:c r="K402" s="20" t="n">
        <x:v>45944.5</x:v>
      </x:c>
    </x:row>
    <x:row r="403" ht="15" hidden="0" customHeight="1">
      <x:c r="A403" s="18" t="str">
        <x:v>LN000402</x:v>
      </x:c>
      <x:c r="B403" s="18" t="str">
        <x:v>LOS-SYN-0000402</x:v>
      </x:c>
      <x:c r="C403" s="18" t="str">
        <x:v>EMP003</x:v>
      </x:c>
      <x:c r="D403" s="18" t="str">
        <x:v>CY2025Q4</x:v>
      </x:c>
      <x:c r="E403" s="18" t="str">
        <x:v>BR001</x:v>
      </x:c>
      <x:c r="F403" s="20" t="n">
        <x:v>46000.5</x:v>
      </x:c>
      <x:c r="G403" s="18" t="str">
        <x:v>Funded</x:v>
      </x:c>
      <x:c r="H403" s="23" t="n">
        <x:v>42000</x:v>
      </x:c>
      <x:c r="I403" s="18" t="str">
        <x:v>Auto loan</x:v>
      </x:c>
      <x:c r="J403" s="18" t="str">
        <x:v>New customer</x:v>
      </x:c>
      <x:c r="K403" s="20" t="n">
        <x:v>46006.5</x:v>
      </x:c>
    </x:row>
    <x:row r="404" ht="15" hidden="0" customHeight="1">
      <x:c r="A404" s="18" t="str">
        <x:v>LN000403</x:v>
      </x:c>
      <x:c r="B404" s="18" t="str">
        <x:v>LOS-SYN-0000403</x:v>
      </x:c>
      <x:c r="C404" s="18" t="str">
        <x:v>EMP003</x:v>
      </x:c>
      <x:c r="D404" s="18" t="str">
        <x:v>CY2025Q4</x:v>
      </x:c>
      <x:c r="E404" s="18" t="str">
        <x:v>BR001</x:v>
      </x:c>
      <x:c r="F404" s="20" t="n">
        <x:v>45944.5</x:v>
      </x:c>
      <x:c r="G404" s="18" t="str">
        <x:v>Funded</x:v>
      </x:c>
      <x:c r="H404" s="23" t="n">
        <x:v>38000</x:v>
      </x:c>
      <x:c r="I404" s="18" t="str">
        <x:v>Auto loan</x:v>
      </x:c>
      <x:c r="J404" s="18" t="str">
        <x:v>Existing customer</x:v>
      </x:c>
      <x:c r="K404" s="20" t="n">
        <x:v>45947.5</x:v>
      </x:c>
    </x:row>
    <x:row r="405" ht="15" hidden="0" customHeight="1">
      <x:c r="A405" s="18" t="str">
        <x:v>LN000404</x:v>
      </x:c>
      <x:c r="B405" s="18" t="str">
        <x:v>LOS-SYN-0000404</x:v>
      </x:c>
      <x:c r="C405" s="18" t="str">
        <x:v>EMP003</x:v>
      </x:c>
      <x:c r="D405" s="18" t="str">
        <x:v>CY2025Q4</x:v>
      </x:c>
      <x:c r="E405" s="18" t="str">
        <x:v>BR001</x:v>
      </x:c>
      <x:c r="F405" s="20" t="n">
        <x:v>45998.5</x:v>
      </x:c>
      <x:c r="G405" s="18" t="str">
        <x:v>Funded</x:v>
      </x:c>
      <x:c r="H405" s="23" t="n">
        <x:v>51000</x:v>
      </x:c>
      <x:c r="I405" s="18" t="str">
        <x:v>Auto loan</x:v>
      </x:c>
      <x:c r="J405" s="18" t="str">
        <x:v>New customer</x:v>
      </x:c>
      <x:c r="K405" s="20" t="n">
        <x:v>46010.5</x:v>
      </x:c>
    </x:row>
    <x:row r="406" ht="15" hidden="0" customHeight="1">
      <x:c r="A406" s="18" t="str">
        <x:v>LN000405</x:v>
      </x:c>
      <x:c r="B406" s="18" t="str">
        <x:v>LOS-SYN-0000405</x:v>
      </x:c>
      <x:c r="C406" s="18" t="str">
        <x:v>EMP003</x:v>
      </x:c>
      <x:c r="D406" s="18" t="str">
        <x:v>CY2025Q4</x:v>
      </x:c>
      <x:c r="E406" s="18" t="str">
        <x:v>BR001</x:v>
      </x:c>
      <x:c r="F406" s="20" t="n">
        <x:v>45961.5</x:v>
      </x:c>
      <x:c r="G406" s="18" t="str">
        <x:v>Funded</x:v>
      </x:c>
      <x:c r="H406" s="23" t="n">
        <x:v>38000</x:v>
      </x:c>
      <x:c r="I406" s="18" t="str">
        <x:v>Personal loan</x:v>
      </x:c>
      <x:c r="J406" s="18" t="str">
        <x:v>New customer</x:v>
      </x:c>
      <x:c r="K406" s="20" t="n">
        <x:v>45969.5</x:v>
      </x:c>
    </x:row>
    <x:row r="407" ht="15" hidden="0" customHeight="1">
      <x:c r="A407" s="18" t="str">
        <x:v>LN000406</x:v>
      </x:c>
      <x:c r="B407" s="18" t="str">
        <x:v>LOS-SYN-0000406</x:v>
      </x:c>
      <x:c r="C407" s="18" t="str">
        <x:v>EMP004</x:v>
      </x:c>
      <x:c r="D407" s="18" t="str">
        <x:v>CY2025Q4</x:v>
      </x:c>
      <x:c r="E407" s="18" t="str">
        <x:v>BR002</x:v>
      </x:c>
      <x:c r="F407" s="20" t="n">
        <x:v>46012.5</x:v>
      </x:c>
      <x:c r="G407" s="18" t="str">
        <x:v>Funded</x:v>
      </x:c>
      <x:c r="H407" s="23" t="n">
        <x:v>48000</x:v>
      </x:c>
      <x:c r="I407" s="18" t="str">
        <x:v>Debt consolidation loan</x:v>
      </x:c>
      <x:c r="J407" s="18" t="str">
        <x:v>Existing customer</x:v>
      </x:c>
      <x:c r="K407" s="20" t="n">
        <x:v>46015.5</x:v>
      </x:c>
    </x:row>
    <x:row r="408" ht="15" hidden="0" customHeight="1">
      <x:c r="A408" s="18" t="str">
        <x:v>LN000407</x:v>
      </x:c>
      <x:c r="B408" s="18" t="str">
        <x:v>LOS-SYN-0000407</x:v>
      </x:c>
      <x:c r="C408" s="18" t="str">
        <x:v>EMP004</x:v>
      </x:c>
      <x:c r="D408" s="18" t="str">
        <x:v>CY2025Q4</x:v>
      </x:c>
      <x:c r="E408" s="18" t="str">
        <x:v>BR002</x:v>
      </x:c>
      <x:c r="F408" s="20" t="n">
        <x:v>45997.5</x:v>
      </x:c>
      <x:c r="G408" s="18" t="str">
        <x:v>Funded</x:v>
      </x:c>
      <x:c r="H408" s="23" t="n">
        <x:v>55500</x:v>
      </x:c>
      <x:c r="I408" s="18" t="str">
        <x:v>Home improvement loan</x:v>
      </x:c>
      <x:c r="J408" s="18" t="str">
        <x:v>Existing customer</x:v>
      </x:c>
      <x:c r="K408" s="20" t="n">
        <x:v>46008.5</x:v>
      </x:c>
    </x:row>
    <x:row r="409" ht="15" hidden="0" customHeight="1">
      <x:c r="A409" s="18" t="str">
        <x:v>LN000408</x:v>
      </x:c>
      <x:c r="B409" s="18" t="str">
        <x:v>LOS-SYN-0000408</x:v>
      </x:c>
      <x:c r="C409" s="18" t="str">
        <x:v>EMP004</x:v>
      </x:c>
      <x:c r="D409" s="18" t="str">
        <x:v>CY2025Q4</x:v>
      </x:c>
      <x:c r="E409" s="18" t="str">
        <x:v>BR002</x:v>
      </x:c>
      <x:c r="F409" s="20" t="n">
        <x:v>45933.5</x:v>
      </x:c>
      <x:c r="G409" s="18" t="str">
        <x:v>Funded</x:v>
      </x:c>
      <x:c r="H409" s="23" t="n">
        <x:v>55000</x:v>
      </x:c>
      <x:c r="I409" s="18" t="str">
        <x:v>Home improvement loan</x:v>
      </x:c>
      <x:c r="J409" s="18" t="str">
        <x:v>New customer</x:v>
      </x:c>
      <x:c r="K409" s="20" t="n">
        <x:v>45941.5</x:v>
      </x:c>
    </x:row>
    <x:row r="410" ht="15" hidden="0" customHeight="1">
      <x:c r="A410" s="18" t="str">
        <x:v>LN000409</x:v>
      </x:c>
      <x:c r="B410" s="18" t="str">
        <x:v>LOS-SYN-0000409</x:v>
      </x:c>
      <x:c r="C410" s="18" t="str">
        <x:v>EMP004</x:v>
      </x:c>
      <x:c r="D410" s="18" t="str">
        <x:v>CY2025Q4</x:v>
      </x:c>
      <x:c r="E410" s="18" t="str">
        <x:v>BR002</x:v>
      </x:c>
      <x:c r="F410" s="20" t="n">
        <x:v>45953.5</x:v>
      </x:c>
      <x:c r="G410" s="18" t="str">
        <x:v>Funded</x:v>
      </x:c>
      <x:c r="H410" s="23" t="n">
        <x:v>48500</x:v>
      </x:c>
      <x:c r="I410" s="18" t="str">
        <x:v>Personal loan</x:v>
      </x:c>
      <x:c r="J410" s="18" t="str">
        <x:v>Existing customer</x:v>
      </x:c>
      <x:c r="K410" s="20" t="n">
        <x:v>45958.5</x:v>
      </x:c>
    </x:row>
    <x:row r="411" ht="15" hidden="0" customHeight="1">
      <x:c r="A411" s="18" t="str">
        <x:v>LN000410</x:v>
      </x:c>
      <x:c r="B411" s="18" t="str">
        <x:v>LOS-SYN-0000410</x:v>
      </x:c>
      <x:c r="C411" s="18" t="str">
        <x:v>EMP004</x:v>
      </x:c>
      <x:c r="D411" s="18" t="str">
        <x:v>CY2025Q4</x:v>
      </x:c>
      <x:c r="E411" s="18" t="str">
        <x:v>BR002</x:v>
      </x:c>
      <x:c r="F411" s="20" t="n">
        <x:v>45965.5</x:v>
      </x:c>
      <x:c r="G411" s="18" t="str">
        <x:v>Funded</x:v>
      </x:c>
      <x:c r="H411" s="23" t="n">
        <x:v>44000</x:v>
      </x:c>
      <x:c r="I411" s="18" t="str">
        <x:v>Personal loan</x:v>
      </x:c>
      <x:c r="J411" s="18" t="str">
        <x:v>Referral</x:v>
      </x:c>
      <x:c r="K411" s="20" t="n">
        <x:v>45974.5</x:v>
      </x:c>
    </x:row>
    <x:row r="412" ht="15" hidden="0" customHeight="1">
      <x:c r="A412" s="18" t="str">
        <x:v>LN000411</x:v>
      </x:c>
      <x:c r="B412" s="18" t="str">
        <x:v>LOS-SYN-0000411</x:v>
      </x:c>
      <x:c r="C412" s="18" t="str">
        <x:v>EMP004</x:v>
      </x:c>
      <x:c r="D412" s="18" t="str">
        <x:v>CY2025Q4</x:v>
      </x:c>
      <x:c r="E412" s="18" t="str">
        <x:v>BR002</x:v>
      </x:c>
      <x:c r="F412" s="20" t="n">
        <x:v>45984.5</x:v>
      </x:c>
      <x:c r="G412" s="18" t="str">
        <x:v>Cancelled</x:v>
      </x:c>
      <x:c r="H412" s="23" t="n">
        <x:v>23000</x:v>
      </x:c>
      <x:c r="I412" s="18" t="str">
        <x:v>Personal loan</x:v>
      </x:c>
      <x:c r="J412" s="18" t="str">
        <x:v>New customer</x:v>
      </x:c>
      <x:c r="K412" s="20"/>
    </x:row>
    <x:row r="413" ht="15" hidden="0" customHeight="1">
      <x:c r="A413" s="18" t="str">
        <x:v>LN000412</x:v>
      </x:c>
      <x:c r="B413" s="18" t="str">
        <x:v>LOS-SYN-0000412</x:v>
      </x:c>
      <x:c r="C413" s="18" t="str">
        <x:v>EMP005</x:v>
      </x:c>
      <x:c r="D413" s="18" t="str">
        <x:v>CY2025Q4</x:v>
      </x:c>
      <x:c r="E413" s="18" t="str">
        <x:v>BR002</x:v>
      </x:c>
      <x:c r="F413" s="20" t="n">
        <x:v>46015.5</x:v>
      </x:c>
      <x:c r="G413" s="18" t="str">
        <x:v>Funded</x:v>
      </x:c>
      <x:c r="H413" s="23" t="n">
        <x:v>34500</x:v>
      </x:c>
      <x:c r="I413" s="18" t="str">
        <x:v>Debt consolidation loan</x:v>
      </x:c>
      <x:c r="J413" s="18" t="str">
        <x:v>New customer</x:v>
      </x:c>
      <x:c r="K413" s="20" t="n">
        <x:v>46026.5</x:v>
      </x:c>
    </x:row>
    <x:row r="414" ht="15" hidden="0" customHeight="1">
      <x:c r="A414" s="18" t="str">
        <x:v>LN000413</x:v>
      </x:c>
      <x:c r="B414" s="18" t="str">
        <x:v>LOS-SYN-0000413</x:v>
      </x:c>
      <x:c r="C414" s="18" t="str">
        <x:v>EMP005</x:v>
      </x:c>
      <x:c r="D414" s="18" t="str">
        <x:v>CY2025Q4</x:v>
      </x:c>
      <x:c r="E414" s="18" t="str">
        <x:v>BR002</x:v>
      </x:c>
      <x:c r="F414" s="20" t="n">
        <x:v>45982.5</x:v>
      </x:c>
      <x:c r="G414" s="18" t="str">
        <x:v>Funded</x:v>
      </x:c>
      <x:c r="H414" s="23" t="n">
        <x:v>37000</x:v>
      </x:c>
      <x:c r="I414" s="18" t="str">
        <x:v>Home improvement loan</x:v>
      </x:c>
      <x:c r="J414" s="18" t="str">
        <x:v>Referral</x:v>
      </x:c>
      <x:c r="K414" s="20" t="n">
        <x:v>45993.5</x:v>
      </x:c>
    </x:row>
    <x:row r="415" ht="15" hidden="0" customHeight="1">
      <x:c r="A415" s="18" t="str">
        <x:v>LN000414</x:v>
      </x:c>
      <x:c r="B415" s="18" t="str">
        <x:v>LOS-SYN-0000414</x:v>
      </x:c>
      <x:c r="C415" s="18" t="str">
        <x:v>EMP005</x:v>
      </x:c>
      <x:c r="D415" s="18" t="str">
        <x:v>CY2025Q4</x:v>
      </x:c>
      <x:c r="E415" s="18" t="str">
        <x:v>BR002</x:v>
      </x:c>
      <x:c r="F415" s="20" t="n">
        <x:v>45945.5</x:v>
      </x:c>
      <x:c r="G415" s="18" t="str">
        <x:v>Funded</x:v>
      </x:c>
      <x:c r="H415" s="23" t="n">
        <x:v>34500</x:v>
      </x:c>
      <x:c r="I415" s="18" t="str">
        <x:v>Home improvement loan</x:v>
      </x:c>
      <x:c r="J415" s="18" t="str">
        <x:v>New customer</x:v>
      </x:c>
      <x:c r="K415" s="20" t="n">
        <x:v>45956.5</x:v>
      </x:c>
    </x:row>
    <x:row r="416" ht="15" hidden="0" customHeight="1">
      <x:c r="A416" s="18" t="str">
        <x:v>LN000415</x:v>
      </x:c>
      <x:c r="B416" s="18" t="str">
        <x:v>LOS-SYN-0000415</x:v>
      </x:c>
      <x:c r="C416" s="18" t="str">
        <x:v>EMP005</x:v>
      </x:c>
      <x:c r="D416" s="18" t="str">
        <x:v>CY2025Q4</x:v>
      </x:c>
      <x:c r="E416" s="18" t="str">
        <x:v>BR002</x:v>
      </x:c>
      <x:c r="F416" s="20" t="n">
        <x:v>45932.5</x:v>
      </x:c>
      <x:c r="G416" s="18" t="str">
        <x:v>Funded</x:v>
      </x:c>
      <x:c r="H416" s="23" t="n">
        <x:v>33500</x:v>
      </x:c>
      <x:c r="I416" s="18" t="str">
        <x:v>Home improvement loan</x:v>
      </x:c>
      <x:c r="J416" s="18" t="str">
        <x:v>Referral</x:v>
      </x:c>
      <x:c r="K416" s="20" t="n">
        <x:v>45941.5</x:v>
      </x:c>
    </x:row>
    <x:row r="417" ht="15" hidden="0" customHeight="1">
      <x:c r="A417" s="18" t="str">
        <x:v>LN000416</x:v>
      </x:c>
      <x:c r="B417" s="18" t="str">
        <x:v>LOS-SYN-0000416</x:v>
      </x:c>
      <x:c r="C417" s="18" t="str">
        <x:v>EMP005</x:v>
      </x:c>
      <x:c r="D417" s="18" t="str">
        <x:v>CY2025Q4</x:v>
      </x:c>
      <x:c r="E417" s="18" t="str">
        <x:v>BR002</x:v>
      </x:c>
      <x:c r="F417" s="20" t="n">
        <x:v>45967.5</x:v>
      </x:c>
      <x:c r="G417" s="18" t="str">
        <x:v>Funded</x:v>
      </x:c>
      <x:c r="H417" s="23" t="n">
        <x:v>41500</x:v>
      </x:c>
      <x:c r="I417" s="18" t="str">
        <x:v>Home improvement loan</x:v>
      </x:c>
      <x:c r="J417" s="18" t="str">
        <x:v>New customer</x:v>
      </x:c>
      <x:c r="K417" s="20" t="n">
        <x:v>45976.5</x:v>
      </x:c>
    </x:row>
    <x:row r="418" ht="15" hidden="0" customHeight="1">
      <x:c r="A418" s="18" t="str">
        <x:v>LN000417</x:v>
      </x:c>
      <x:c r="B418" s="18" t="str">
        <x:v>LOS-SYN-0000417</x:v>
      </x:c>
      <x:c r="C418" s="18" t="str">
        <x:v>EMP005</x:v>
      </x:c>
      <x:c r="D418" s="18" t="str">
        <x:v>CY2025Q4</x:v>
      </x:c>
      <x:c r="E418" s="18" t="str">
        <x:v>BR002</x:v>
      </x:c>
      <x:c r="F418" s="20" t="n">
        <x:v>45941.5</x:v>
      </x:c>
      <x:c r="G418" s="18" t="str">
        <x:v>Funded</x:v>
      </x:c>
      <x:c r="H418" s="23" t="n">
        <x:v>39500</x:v>
      </x:c>
      <x:c r="I418" s="18" t="str">
        <x:v>Auto loan</x:v>
      </x:c>
      <x:c r="J418" s="18" t="str">
        <x:v>New customer</x:v>
      </x:c>
      <x:c r="K418" s="20" t="n">
        <x:v>45945.5</x:v>
      </x:c>
    </x:row>
    <x:row r="419" ht="15" hidden="0" customHeight="1">
      <x:c r="A419" s="18" t="str">
        <x:v>LN000418</x:v>
      </x:c>
      <x:c r="B419" s="18" t="str">
        <x:v>LOS-SYN-0000418</x:v>
      </x:c>
      <x:c r="C419" s="18" t="str">
        <x:v>EMP005</x:v>
      </x:c>
      <x:c r="D419" s="18" t="str">
        <x:v>CY2025Q4</x:v>
      </x:c>
      <x:c r="E419" s="18" t="str">
        <x:v>BR002</x:v>
      </x:c>
      <x:c r="F419" s="20" t="n">
        <x:v>45983.5</x:v>
      </x:c>
      <x:c r="G419" s="18" t="str">
        <x:v>Funded</x:v>
      </x:c>
      <x:c r="H419" s="23" t="n">
        <x:v>54000</x:v>
      </x:c>
      <x:c r="I419" s="18" t="str">
        <x:v>Home improvement loan</x:v>
      </x:c>
      <x:c r="J419" s="18" t="str">
        <x:v>Existing customer</x:v>
      </x:c>
      <x:c r="K419" s="20" t="n">
        <x:v>45992.5</x:v>
      </x:c>
    </x:row>
    <x:row r="420" ht="15" hidden="0" customHeight="1">
      <x:c r="A420" s="18" t="str">
        <x:v>LN000419</x:v>
      </x:c>
      <x:c r="B420" s="18" t="str">
        <x:v>LOS-SYN-0000419</x:v>
      </x:c>
      <x:c r="C420" s="18" t="str">
        <x:v>EMP005</x:v>
      </x:c>
      <x:c r="D420" s="18" t="str">
        <x:v>CY2025Q4</x:v>
      </x:c>
      <x:c r="E420" s="18" t="str">
        <x:v>BR002</x:v>
      </x:c>
      <x:c r="F420" s="20" t="n">
        <x:v>45993.5</x:v>
      </x:c>
      <x:c r="G420" s="18" t="str">
        <x:v>Funded</x:v>
      </x:c>
      <x:c r="H420" s="23" t="n">
        <x:v>42000</x:v>
      </x:c>
      <x:c r="I420" s="18" t="str">
        <x:v>Home improvement loan</x:v>
      </x:c>
      <x:c r="J420" s="18" t="str">
        <x:v>Referral</x:v>
      </x:c>
      <x:c r="K420" s="20" t="n">
        <x:v>46001.5</x:v>
      </x:c>
    </x:row>
    <x:row r="421" ht="15" hidden="0" customHeight="1">
      <x:c r="A421" s="18" t="str">
        <x:v>LN000420</x:v>
      </x:c>
      <x:c r="B421" s="18" t="str">
        <x:v>LOS-SYN-0000420</x:v>
      </x:c>
      <x:c r="C421" s="18" t="str">
        <x:v>EMP005</x:v>
      </x:c>
      <x:c r="D421" s="18" t="str">
        <x:v>CY2025Q4</x:v>
      </x:c>
      <x:c r="E421" s="18" t="str">
        <x:v>BR002</x:v>
      </x:c>
      <x:c r="F421" s="20" t="n">
        <x:v>45993.5</x:v>
      </x:c>
      <x:c r="G421" s="18" t="str">
        <x:v>Funded</x:v>
      </x:c>
      <x:c r="H421" s="23" t="n">
        <x:v>49000</x:v>
      </x:c>
      <x:c r="I421" s="18" t="str">
        <x:v>Auto loan</x:v>
      </x:c>
      <x:c r="J421" s="18" t="str">
        <x:v>New customer</x:v>
      </x:c>
      <x:c r="K421" s="20" t="n">
        <x:v>46003.5</x:v>
      </x:c>
    </x:row>
    <x:row r="422" ht="15" hidden="0" customHeight="1">
      <x:c r="A422" s="18" t="str">
        <x:v>LN000421</x:v>
      </x:c>
      <x:c r="B422" s="18" t="str">
        <x:v>LOS-SYN-0000421</x:v>
      </x:c>
      <x:c r="C422" s="18" t="str">
        <x:v>EMP005</x:v>
      </x:c>
      <x:c r="D422" s="18" t="str">
        <x:v>CY2025Q4</x:v>
      </x:c>
      <x:c r="E422" s="18" t="str">
        <x:v>BR002</x:v>
      </x:c>
      <x:c r="F422" s="20" t="n">
        <x:v>45997.5</x:v>
      </x:c>
      <x:c r="G422" s="18" t="str">
        <x:v>Funded</x:v>
      </x:c>
      <x:c r="H422" s="23" t="n">
        <x:v>36500</x:v>
      </x:c>
      <x:c r="I422" s="18" t="str">
        <x:v>Personal loan</x:v>
      </x:c>
      <x:c r="J422" s="18" t="str">
        <x:v>Existing customer</x:v>
      </x:c>
      <x:c r="K422" s="20" t="n">
        <x:v>46009.5</x:v>
      </x:c>
    </x:row>
    <x:row r="423" ht="15" hidden="0" customHeight="1">
      <x:c r="A423" s="18" t="str">
        <x:v>LN000422</x:v>
      </x:c>
      <x:c r="B423" s="18" t="str">
        <x:v>LOS-SYN-0000422</x:v>
      </x:c>
      <x:c r="C423" s="18" t="str">
        <x:v>EMP006</x:v>
      </x:c>
      <x:c r="D423" s="18" t="str">
        <x:v>CY2025Q4</x:v>
      </x:c>
      <x:c r="E423" s="18" t="str">
        <x:v>BR002</x:v>
      </x:c>
      <x:c r="F423" s="20" t="n">
        <x:v>46014.5</x:v>
      </x:c>
      <x:c r="G423" s="18" t="str">
        <x:v>Funded</x:v>
      </x:c>
      <x:c r="H423" s="23" t="n">
        <x:v>50000</x:v>
      </x:c>
      <x:c r="I423" s="18" t="str">
        <x:v>Personal loan</x:v>
      </x:c>
      <x:c r="J423" s="18" t="str">
        <x:v>Existing customer</x:v>
      </x:c>
      <x:c r="K423" s="20" t="n">
        <x:v>46023.5</x:v>
      </x:c>
    </x:row>
    <x:row r="424" ht="15" hidden="0" customHeight="1">
      <x:c r="A424" s="18" t="str">
        <x:v>LN000423</x:v>
      </x:c>
      <x:c r="B424" s="18" t="str">
        <x:v>LOS-SYN-0000423</x:v>
      </x:c>
      <x:c r="C424" s="18" t="str">
        <x:v>EMP006</x:v>
      </x:c>
      <x:c r="D424" s="18" t="str">
        <x:v>CY2025Q4</x:v>
      </x:c>
      <x:c r="E424" s="18" t="str">
        <x:v>BR002</x:v>
      </x:c>
      <x:c r="F424" s="20" t="n">
        <x:v>45956.5</x:v>
      </x:c>
      <x:c r="G424" s="18" t="str">
        <x:v>Funded</x:v>
      </x:c>
      <x:c r="H424" s="23" t="n">
        <x:v>37000</x:v>
      </x:c>
      <x:c r="I424" s="18" t="str">
        <x:v>Auto loan</x:v>
      </x:c>
      <x:c r="J424" s="18" t="str">
        <x:v>New customer</x:v>
      </x:c>
      <x:c r="K424" s="20" t="n">
        <x:v>45960.5</x:v>
      </x:c>
    </x:row>
    <x:row r="425" ht="15" hidden="0" customHeight="1">
      <x:c r="A425" s="18" t="str">
        <x:v>LN000424</x:v>
      </x:c>
      <x:c r="B425" s="18" t="str">
        <x:v>LOS-SYN-0000424</x:v>
      </x:c>
      <x:c r="C425" s="18" t="str">
        <x:v>EMP006</x:v>
      </x:c>
      <x:c r="D425" s="18" t="str">
        <x:v>CY2025Q4</x:v>
      </x:c>
      <x:c r="E425" s="18" t="str">
        <x:v>BR002</x:v>
      </x:c>
      <x:c r="F425" s="20" t="n">
        <x:v>45959.5</x:v>
      </x:c>
      <x:c r="G425" s="18" t="str">
        <x:v>Funded</x:v>
      </x:c>
      <x:c r="H425" s="23" t="n">
        <x:v>52500</x:v>
      </x:c>
      <x:c r="I425" s="18" t="str">
        <x:v>Personal loan</x:v>
      </x:c>
      <x:c r="J425" s="18" t="str">
        <x:v>New customer</x:v>
      </x:c>
      <x:c r="K425" s="20" t="n">
        <x:v>45962.5</x:v>
      </x:c>
    </x:row>
    <x:row r="426" ht="15" hidden="0" customHeight="1">
      <x:c r="A426" s="18" t="str">
        <x:v>LN000425</x:v>
      </x:c>
      <x:c r="B426" s="18" t="str">
        <x:v>LOS-SYN-0000425</x:v>
      </x:c>
      <x:c r="C426" s="18" t="str">
        <x:v>EMP006</x:v>
      </x:c>
      <x:c r="D426" s="18" t="str">
        <x:v>CY2025Q4</x:v>
      </x:c>
      <x:c r="E426" s="18" t="str">
        <x:v>BR002</x:v>
      </x:c>
      <x:c r="F426" s="20" t="n">
        <x:v>45963.5</x:v>
      </x:c>
      <x:c r="G426" s="18" t="str">
        <x:v>Funded</x:v>
      </x:c>
      <x:c r="H426" s="23" t="n">
        <x:v>31500</x:v>
      </x:c>
      <x:c r="I426" s="18" t="str">
        <x:v>Home improvement loan</x:v>
      </x:c>
      <x:c r="J426" s="18" t="str">
        <x:v>New customer</x:v>
      </x:c>
      <x:c r="K426" s="20" t="n">
        <x:v>45971.5</x:v>
      </x:c>
    </x:row>
    <x:row r="427" ht="15" hidden="0" customHeight="1">
      <x:c r="A427" s="18" t="str">
        <x:v>LN000426</x:v>
      </x:c>
      <x:c r="B427" s="18" t="str">
        <x:v>LOS-SYN-0000426</x:v>
      </x:c>
      <x:c r="C427" s="18" t="str">
        <x:v>EMP006</x:v>
      </x:c>
      <x:c r="D427" s="18" t="str">
        <x:v>CY2025Q4</x:v>
      </x:c>
      <x:c r="E427" s="18" t="str">
        <x:v>BR002</x:v>
      </x:c>
      <x:c r="F427" s="20" t="n">
        <x:v>45937.5</x:v>
      </x:c>
      <x:c r="G427" s="18" t="str">
        <x:v>Funded</x:v>
      </x:c>
      <x:c r="H427" s="23" t="n">
        <x:v>35500</x:v>
      </x:c>
      <x:c r="I427" s="18" t="str">
        <x:v>Debt consolidation loan</x:v>
      </x:c>
      <x:c r="J427" s="18" t="str">
        <x:v>Referral</x:v>
      </x:c>
      <x:c r="K427" s="20" t="n">
        <x:v>45946.5</x:v>
      </x:c>
    </x:row>
    <x:row r="428" ht="15" hidden="0" customHeight="1">
      <x:c r="A428" s="18" t="str">
        <x:v>LN000427</x:v>
      </x:c>
      <x:c r="B428" s="18" t="str">
        <x:v>LOS-SYN-0000427</x:v>
      </x:c>
      <x:c r="C428" s="18" t="str">
        <x:v>EMP006</x:v>
      </x:c>
      <x:c r="D428" s="18" t="str">
        <x:v>CY2025Q4</x:v>
      </x:c>
      <x:c r="E428" s="18" t="str">
        <x:v>BR002</x:v>
      </x:c>
      <x:c r="F428" s="20" t="n">
        <x:v>46009.5</x:v>
      </x:c>
      <x:c r="G428" s="18" t="str">
        <x:v>Funded</x:v>
      </x:c>
      <x:c r="H428" s="23" t="n">
        <x:v>41000</x:v>
      </x:c>
      <x:c r="I428" s="18" t="str">
        <x:v>Personal loan</x:v>
      </x:c>
      <x:c r="J428" s="18" t="str">
        <x:v>Existing customer</x:v>
      </x:c>
      <x:c r="K428" s="20" t="n">
        <x:v>46020.5</x:v>
      </x:c>
    </x:row>
    <x:row r="429" ht="15" hidden="0" customHeight="1">
      <x:c r="A429" s="18" t="str">
        <x:v>LN000428</x:v>
      </x:c>
      <x:c r="B429" s="18" t="str">
        <x:v>LOS-SYN-0000428</x:v>
      </x:c>
      <x:c r="C429" s="18" t="str">
        <x:v>EMP006</x:v>
      </x:c>
      <x:c r="D429" s="18" t="str">
        <x:v>CY2025Q4</x:v>
      </x:c>
      <x:c r="E429" s="18" t="str">
        <x:v>BR002</x:v>
      </x:c>
      <x:c r="F429" s="20" t="n">
        <x:v>46010.5</x:v>
      </x:c>
      <x:c r="G429" s="18" t="str">
        <x:v>Funded</x:v>
      </x:c>
      <x:c r="H429" s="23" t="n">
        <x:v>35000</x:v>
      </x:c>
      <x:c r="I429" s="18" t="str">
        <x:v>Auto loan</x:v>
      </x:c>
      <x:c r="J429" s="18" t="str">
        <x:v>Referral</x:v>
      </x:c>
      <x:c r="K429" s="20" t="n">
        <x:v>46013.5</x:v>
      </x:c>
    </x:row>
    <x:row r="430" ht="15" hidden="0" customHeight="1">
      <x:c r="A430" s="18" t="str">
        <x:v>LN000429</x:v>
      </x:c>
      <x:c r="B430" s="18" t="str">
        <x:v>LOS-SYN-0000429</x:v>
      </x:c>
      <x:c r="C430" s="18" t="str">
        <x:v>EMP006</x:v>
      </x:c>
      <x:c r="D430" s="18" t="str">
        <x:v>CY2025Q4</x:v>
      </x:c>
      <x:c r="E430" s="18" t="str">
        <x:v>BR002</x:v>
      </x:c>
      <x:c r="F430" s="20" t="n">
        <x:v>45968.5</x:v>
      </x:c>
      <x:c r="G430" s="18" t="str">
        <x:v>Funded</x:v>
      </x:c>
      <x:c r="H430" s="23" t="n">
        <x:v>54000</x:v>
      </x:c>
      <x:c r="I430" s="18" t="str">
        <x:v>Personal loan</x:v>
      </x:c>
      <x:c r="J430" s="18" t="str">
        <x:v>Referral</x:v>
      </x:c>
      <x:c r="K430" s="20" t="n">
        <x:v>45979.5</x:v>
      </x:c>
    </x:row>
    <x:row r="431" ht="15" hidden="0" customHeight="1">
      <x:c r="A431" s="18" t="str">
        <x:v>LN000430</x:v>
      </x:c>
      <x:c r="B431" s="18" t="str">
        <x:v>LOS-SYN-0000430</x:v>
      </x:c>
      <x:c r="C431" s="18" t="str">
        <x:v>EMP006</x:v>
      </x:c>
      <x:c r="D431" s="18" t="str">
        <x:v>CY2025Q4</x:v>
      </x:c>
      <x:c r="E431" s="18" t="str">
        <x:v>BR002</x:v>
      </x:c>
      <x:c r="F431" s="20" t="n">
        <x:v>46012.5</x:v>
      </x:c>
      <x:c r="G431" s="18" t="str">
        <x:v>Funded</x:v>
      </x:c>
      <x:c r="H431" s="23" t="n">
        <x:v>46500</x:v>
      </x:c>
      <x:c r="I431" s="18" t="str">
        <x:v>Home improvement loan</x:v>
      </x:c>
      <x:c r="J431" s="18" t="str">
        <x:v>Referral</x:v>
      </x:c>
      <x:c r="K431" s="20" t="n">
        <x:v>46017.5</x:v>
      </x:c>
    </x:row>
    <x:row r="432" ht="15" hidden="0" customHeight="1">
      <x:c r="A432" s="18" t="str">
        <x:v>LN000431</x:v>
      </x:c>
      <x:c r="B432" s="18" t="str">
        <x:v>LOS-SYN-0000431</x:v>
      </x:c>
      <x:c r="C432" s="18" t="str">
        <x:v>EMP007</x:v>
      </x:c>
      <x:c r="D432" s="18" t="str">
        <x:v>CY2025Q4</x:v>
      </x:c>
      <x:c r="E432" s="18" t="str">
        <x:v>BR003</x:v>
      </x:c>
      <x:c r="F432" s="20" t="n">
        <x:v>45943.5</x:v>
      </x:c>
      <x:c r="G432" s="18" t="str">
        <x:v>Funded</x:v>
      </x:c>
      <x:c r="H432" s="23" t="n">
        <x:v>47500</x:v>
      </x:c>
      <x:c r="I432" s="18" t="str">
        <x:v>Personal loan</x:v>
      </x:c>
      <x:c r="J432" s="18" t="str">
        <x:v>Referral</x:v>
      </x:c>
      <x:c r="K432" s="20" t="n">
        <x:v>45946.5</x:v>
      </x:c>
    </x:row>
    <x:row r="433" ht="15" hidden="0" customHeight="1">
      <x:c r="A433" s="18" t="str">
        <x:v>LN000432</x:v>
      </x:c>
      <x:c r="B433" s="18" t="str">
        <x:v>LOS-SYN-0000432</x:v>
      </x:c>
      <x:c r="C433" s="18" t="str">
        <x:v>EMP007</x:v>
      </x:c>
      <x:c r="D433" s="18" t="str">
        <x:v>CY2025Q4</x:v>
      </x:c>
      <x:c r="E433" s="18" t="str">
        <x:v>BR003</x:v>
      </x:c>
      <x:c r="F433" s="20" t="n">
        <x:v>45951.5</x:v>
      </x:c>
      <x:c r="G433" s="18" t="str">
        <x:v>Funded</x:v>
      </x:c>
      <x:c r="H433" s="23" t="n">
        <x:v>38000</x:v>
      </x:c>
      <x:c r="I433" s="18" t="str">
        <x:v>Auto loan</x:v>
      </x:c>
      <x:c r="J433" s="18" t="str">
        <x:v>Referral</x:v>
      </x:c>
      <x:c r="K433" s="20" t="n">
        <x:v>45954.5</x:v>
      </x:c>
    </x:row>
    <x:row r="434" ht="15" hidden="0" customHeight="1">
      <x:c r="A434" s="18" t="str">
        <x:v>LN000433</x:v>
      </x:c>
      <x:c r="B434" s="18" t="str">
        <x:v>LOS-SYN-0000433</x:v>
      </x:c>
      <x:c r="C434" s="18" t="str">
        <x:v>EMP007</x:v>
      </x:c>
      <x:c r="D434" s="18" t="str">
        <x:v>CY2025Q4</x:v>
      </x:c>
      <x:c r="E434" s="18" t="str">
        <x:v>BR003</x:v>
      </x:c>
      <x:c r="F434" s="20" t="n">
        <x:v>46000.5</x:v>
      </x:c>
      <x:c r="G434" s="18" t="str">
        <x:v>Funded</x:v>
      </x:c>
      <x:c r="H434" s="23" t="n">
        <x:v>34500</x:v>
      </x:c>
      <x:c r="I434" s="18" t="str">
        <x:v>Debt consolidation loan</x:v>
      </x:c>
      <x:c r="J434" s="18" t="str">
        <x:v>Referral</x:v>
      </x:c>
      <x:c r="K434" s="20" t="n">
        <x:v>46012.5</x:v>
      </x:c>
    </x:row>
    <x:row r="435" ht="15" hidden="0" customHeight="1">
      <x:c r="A435" s="18" t="str">
        <x:v>LN000434</x:v>
      </x:c>
      <x:c r="B435" s="18" t="str">
        <x:v>LOS-SYN-0000434</x:v>
      </x:c>
      <x:c r="C435" s="18" t="str">
        <x:v>EMP007</x:v>
      </x:c>
      <x:c r="D435" s="18" t="str">
        <x:v>CY2025Q4</x:v>
      </x:c>
      <x:c r="E435" s="18" t="str">
        <x:v>BR003</x:v>
      </x:c>
      <x:c r="F435" s="20" t="n">
        <x:v>46003.5</x:v>
      </x:c>
      <x:c r="G435" s="18" t="str">
        <x:v>Funded</x:v>
      </x:c>
      <x:c r="H435" s="23" t="n">
        <x:v>41500</x:v>
      </x:c>
      <x:c r="I435" s="18" t="str">
        <x:v>Personal loan</x:v>
      </x:c>
      <x:c r="J435" s="18" t="str">
        <x:v>Existing customer</x:v>
      </x:c>
      <x:c r="K435" s="20" t="n">
        <x:v>46008.5</x:v>
      </x:c>
    </x:row>
    <x:row r="436" ht="15" hidden="0" customHeight="1">
      <x:c r="A436" s="18" t="str">
        <x:v>LN000435</x:v>
      </x:c>
      <x:c r="B436" s="18" t="str">
        <x:v>LOS-SYN-0000435</x:v>
      </x:c>
      <x:c r="C436" s="18" t="str">
        <x:v>EMP007</x:v>
      </x:c>
      <x:c r="D436" s="18" t="str">
        <x:v>CY2025Q4</x:v>
      </x:c>
      <x:c r="E436" s="18" t="str">
        <x:v>BR003</x:v>
      </x:c>
      <x:c r="F436" s="20" t="n">
        <x:v>45972.5</x:v>
      </x:c>
      <x:c r="G436" s="18" t="str">
        <x:v>Funded</x:v>
      </x:c>
      <x:c r="H436" s="23" t="n">
        <x:v>41000</x:v>
      </x:c>
      <x:c r="I436" s="18" t="str">
        <x:v>Personal loan</x:v>
      </x:c>
      <x:c r="J436" s="18" t="str">
        <x:v>Referral</x:v>
      </x:c>
      <x:c r="K436" s="20" t="n">
        <x:v>45975.5</x:v>
      </x:c>
    </x:row>
    <x:row r="437" ht="15" hidden="0" customHeight="1">
      <x:c r="A437" s="18" t="str">
        <x:v>LN000436</x:v>
      </x:c>
      <x:c r="B437" s="18" t="str">
        <x:v>LOS-SYN-0000436</x:v>
      </x:c>
      <x:c r="C437" s="18" t="str">
        <x:v>EMP007</x:v>
      </x:c>
      <x:c r="D437" s="18" t="str">
        <x:v>CY2025Q4</x:v>
      </x:c>
      <x:c r="E437" s="18" t="str">
        <x:v>BR003</x:v>
      </x:c>
      <x:c r="F437" s="20" t="n">
        <x:v>45961.5</x:v>
      </x:c>
      <x:c r="G437" s="18" t="str">
        <x:v>Funded</x:v>
      </x:c>
      <x:c r="H437" s="23" t="n">
        <x:v>40500</x:v>
      </x:c>
      <x:c r="I437" s="18" t="str">
        <x:v>Debt consolidation loan</x:v>
      </x:c>
      <x:c r="J437" s="18" t="str">
        <x:v>New customer</x:v>
      </x:c>
      <x:c r="K437" s="20" t="n">
        <x:v>45968.5</x:v>
      </x:c>
    </x:row>
    <x:row r="438" ht="15" hidden="0" customHeight="1">
      <x:c r="A438" s="18" t="str">
        <x:v>LN000437</x:v>
      </x:c>
      <x:c r="B438" s="18" t="str">
        <x:v>LOS-SYN-0000437</x:v>
      </x:c>
      <x:c r="C438" s="18" t="str">
        <x:v>EMP007</x:v>
      </x:c>
      <x:c r="D438" s="18" t="str">
        <x:v>CY2025Q4</x:v>
      </x:c>
      <x:c r="E438" s="18" t="str">
        <x:v>BR003</x:v>
      </x:c>
      <x:c r="F438" s="20" t="n">
        <x:v>45953.5</x:v>
      </x:c>
      <x:c r="G438" s="18" t="str">
        <x:v>Funded</x:v>
      </x:c>
      <x:c r="H438" s="23" t="n">
        <x:v>29000</x:v>
      </x:c>
      <x:c r="I438" s="18" t="str">
        <x:v>Debt consolidation loan</x:v>
      </x:c>
      <x:c r="J438" s="18" t="str">
        <x:v>Existing customer</x:v>
      </x:c>
      <x:c r="K438" s="20" t="n">
        <x:v>45965.5</x:v>
      </x:c>
    </x:row>
    <x:row r="439" ht="15" hidden="0" customHeight="1">
      <x:c r="A439" s="18" t="str">
        <x:v>LN000438</x:v>
      </x:c>
      <x:c r="B439" s="18" t="str">
        <x:v>LOS-SYN-0000438</x:v>
      </x:c>
      <x:c r="C439" s="18" t="str">
        <x:v>EMP007</x:v>
      </x:c>
      <x:c r="D439" s="18" t="str">
        <x:v>CY2025Q4</x:v>
      </x:c>
      <x:c r="E439" s="18" t="str">
        <x:v>BR003</x:v>
      </x:c>
      <x:c r="F439" s="20" t="n">
        <x:v>45985.5</x:v>
      </x:c>
      <x:c r="G439" s="18" t="str">
        <x:v>Cancelled</x:v>
      </x:c>
      <x:c r="H439" s="23" t="n">
        <x:v>68000</x:v>
      </x:c>
      <x:c r="I439" s="18" t="str">
        <x:v>Personal loan</x:v>
      </x:c>
      <x:c r="J439" s="18" t="str">
        <x:v>New customer</x:v>
      </x:c>
      <x:c r="K439" s="20"/>
    </x:row>
    <x:row r="440" ht="15" hidden="0" customHeight="1">
      <x:c r="A440" s="18" t="str">
        <x:v>LN000439</x:v>
      </x:c>
      <x:c r="B440" s="18" t="str">
        <x:v>LOS-SYN-0000439</x:v>
      </x:c>
      <x:c r="C440" s="18" t="str">
        <x:v>EMP008</x:v>
      </x:c>
      <x:c r="D440" s="18" t="str">
        <x:v>CY2025Q4</x:v>
      </x:c>
      <x:c r="E440" s="18" t="str">
        <x:v>BR003</x:v>
      </x:c>
      <x:c r="F440" s="20" t="n">
        <x:v>46005.5</x:v>
      </x:c>
      <x:c r="G440" s="18" t="str">
        <x:v>Funded</x:v>
      </x:c>
      <x:c r="H440" s="23" t="n">
        <x:v>40000</x:v>
      </x:c>
      <x:c r="I440" s="18" t="str">
        <x:v>Debt consolidation loan</x:v>
      </x:c>
      <x:c r="J440" s="18" t="str">
        <x:v>Referral</x:v>
      </x:c>
      <x:c r="K440" s="20" t="n">
        <x:v>46015.5</x:v>
      </x:c>
    </x:row>
    <x:row r="441" ht="15" hidden="0" customHeight="1">
      <x:c r="A441" s="18" t="str">
        <x:v>LN000440</x:v>
      </x:c>
      <x:c r="B441" s="18" t="str">
        <x:v>LOS-SYN-0000440</x:v>
      </x:c>
      <x:c r="C441" s="18" t="str">
        <x:v>EMP008</x:v>
      </x:c>
      <x:c r="D441" s="18" t="str">
        <x:v>CY2025Q4</x:v>
      </x:c>
      <x:c r="E441" s="18" t="str">
        <x:v>BR003</x:v>
      </x:c>
      <x:c r="F441" s="20" t="n">
        <x:v>46013.5</x:v>
      </x:c>
      <x:c r="G441" s="18" t="str">
        <x:v>Funded</x:v>
      </x:c>
      <x:c r="H441" s="23" t="n">
        <x:v>40500</x:v>
      </x:c>
      <x:c r="I441" s="18" t="str">
        <x:v>Auto loan</x:v>
      </x:c>
      <x:c r="J441" s="18" t="str">
        <x:v>Existing customer</x:v>
      </x:c>
      <x:c r="K441" s="20" t="n">
        <x:v>46020.5</x:v>
      </x:c>
    </x:row>
    <x:row r="442" ht="15" hidden="0" customHeight="1">
      <x:c r="A442" s="18" t="str">
        <x:v>LN000441</x:v>
      </x:c>
      <x:c r="B442" s="18" t="str">
        <x:v>LOS-SYN-0000441</x:v>
      </x:c>
      <x:c r="C442" s="18" t="str">
        <x:v>EMP008</x:v>
      </x:c>
      <x:c r="D442" s="18" t="str">
        <x:v>CY2025Q4</x:v>
      </x:c>
      <x:c r="E442" s="18" t="str">
        <x:v>BR003</x:v>
      </x:c>
      <x:c r="F442" s="20" t="n">
        <x:v>45957.5</x:v>
      </x:c>
      <x:c r="G442" s="18" t="str">
        <x:v>Funded</x:v>
      </x:c>
      <x:c r="H442" s="23" t="n">
        <x:v>41000</x:v>
      </x:c>
      <x:c r="I442" s="18" t="str">
        <x:v>Personal loan</x:v>
      </x:c>
      <x:c r="J442" s="18" t="str">
        <x:v>Referral</x:v>
      </x:c>
      <x:c r="K442" s="20" t="n">
        <x:v>45961.5</x:v>
      </x:c>
    </x:row>
    <x:row r="443" ht="15" hidden="0" customHeight="1">
      <x:c r="A443" s="18" t="str">
        <x:v>LN000442</x:v>
      </x:c>
      <x:c r="B443" s="18" t="str">
        <x:v>LOS-SYN-0000442</x:v>
      </x:c>
      <x:c r="C443" s="18" t="str">
        <x:v>EMP008</x:v>
      </x:c>
      <x:c r="D443" s="18" t="str">
        <x:v>CY2025Q4</x:v>
      </x:c>
      <x:c r="E443" s="18" t="str">
        <x:v>BR003</x:v>
      </x:c>
      <x:c r="F443" s="20" t="n">
        <x:v>45987.5</x:v>
      </x:c>
      <x:c r="G443" s="18" t="str">
        <x:v>Funded</x:v>
      </x:c>
      <x:c r="H443" s="23" t="n">
        <x:v>39500</x:v>
      </x:c>
      <x:c r="I443" s="18" t="str">
        <x:v>Home improvement loan</x:v>
      </x:c>
      <x:c r="J443" s="18" t="str">
        <x:v>Referral</x:v>
      </x:c>
      <x:c r="K443" s="20" t="n">
        <x:v>45994.5</x:v>
      </x:c>
    </x:row>
    <x:row r="444" ht="15" hidden="0" customHeight="1">
      <x:c r="A444" s="18" t="str">
        <x:v>LN000443</x:v>
      </x:c>
      <x:c r="B444" s="18" t="str">
        <x:v>LOS-SYN-0000443</x:v>
      </x:c>
      <x:c r="C444" s="18" t="str">
        <x:v>EMP008</x:v>
      </x:c>
      <x:c r="D444" s="18" t="str">
        <x:v>CY2025Q4</x:v>
      </x:c>
      <x:c r="E444" s="18" t="str">
        <x:v>BR003</x:v>
      </x:c>
      <x:c r="F444" s="20" t="n">
        <x:v>45979.5</x:v>
      </x:c>
      <x:c r="G444" s="18" t="str">
        <x:v>Funded</x:v>
      </x:c>
      <x:c r="H444" s="23" t="n">
        <x:v>30500</x:v>
      </x:c>
      <x:c r="I444" s="18" t="str">
        <x:v>Personal loan</x:v>
      </x:c>
      <x:c r="J444" s="18" t="str">
        <x:v>Existing customer</x:v>
      </x:c>
      <x:c r="K444" s="20" t="n">
        <x:v>45982.5</x:v>
      </x:c>
    </x:row>
    <x:row r="445" ht="15" hidden="0" customHeight="1">
      <x:c r="A445" s="18" t="str">
        <x:v>LN000444</x:v>
      </x:c>
      <x:c r="B445" s="18" t="str">
        <x:v>LOS-SYN-0000444</x:v>
      </x:c>
      <x:c r="C445" s="18" t="str">
        <x:v>EMP008</x:v>
      </x:c>
      <x:c r="D445" s="18" t="str">
        <x:v>CY2025Q4</x:v>
      </x:c>
      <x:c r="E445" s="18" t="str">
        <x:v>BR003</x:v>
      </x:c>
      <x:c r="F445" s="20" t="n">
        <x:v>45932.5</x:v>
      </x:c>
      <x:c r="G445" s="18" t="str">
        <x:v>Funded</x:v>
      </x:c>
      <x:c r="H445" s="23" t="n">
        <x:v>25500</x:v>
      </x:c>
      <x:c r="I445" s="18" t="str">
        <x:v>Debt consolidation loan</x:v>
      </x:c>
      <x:c r="J445" s="18" t="str">
        <x:v>Referral</x:v>
      </x:c>
      <x:c r="K445" s="20" t="n">
        <x:v>45944.5</x:v>
      </x:c>
    </x:row>
    <x:row r="446" ht="15" hidden="0" customHeight="1">
      <x:c r="A446" s="18" t="str">
        <x:v>LN000445</x:v>
      </x:c>
      <x:c r="B446" s="18" t="str">
        <x:v>LOS-SYN-0000445</x:v>
      </x:c>
      <x:c r="C446" s="18" t="str">
        <x:v>EMP009</x:v>
      </x:c>
      <x:c r="D446" s="18" t="str">
        <x:v>CY2025Q4</x:v>
      </x:c>
      <x:c r="E446" s="18" t="str">
        <x:v>BR004</x:v>
      </x:c>
      <x:c r="F446" s="20" t="n">
        <x:v>45958.5</x:v>
      </x:c>
      <x:c r="G446" s="18" t="str">
        <x:v>Funded</x:v>
      </x:c>
      <x:c r="H446" s="23" t="n">
        <x:v>49000</x:v>
      </x:c>
      <x:c r="I446" s="18" t="str">
        <x:v>Debt consolidation loan</x:v>
      </x:c>
      <x:c r="J446" s="18" t="str">
        <x:v>Referral</x:v>
      </x:c>
      <x:c r="K446" s="20" t="n">
        <x:v>45969.5</x:v>
      </x:c>
    </x:row>
    <x:row r="447" ht="15" hidden="0" customHeight="1">
      <x:c r="A447" s="18" t="str">
        <x:v>LN000446</x:v>
      </x:c>
      <x:c r="B447" s="18" t="str">
        <x:v>LOS-SYN-0000446</x:v>
      </x:c>
      <x:c r="C447" s="18" t="str">
        <x:v>EMP009</x:v>
      </x:c>
      <x:c r="D447" s="18" t="str">
        <x:v>CY2025Q4</x:v>
      </x:c>
      <x:c r="E447" s="18" t="str">
        <x:v>BR004</x:v>
      </x:c>
      <x:c r="F447" s="20" t="n">
        <x:v>46005.5</x:v>
      </x:c>
      <x:c r="G447" s="18" t="str">
        <x:v>Funded</x:v>
      </x:c>
      <x:c r="H447" s="23" t="n">
        <x:v>33000</x:v>
      </x:c>
      <x:c r="I447" s="18" t="str">
        <x:v>Home improvement loan</x:v>
      </x:c>
      <x:c r="J447" s="18" t="str">
        <x:v>Referral</x:v>
      </x:c>
      <x:c r="K447" s="20" t="n">
        <x:v>46013.5</x:v>
      </x:c>
    </x:row>
    <x:row r="448" ht="15" hidden="0" customHeight="1">
      <x:c r="A448" s="18" t="str">
        <x:v>LN000447</x:v>
      </x:c>
      <x:c r="B448" s="18" t="str">
        <x:v>LOS-SYN-0000447</x:v>
      </x:c>
      <x:c r="C448" s="18" t="str">
        <x:v>EMP009</x:v>
      </x:c>
      <x:c r="D448" s="18" t="str">
        <x:v>CY2025Q4</x:v>
      </x:c>
      <x:c r="E448" s="18" t="str">
        <x:v>BR004</x:v>
      </x:c>
      <x:c r="F448" s="20" t="n">
        <x:v>45959.5</x:v>
      </x:c>
      <x:c r="G448" s="18" t="str">
        <x:v>Funded</x:v>
      </x:c>
      <x:c r="H448" s="23" t="n">
        <x:v>41500</x:v>
      </x:c>
      <x:c r="I448" s="18" t="str">
        <x:v>Auto loan</x:v>
      </x:c>
      <x:c r="J448" s="18" t="str">
        <x:v>Referral</x:v>
      </x:c>
      <x:c r="K448" s="20" t="n">
        <x:v>45968.5</x:v>
      </x:c>
    </x:row>
    <x:row r="449" ht="15" hidden="0" customHeight="1">
      <x:c r="A449" s="18" t="str">
        <x:v>LN000448</x:v>
      </x:c>
      <x:c r="B449" s="18" t="str">
        <x:v>LOS-SYN-0000448</x:v>
      </x:c>
      <x:c r="C449" s="18" t="str">
        <x:v>EMP009</x:v>
      </x:c>
      <x:c r="D449" s="18" t="str">
        <x:v>CY2025Q4</x:v>
      </x:c>
      <x:c r="E449" s="18" t="str">
        <x:v>BR004</x:v>
      </x:c>
      <x:c r="F449" s="20" t="n">
        <x:v>45940.5</x:v>
      </x:c>
      <x:c r="G449" s="18" t="str">
        <x:v>Funded</x:v>
      </x:c>
      <x:c r="H449" s="23" t="n">
        <x:v>44500</x:v>
      </x:c>
      <x:c r="I449" s="18" t="str">
        <x:v>Debt consolidation loan</x:v>
      </x:c>
      <x:c r="J449" s="18" t="str">
        <x:v>Referral</x:v>
      </x:c>
      <x:c r="K449" s="20" t="n">
        <x:v>45949.5</x:v>
      </x:c>
    </x:row>
    <x:row r="450" ht="15" hidden="0" customHeight="1">
      <x:c r="A450" s="18" t="str">
        <x:v>LN000449</x:v>
      </x:c>
      <x:c r="B450" s="18" t="str">
        <x:v>LOS-SYN-0000449</x:v>
      </x:c>
      <x:c r="C450" s="18" t="str">
        <x:v>EMP009</x:v>
      </x:c>
      <x:c r="D450" s="18" t="str">
        <x:v>CY2025Q4</x:v>
      </x:c>
      <x:c r="E450" s="18" t="str">
        <x:v>BR004</x:v>
      </x:c>
      <x:c r="F450" s="20" t="n">
        <x:v>45960.5</x:v>
      </x:c>
      <x:c r="G450" s="18" t="str">
        <x:v>Funded</x:v>
      </x:c>
      <x:c r="H450" s="23" t="n">
        <x:v>33000</x:v>
      </x:c>
      <x:c r="I450" s="18" t="str">
        <x:v>Personal loan</x:v>
      </x:c>
      <x:c r="J450" s="18" t="str">
        <x:v>Existing customer</x:v>
      </x:c>
      <x:c r="K450" s="20" t="n">
        <x:v>45971.5</x:v>
      </x:c>
    </x:row>
    <x:row r="451" ht="15" hidden="0" customHeight="1">
      <x:c r="A451" s="18" t="str">
        <x:v>LN000450</x:v>
      </x:c>
      <x:c r="B451" s="18" t="str">
        <x:v>LOS-SYN-0000450</x:v>
      </x:c>
      <x:c r="C451" s="18" t="str">
        <x:v>EMP009</x:v>
      </x:c>
      <x:c r="D451" s="18" t="str">
        <x:v>CY2025Q4</x:v>
      </x:c>
      <x:c r="E451" s="18" t="str">
        <x:v>BR004</x:v>
      </x:c>
      <x:c r="F451" s="20" t="n">
        <x:v>46009.5</x:v>
      </x:c>
      <x:c r="G451" s="18" t="str">
        <x:v>Funded</x:v>
      </x:c>
      <x:c r="H451" s="23" t="n">
        <x:v>48000</x:v>
      </x:c>
      <x:c r="I451" s="18" t="str">
        <x:v>Personal loan</x:v>
      </x:c>
      <x:c r="J451" s="18" t="str">
        <x:v>New customer</x:v>
      </x:c>
      <x:c r="K451" s="20" t="n">
        <x:v>46014.5</x:v>
      </x:c>
    </x:row>
    <x:row r="452" ht="15" hidden="0" customHeight="1">
      <x:c r="A452" s="18" t="str">
        <x:v>LN000451</x:v>
      </x:c>
      <x:c r="B452" s="18" t="str">
        <x:v>LOS-SYN-0000451</x:v>
      </x:c>
      <x:c r="C452" s="18" t="str">
        <x:v>EMP009</x:v>
      </x:c>
      <x:c r="D452" s="18" t="str">
        <x:v>CY2025Q4</x:v>
      </x:c>
      <x:c r="E452" s="18" t="str">
        <x:v>BR004</x:v>
      </x:c>
      <x:c r="F452" s="20" t="n">
        <x:v>46010.5</x:v>
      </x:c>
      <x:c r="G452" s="18" t="str">
        <x:v>Funded</x:v>
      </x:c>
      <x:c r="H452" s="23" t="n">
        <x:v>37500</x:v>
      </x:c>
      <x:c r="I452" s="18" t="str">
        <x:v>Debt consolidation loan</x:v>
      </x:c>
      <x:c r="J452" s="18" t="str">
        <x:v>Referral</x:v>
      </x:c>
      <x:c r="K452" s="20" t="n">
        <x:v>46020.5</x:v>
      </x:c>
    </x:row>
    <x:row r="453" ht="15" hidden="0" customHeight="1">
      <x:c r="A453" s="18" t="str">
        <x:v>LN000452</x:v>
      </x:c>
      <x:c r="B453" s="18" t="str">
        <x:v>LOS-SYN-0000452</x:v>
      </x:c>
      <x:c r="C453" s="18" t="str">
        <x:v>EMP009</x:v>
      </x:c>
      <x:c r="D453" s="18" t="str">
        <x:v>CY2025Q4</x:v>
      </x:c>
      <x:c r="E453" s="18" t="str">
        <x:v>BR004</x:v>
      </x:c>
      <x:c r="F453" s="20" t="n">
        <x:v>45969.5</x:v>
      </x:c>
      <x:c r="G453" s="18" t="str">
        <x:v>Funded</x:v>
      </x:c>
      <x:c r="H453" s="23" t="n">
        <x:v>47500</x:v>
      </x:c>
      <x:c r="I453" s="18" t="str">
        <x:v>Auto loan</x:v>
      </x:c>
      <x:c r="J453" s="18" t="str">
        <x:v>New customer</x:v>
      </x:c>
      <x:c r="K453" s="20" t="n">
        <x:v>45980.5</x:v>
      </x:c>
    </x:row>
    <x:row r="454" ht="15" hidden="0" customHeight="1">
      <x:c r="A454" s="18" t="str">
        <x:v>LN000453</x:v>
      </x:c>
      <x:c r="B454" s="18" t="str">
        <x:v>LOS-SYN-0000453</x:v>
      </x:c>
      <x:c r="C454" s="18" t="str">
        <x:v>EMP009</x:v>
      </x:c>
      <x:c r="D454" s="18" t="str">
        <x:v>CY2025Q4</x:v>
      </x:c>
      <x:c r="E454" s="18" t="str">
        <x:v>BR004</x:v>
      </x:c>
      <x:c r="F454" s="20" t="n">
        <x:v>45963.5</x:v>
      </x:c>
      <x:c r="G454" s="18" t="str">
        <x:v>Funded</x:v>
      </x:c>
      <x:c r="H454" s="23" t="n">
        <x:v>34500</x:v>
      </x:c>
      <x:c r="I454" s="18" t="str">
        <x:v>Debt consolidation loan</x:v>
      </x:c>
      <x:c r="J454" s="18" t="str">
        <x:v>Existing customer</x:v>
      </x:c>
      <x:c r="K454" s="20" t="n">
        <x:v>45966.5</x:v>
      </x:c>
    </x:row>
    <x:row r="455" ht="15" hidden="0" customHeight="1">
      <x:c r="A455" s="18" t="str">
        <x:v>LN000454</x:v>
      </x:c>
      <x:c r="B455" s="18" t="str">
        <x:v>LOS-SYN-0000454</x:v>
      </x:c>
      <x:c r="C455" s="18" t="str">
        <x:v>EMP009</x:v>
      </x:c>
      <x:c r="D455" s="18" t="str">
        <x:v>CY2025Q4</x:v>
      </x:c>
      <x:c r="E455" s="18" t="str">
        <x:v>BR004</x:v>
      </x:c>
      <x:c r="F455" s="20" t="n">
        <x:v>45957.5</x:v>
      </x:c>
      <x:c r="G455" s="18" t="str">
        <x:v>Funded</x:v>
      </x:c>
      <x:c r="H455" s="23" t="n">
        <x:v>33500</x:v>
      </x:c>
      <x:c r="I455" s="18" t="str">
        <x:v>Home improvement loan</x:v>
      </x:c>
      <x:c r="J455" s="18" t="str">
        <x:v>New customer</x:v>
      </x:c>
      <x:c r="K455" s="20" t="n">
        <x:v>45964.5</x:v>
      </x:c>
    </x:row>
    <x:row r="456" ht="15" hidden="0" customHeight="1">
      <x:c r="A456" s="18" t="str">
        <x:v>LN000455</x:v>
      </x:c>
      <x:c r="B456" s="18" t="str">
        <x:v>LOS-SYN-0000455</x:v>
      </x:c>
      <x:c r="C456" s="18" t="str">
        <x:v>EMP009</x:v>
      </x:c>
      <x:c r="D456" s="18" t="str">
        <x:v>CY2025Q4</x:v>
      </x:c>
      <x:c r="E456" s="18" t="str">
        <x:v>BR004</x:v>
      </x:c>
      <x:c r="F456" s="20" t="n">
        <x:v>46000.5</x:v>
      </x:c>
      <x:c r="G456" s="18" t="str">
        <x:v>Funded</x:v>
      </x:c>
      <x:c r="H456" s="23" t="n">
        <x:v>40500</x:v>
      </x:c>
      <x:c r="I456" s="18" t="str">
        <x:v>Personal loan</x:v>
      </x:c>
      <x:c r="J456" s="18" t="str">
        <x:v>Existing customer</x:v>
      </x:c>
      <x:c r="K456" s="20" t="n">
        <x:v>46011.5</x:v>
      </x:c>
    </x:row>
    <x:row r="457" ht="15" hidden="0" customHeight="1">
      <x:c r="A457" s="18" t="str">
        <x:v>LN000456</x:v>
      </x:c>
      <x:c r="B457" s="18" t="str">
        <x:v>LOS-SYN-0000456</x:v>
      </x:c>
      <x:c r="C457" s="18" t="str">
        <x:v>EMP009</x:v>
      </x:c>
      <x:c r="D457" s="18" t="str">
        <x:v>CY2025Q4</x:v>
      </x:c>
      <x:c r="E457" s="18" t="str">
        <x:v>BR004</x:v>
      </x:c>
      <x:c r="F457" s="20" t="n">
        <x:v>46006.5</x:v>
      </x:c>
      <x:c r="G457" s="18" t="str">
        <x:v>Funded</x:v>
      </x:c>
      <x:c r="H457" s="23" t="n">
        <x:v>35000</x:v>
      </x:c>
      <x:c r="I457" s="18" t="str">
        <x:v>Debt consolidation loan</x:v>
      </x:c>
      <x:c r="J457" s="18" t="str">
        <x:v>New customer</x:v>
      </x:c>
      <x:c r="K457" s="20" t="n">
        <x:v>46016.5</x:v>
      </x:c>
    </x:row>
    <x:row r="458" ht="15" hidden="0" customHeight="1">
      <x:c r="A458" s="18" t="str">
        <x:v>LN000457</x:v>
      </x:c>
      <x:c r="B458" s="18" t="str">
        <x:v>LOS-SYN-0000457</x:v>
      </x:c>
      <x:c r="C458" s="18" t="str">
        <x:v>EMP009</x:v>
      </x:c>
      <x:c r="D458" s="18" t="str">
        <x:v>CY2025Q4</x:v>
      </x:c>
      <x:c r="E458" s="18" t="str">
        <x:v>BR004</x:v>
      </x:c>
      <x:c r="F458" s="20" t="n">
        <x:v>46014.5</x:v>
      </x:c>
      <x:c r="G458" s="18" t="str">
        <x:v>Funded</x:v>
      </x:c>
      <x:c r="H458" s="23" t="n">
        <x:v>41500</x:v>
      </x:c>
      <x:c r="I458" s="18" t="str">
        <x:v>Debt consolidation loan</x:v>
      </x:c>
      <x:c r="J458" s="18" t="str">
        <x:v>New customer</x:v>
      </x:c>
      <x:c r="K458" s="20" t="n">
        <x:v>46023.5</x:v>
      </x:c>
    </x:row>
    <x:row r="459" ht="15" hidden="0" customHeight="1">
      <x:c r="A459" s="18" t="str">
        <x:v>LN000458</x:v>
      </x:c>
      <x:c r="B459" s="18" t="str">
        <x:v>LOS-SYN-0000458</x:v>
      </x:c>
      <x:c r="C459" s="18" t="str">
        <x:v>EMP010</x:v>
      </x:c>
      <x:c r="D459" s="18" t="str">
        <x:v>CY2025Q4</x:v>
      </x:c>
      <x:c r="E459" s="18" t="str">
        <x:v>BR004</x:v>
      </x:c>
      <x:c r="F459" s="20" t="n">
        <x:v>46015.5</x:v>
      </x:c>
      <x:c r="G459" s="18" t="str">
        <x:v>Funded</x:v>
      </x:c>
      <x:c r="H459" s="23" t="n">
        <x:v>54000</x:v>
      </x:c>
      <x:c r="I459" s="18" t="str">
        <x:v>Auto loan</x:v>
      </x:c>
      <x:c r="J459" s="18" t="str">
        <x:v>Existing customer</x:v>
      </x:c>
      <x:c r="K459" s="20" t="n">
        <x:v>46024.5</x:v>
      </x:c>
    </x:row>
    <x:row r="460" ht="15" hidden="0" customHeight="1">
      <x:c r="A460" s="18" t="str">
        <x:v>LN000459</x:v>
      </x:c>
      <x:c r="B460" s="18" t="str">
        <x:v>LOS-SYN-0000459</x:v>
      </x:c>
      <x:c r="C460" s="18" t="str">
        <x:v>EMP010</x:v>
      </x:c>
      <x:c r="D460" s="18" t="str">
        <x:v>CY2025Q4</x:v>
      </x:c>
      <x:c r="E460" s="18" t="str">
        <x:v>BR004</x:v>
      </x:c>
      <x:c r="F460" s="20" t="n">
        <x:v>45962.5</x:v>
      </x:c>
      <x:c r="G460" s="18" t="str">
        <x:v>Funded</x:v>
      </x:c>
      <x:c r="H460" s="23" t="n">
        <x:v>56000</x:v>
      </x:c>
      <x:c r="I460" s="18" t="str">
        <x:v>Personal loan</x:v>
      </x:c>
      <x:c r="J460" s="18" t="str">
        <x:v>Referral</x:v>
      </x:c>
      <x:c r="K460" s="20" t="n">
        <x:v>45971.5</x:v>
      </x:c>
    </x:row>
    <x:row r="461" ht="15" hidden="0" customHeight="1">
      <x:c r="A461" s="18" t="str">
        <x:v>LN000460</x:v>
      </x:c>
      <x:c r="B461" s="18" t="str">
        <x:v>LOS-SYN-0000460</x:v>
      </x:c>
      <x:c r="C461" s="18" t="str">
        <x:v>EMP010</x:v>
      </x:c>
      <x:c r="D461" s="18" t="str">
        <x:v>CY2025Q4</x:v>
      </x:c>
      <x:c r="E461" s="18" t="str">
        <x:v>BR004</x:v>
      </x:c>
      <x:c r="F461" s="20" t="n">
        <x:v>45955.5</x:v>
      </x:c>
      <x:c r="G461" s="18" t="str">
        <x:v>Funded</x:v>
      </x:c>
      <x:c r="H461" s="23" t="n">
        <x:v>45500</x:v>
      </x:c>
      <x:c r="I461" s="18" t="str">
        <x:v>Personal loan</x:v>
      </x:c>
      <x:c r="J461" s="18" t="str">
        <x:v>Existing customer</x:v>
      </x:c>
      <x:c r="K461" s="20" t="n">
        <x:v>45966.5</x:v>
      </x:c>
    </x:row>
    <x:row r="462" ht="15" hidden="0" customHeight="1">
      <x:c r="A462" s="18" t="str">
        <x:v>LN000461</x:v>
      </x:c>
      <x:c r="B462" s="18" t="str">
        <x:v>LOS-SYN-0000461</x:v>
      </x:c>
      <x:c r="C462" s="18" t="str">
        <x:v>EMP010</x:v>
      </x:c>
      <x:c r="D462" s="18" t="str">
        <x:v>CY2025Q4</x:v>
      </x:c>
      <x:c r="E462" s="18" t="str">
        <x:v>BR004</x:v>
      </x:c>
      <x:c r="F462" s="20" t="n">
        <x:v>45946.5</x:v>
      </x:c>
      <x:c r="G462" s="18" t="str">
        <x:v>Funded</x:v>
      </x:c>
      <x:c r="H462" s="23" t="n">
        <x:v>43000</x:v>
      </x:c>
      <x:c r="I462" s="18" t="str">
        <x:v>Auto loan</x:v>
      </x:c>
      <x:c r="J462" s="18" t="str">
        <x:v>New customer</x:v>
      </x:c>
      <x:c r="K462" s="20" t="n">
        <x:v>45958.5</x:v>
      </x:c>
    </x:row>
    <x:row r="463" ht="15" hidden="0" customHeight="1">
      <x:c r="A463" s="18" t="str">
        <x:v>LN000462</x:v>
      </x:c>
      <x:c r="B463" s="18" t="str">
        <x:v>LOS-SYN-0000462</x:v>
      </x:c>
      <x:c r="C463" s="18" t="str">
        <x:v>EMP010</x:v>
      </x:c>
      <x:c r="D463" s="18" t="str">
        <x:v>CY2025Q4</x:v>
      </x:c>
      <x:c r="E463" s="18" t="str">
        <x:v>BR004</x:v>
      </x:c>
      <x:c r="F463" s="20" t="n">
        <x:v>45954.5</x:v>
      </x:c>
      <x:c r="G463" s="18" t="str">
        <x:v>Funded</x:v>
      </x:c>
      <x:c r="H463" s="23" t="n">
        <x:v>50500</x:v>
      </x:c>
      <x:c r="I463" s="18" t="str">
        <x:v>Personal loan</x:v>
      </x:c>
      <x:c r="J463" s="18" t="str">
        <x:v>Referral</x:v>
      </x:c>
      <x:c r="K463" s="20" t="n">
        <x:v>45961.5</x:v>
      </x:c>
    </x:row>
    <x:row r="464" ht="15" hidden="0" customHeight="1">
      <x:c r="A464" s="18" t="str">
        <x:v>LN000463</x:v>
      </x:c>
      <x:c r="B464" s="18" t="str">
        <x:v>LOS-SYN-0000463</x:v>
      </x:c>
      <x:c r="C464" s="18" t="str">
        <x:v>EMP010</x:v>
      </x:c>
      <x:c r="D464" s="18" t="str">
        <x:v>CY2025Q4</x:v>
      </x:c>
      <x:c r="E464" s="18" t="str">
        <x:v>BR004</x:v>
      </x:c>
      <x:c r="F464" s="20" t="n">
        <x:v>46002.5</x:v>
      </x:c>
      <x:c r="G464" s="18" t="str">
        <x:v>Funded</x:v>
      </x:c>
      <x:c r="H464" s="23" t="n">
        <x:v>36000</x:v>
      </x:c>
      <x:c r="I464" s="18" t="str">
        <x:v>Auto loan</x:v>
      </x:c>
      <x:c r="J464" s="18" t="str">
        <x:v>New customer</x:v>
      </x:c>
      <x:c r="K464" s="20" t="n">
        <x:v>46008.5</x:v>
      </x:c>
    </x:row>
    <x:row r="465" ht="15" hidden="0" customHeight="1">
      <x:c r="A465" s="18" t="str">
        <x:v>LN000464</x:v>
      </x:c>
      <x:c r="B465" s="18" t="str">
        <x:v>LOS-SYN-0000464</x:v>
      </x:c>
      <x:c r="C465" s="18" t="str">
        <x:v>EMP010</x:v>
      </x:c>
      <x:c r="D465" s="18" t="str">
        <x:v>CY2025Q4</x:v>
      </x:c>
      <x:c r="E465" s="18" t="str">
        <x:v>BR004</x:v>
      </x:c>
      <x:c r="F465" s="20" t="n">
        <x:v>45941.5</x:v>
      </x:c>
      <x:c r="G465" s="18" t="str">
        <x:v>Funded</x:v>
      </x:c>
      <x:c r="H465" s="23" t="n">
        <x:v>50000</x:v>
      </x:c>
      <x:c r="I465" s="18" t="str">
        <x:v>Auto loan</x:v>
      </x:c>
      <x:c r="J465" s="18" t="str">
        <x:v>New customer</x:v>
      </x:c>
      <x:c r="K465" s="20" t="n">
        <x:v>45950.5</x:v>
      </x:c>
    </x:row>
    <x:row r="466" ht="15" hidden="0" customHeight="1">
      <x:c r="A466" s="18" t="str">
        <x:v>LN000465</x:v>
      </x:c>
      <x:c r="B466" s="18" t="str">
        <x:v>LOS-SYN-0000465</x:v>
      </x:c>
      <x:c r="C466" s="18" t="str">
        <x:v>EMP010</x:v>
      </x:c>
      <x:c r="D466" s="18" t="str">
        <x:v>CY2025Q4</x:v>
      </x:c>
      <x:c r="E466" s="18" t="str">
        <x:v>BR004</x:v>
      </x:c>
      <x:c r="F466" s="20" t="n">
        <x:v>45968.5</x:v>
      </x:c>
      <x:c r="G466" s="18" t="str">
        <x:v>Funded</x:v>
      </x:c>
      <x:c r="H466" s="23" t="n">
        <x:v>36000</x:v>
      </x:c>
      <x:c r="I466" s="18" t="str">
        <x:v>Debt consolidation loan</x:v>
      </x:c>
      <x:c r="J466" s="18" t="str">
        <x:v>Existing customer</x:v>
      </x:c>
      <x:c r="K466" s="20" t="n">
        <x:v>45975.5</x:v>
      </x:c>
    </x:row>
    <x:row r="467" ht="15" hidden="0" customHeight="1">
      <x:c r="A467" s="18" t="str">
        <x:v>LN000466</x:v>
      </x:c>
      <x:c r="B467" s="18" t="str">
        <x:v>LOS-SYN-0000466</x:v>
      </x:c>
      <x:c r="C467" s="18" t="str">
        <x:v>EMP010</x:v>
      </x:c>
      <x:c r="D467" s="18" t="str">
        <x:v>CY2025Q4</x:v>
      </x:c>
      <x:c r="E467" s="18" t="str">
        <x:v>BR004</x:v>
      </x:c>
      <x:c r="F467" s="20" t="n">
        <x:v>46012.5</x:v>
      </x:c>
      <x:c r="G467" s="18" t="str">
        <x:v>Funded</x:v>
      </x:c>
      <x:c r="H467" s="23" t="n">
        <x:v>43000</x:v>
      </x:c>
      <x:c r="I467" s="18" t="str">
        <x:v>Home improvement loan</x:v>
      </x:c>
      <x:c r="J467" s="18" t="str">
        <x:v>New customer</x:v>
      </x:c>
      <x:c r="K467" s="20" t="n">
        <x:v>46022.5</x:v>
      </x:c>
    </x:row>
    <x:row r="468" ht="15" hidden="0" customHeight="1">
      <x:c r="A468" s="18" t="str">
        <x:v>LN000467</x:v>
      </x:c>
      <x:c r="B468" s="18" t="str">
        <x:v>LOS-SYN-0000467</x:v>
      </x:c>
      <x:c r="C468" s="18" t="str">
        <x:v>EMP010</x:v>
      </x:c>
      <x:c r="D468" s="18" t="str">
        <x:v>CY2025Q4</x:v>
      </x:c>
      <x:c r="E468" s="18" t="str">
        <x:v>BR004</x:v>
      </x:c>
      <x:c r="F468" s="20" t="n">
        <x:v>45981.5</x:v>
      </x:c>
      <x:c r="G468" s="18" t="str">
        <x:v>Cancelled</x:v>
      </x:c>
      <x:c r="H468" s="23" t="n">
        <x:v>59000</x:v>
      </x:c>
      <x:c r="I468" s="18" t="str">
        <x:v>Personal loan</x:v>
      </x:c>
      <x:c r="J468" s="18" t="str">
        <x:v>New customer</x:v>
      </x:c>
      <x:c r="K468" s="20"/>
    </x:row>
    <x:row r="469" ht="15" hidden="0" customHeight="1">
      <x:c r="A469" s="18" t="str">
        <x:v>LN000468</x:v>
      </x:c>
      <x:c r="B469" s="18" t="str">
        <x:v>LOS-SYN-0000468</x:v>
      </x:c>
      <x:c r="C469" s="18" t="str">
        <x:v>EMP011</x:v>
      </x:c>
      <x:c r="D469" s="18" t="str">
        <x:v>CY2025Q4</x:v>
      </x:c>
      <x:c r="E469" s="18" t="str">
        <x:v>BR004</x:v>
      </x:c>
      <x:c r="F469" s="20" t="n">
        <x:v>45951.5</x:v>
      </x:c>
      <x:c r="G469" s="18" t="str">
        <x:v>Funded</x:v>
      </x:c>
      <x:c r="H469" s="23" t="n">
        <x:v>42000</x:v>
      </x:c>
      <x:c r="I469" s="18" t="str">
        <x:v>Personal loan</x:v>
      </x:c>
      <x:c r="J469" s="18" t="str">
        <x:v>Existing customer</x:v>
      </x:c>
      <x:c r="K469" s="20" t="n">
        <x:v>45957.5</x:v>
      </x:c>
    </x:row>
    <x:row r="470" ht="15" hidden="0" customHeight="1">
      <x:c r="A470" s="18" t="str">
        <x:v>LN000469</x:v>
      </x:c>
      <x:c r="B470" s="18" t="str">
        <x:v>LOS-SYN-0000469</x:v>
      </x:c>
      <x:c r="C470" s="18" t="str">
        <x:v>EMP011</x:v>
      </x:c>
      <x:c r="D470" s="18" t="str">
        <x:v>CY2025Q4</x:v>
      </x:c>
      <x:c r="E470" s="18" t="str">
        <x:v>BR004</x:v>
      </x:c>
      <x:c r="F470" s="20" t="n">
        <x:v>45979.5</x:v>
      </x:c>
      <x:c r="G470" s="18" t="str">
        <x:v>Funded</x:v>
      </x:c>
      <x:c r="H470" s="23" t="n">
        <x:v>43500</x:v>
      </x:c>
      <x:c r="I470" s="18" t="str">
        <x:v>Home improvement loan</x:v>
      </x:c>
      <x:c r="J470" s="18" t="str">
        <x:v>Existing customer</x:v>
      </x:c>
      <x:c r="K470" s="20" t="n">
        <x:v>45987.5</x:v>
      </x:c>
    </x:row>
    <x:row r="471" ht="15" hidden="0" customHeight="1">
      <x:c r="A471" s="18" t="str">
        <x:v>LN000470</x:v>
      </x:c>
      <x:c r="B471" s="18" t="str">
        <x:v>LOS-SYN-0000470</x:v>
      </x:c>
      <x:c r="C471" s="18" t="str">
        <x:v>EMP011</x:v>
      </x:c>
      <x:c r="D471" s="18" t="str">
        <x:v>CY2025Q4</x:v>
      </x:c>
      <x:c r="E471" s="18" t="str">
        <x:v>BR004</x:v>
      </x:c>
      <x:c r="F471" s="20" t="n">
        <x:v>45949.5</x:v>
      </x:c>
      <x:c r="G471" s="18" t="str">
        <x:v>Funded</x:v>
      </x:c>
      <x:c r="H471" s="23" t="n">
        <x:v>29000</x:v>
      </x:c>
      <x:c r="I471" s="18" t="str">
        <x:v>Auto loan</x:v>
      </x:c>
      <x:c r="J471" s="18" t="str">
        <x:v>Existing customer</x:v>
      </x:c>
      <x:c r="K471" s="20" t="n">
        <x:v>45958.5</x:v>
      </x:c>
    </x:row>
    <x:row r="472" ht="15" hidden="0" customHeight="1">
      <x:c r="A472" s="18" t="str">
        <x:v>LN000471</x:v>
      </x:c>
      <x:c r="B472" s="18" t="str">
        <x:v>LOS-SYN-0000471</x:v>
      </x:c>
      <x:c r="C472" s="18" t="str">
        <x:v>EMP011</x:v>
      </x:c>
      <x:c r="D472" s="18" t="str">
        <x:v>CY2025Q4</x:v>
      </x:c>
      <x:c r="E472" s="18" t="str">
        <x:v>BR004</x:v>
      </x:c>
      <x:c r="F472" s="20" t="n">
        <x:v>45953.5</x:v>
      </x:c>
      <x:c r="G472" s="18" t="str">
        <x:v>Funded</x:v>
      </x:c>
      <x:c r="H472" s="23" t="n">
        <x:v>30500</x:v>
      </x:c>
      <x:c r="I472" s="18" t="str">
        <x:v>Debt consolidation loan</x:v>
      </x:c>
      <x:c r="J472" s="18" t="str">
        <x:v>New customer</x:v>
      </x:c>
      <x:c r="K472" s="20" t="n">
        <x:v>45959.5</x:v>
      </x:c>
    </x:row>
    <x:row r="473" ht="15" hidden="0" customHeight="1">
      <x:c r="A473" s="18" t="str">
        <x:v>LN000472</x:v>
      </x:c>
      <x:c r="B473" s="18" t="str">
        <x:v>LOS-SYN-0000472</x:v>
      </x:c>
      <x:c r="C473" s="18" t="str">
        <x:v>EMP011</x:v>
      </x:c>
      <x:c r="D473" s="18" t="str">
        <x:v>CY2025Q4</x:v>
      </x:c>
      <x:c r="E473" s="18" t="str">
        <x:v>BR004</x:v>
      </x:c>
      <x:c r="F473" s="20" t="n">
        <x:v>45995.5</x:v>
      </x:c>
      <x:c r="G473" s="18" t="str">
        <x:v>Funded</x:v>
      </x:c>
      <x:c r="H473" s="23" t="n">
        <x:v>45000</x:v>
      </x:c>
      <x:c r="I473" s="18" t="str">
        <x:v>Debt consolidation loan</x:v>
      </x:c>
      <x:c r="J473" s="18" t="str">
        <x:v>Referral</x:v>
      </x:c>
      <x:c r="K473" s="20" t="n">
        <x:v>46002.5</x:v>
      </x:c>
    </x:row>
    <x:row r="474" ht="15" hidden="0" customHeight="1">
      <x:c r="A474" s="18" t="str">
        <x:v>LN000473</x:v>
      </x:c>
      <x:c r="B474" s="18" t="str">
        <x:v>LOS-SYN-0000473</x:v>
      </x:c>
      <x:c r="C474" s="18" t="str">
        <x:v>EMP011</x:v>
      </x:c>
      <x:c r="D474" s="18" t="str">
        <x:v>CY2025Q4</x:v>
      </x:c>
      <x:c r="E474" s="18" t="str">
        <x:v>BR004</x:v>
      </x:c>
      <x:c r="F474" s="20" t="n">
        <x:v>46000.5</x:v>
      </x:c>
      <x:c r="G474" s="18" t="str">
        <x:v>Funded</x:v>
      </x:c>
      <x:c r="H474" s="23" t="n">
        <x:v>35000</x:v>
      </x:c>
      <x:c r="I474" s="18" t="str">
        <x:v>Debt consolidation loan</x:v>
      </x:c>
      <x:c r="J474" s="18" t="str">
        <x:v>New customer</x:v>
      </x:c>
      <x:c r="K474" s="20" t="n">
        <x:v>46007.5</x:v>
      </x:c>
    </x:row>
    <x:row r="475" ht="15" hidden="0" customHeight="1">
      <x:c r="A475" s="18" t="str">
        <x:v>LN000474</x:v>
      </x:c>
      <x:c r="B475" s="18" t="str">
        <x:v>LOS-SYN-0000474</x:v>
      </x:c>
      <x:c r="C475" s="18" t="str">
        <x:v>EMP011</x:v>
      </x:c>
      <x:c r="D475" s="18" t="str">
        <x:v>CY2025Q4</x:v>
      </x:c>
      <x:c r="E475" s="18" t="str">
        <x:v>BR004</x:v>
      </x:c>
      <x:c r="F475" s="20" t="n">
        <x:v>45991.5</x:v>
      </x:c>
      <x:c r="G475" s="18" t="str">
        <x:v>Funded</x:v>
      </x:c>
      <x:c r="H475" s="23" t="n">
        <x:v>41000</x:v>
      </x:c>
      <x:c r="I475" s="18" t="str">
        <x:v>Home improvement loan</x:v>
      </x:c>
      <x:c r="J475" s="18" t="str">
        <x:v>New customer</x:v>
      </x:c>
      <x:c r="K475" s="20" t="n">
        <x:v>46000.5</x:v>
      </x:c>
    </x:row>
    <x:row r="476" ht="15" hidden="0" customHeight="1">
      <x:c r="A476" s="18" t="str">
        <x:v>LN000475</x:v>
      </x:c>
      <x:c r="B476" s="18" t="str">
        <x:v>LOS-SYN-0000475</x:v>
      </x:c>
      <x:c r="C476" s="18" t="str">
        <x:v>EMP011</x:v>
      </x:c>
      <x:c r="D476" s="18" t="str">
        <x:v>CY2025Q4</x:v>
      </x:c>
      <x:c r="E476" s="18" t="str">
        <x:v>BR004</x:v>
      </x:c>
      <x:c r="F476" s="20" t="n">
        <x:v>45972.5</x:v>
      </x:c>
      <x:c r="G476" s="18" t="str">
        <x:v>Funded</x:v>
      </x:c>
      <x:c r="H476" s="23" t="n">
        <x:v>40000</x:v>
      </x:c>
      <x:c r="I476" s="18" t="str">
        <x:v>Debt consolidation loan</x:v>
      </x:c>
      <x:c r="J476" s="18" t="str">
        <x:v>Existing customer</x:v>
      </x:c>
      <x:c r="K476" s="20" t="n">
        <x:v>45977.5</x:v>
      </x:c>
    </x:row>
    <x:row r="477" ht="15" hidden="0" customHeight="1">
      <x:c r="A477" s="18" t="str">
        <x:v>LN000476</x:v>
      </x:c>
      <x:c r="B477" s="18" t="str">
        <x:v>LOS-SYN-0000476</x:v>
      </x:c>
      <x:c r="C477" s="18" t="str">
        <x:v>EMP011</x:v>
      </x:c>
      <x:c r="D477" s="18" t="str">
        <x:v>CY2025Q4</x:v>
      </x:c>
      <x:c r="E477" s="18" t="str">
        <x:v>BR004</x:v>
      </x:c>
      <x:c r="F477" s="20" t="n">
        <x:v>45984.5</x:v>
      </x:c>
      <x:c r="G477" s="18" t="str">
        <x:v>Funded</x:v>
      </x:c>
      <x:c r="H477" s="23" t="n">
        <x:v>36500</x:v>
      </x:c>
      <x:c r="I477" s="18" t="str">
        <x:v>Home improvement loan</x:v>
      </x:c>
      <x:c r="J477" s="18" t="str">
        <x:v>Existing customer</x:v>
      </x:c>
      <x:c r="K477" s="20" t="n">
        <x:v>45994.5</x:v>
      </x:c>
    </x:row>
    <x:row r="478" ht="15" hidden="0" customHeight="1">
      <x:c r="A478" s="18" t="str">
        <x:v>LN000477</x:v>
      </x:c>
      <x:c r="B478" s="18" t="str">
        <x:v>LOS-SYN-0000477</x:v>
      </x:c>
      <x:c r="C478" s="18" t="str">
        <x:v>EMP011</x:v>
      </x:c>
      <x:c r="D478" s="18" t="str">
        <x:v>CY2025Q4</x:v>
      </x:c>
      <x:c r="E478" s="18" t="str">
        <x:v>BR004</x:v>
      </x:c>
      <x:c r="F478" s="20" t="n">
        <x:v>46001.5</x:v>
      </x:c>
      <x:c r="G478" s="18" t="str">
        <x:v>Funded</x:v>
      </x:c>
      <x:c r="H478" s="23" t="n">
        <x:v>36500</x:v>
      </x:c>
      <x:c r="I478" s="18" t="str">
        <x:v>Auto loan</x:v>
      </x:c>
      <x:c r="J478" s="18" t="str">
        <x:v>Referral</x:v>
      </x:c>
      <x:c r="K478" s="20" t="n">
        <x:v>46011.5</x:v>
      </x:c>
    </x:row>
    <x:row r="479" ht="15" hidden="0" customHeight="1">
      <x:c r="A479" s="18" t="str">
        <x:v>LN000478</x:v>
      </x:c>
      <x:c r="B479" s="18" t="str">
        <x:v>LOS-SYN-0000478</x:v>
      </x:c>
      <x:c r="C479" s="18" t="str">
        <x:v>EMP012</x:v>
      </x:c>
      <x:c r="D479" s="18" t="str">
        <x:v>CY2025Q4</x:v>
      </x:c>
      <x:c r="E479" s="18" t="str">
        <x:v>BR005</x:v>
      </x:c>
      <x:c r="F479" s="20" t="n">
        <x:v>46008.5</x:v>
      </x:c>
      <x:c r="G479" s="18" t="str">
        <x:v>Funded</x:v>
      </x:c>
      <x:c r="H479" s="23" t="n">
        <x:v>47500</x:v>
      </x:c>
      <x:c r="I479" s="18" t="str">
        <x:v>Home improvement loan</x:v>
      </x:c>
      <x:c r="J479" s="18" t="str">
        <x:v>Referral</x:v>
      </x:c>
      <x:c r="K479" s="20" t="n">
        <x:v>46020.5</x:v>
      </x:c>
    </x:row>
    <x:row r="480" ht="15" hidden="0" customHeight="1">
      <x:c r="A480" s="18" t="str">
        <x:v>LN000479</x:v>
      </x:c>
      <x:c r="B480" s="18" t="str">
        <x:v>LOS-SYN-0000479</x:v>
      </x:c>
      <x:c r="C480" s="18" t="str">
        <x:v>EMP012</x:v>
      </x:c>
      <x:c r="D480" s="18" t="str">
        <x:v>CY2025Q4</x:v>
      </x:c>
      <x:c r="E480" s="18" t="str">
        <x:v>BR005</x:v>
      </x:c>
      <x:c r="F480" s="20" t="n">
        <x:v>45984.5</x:v>
      </x:c>
      <x:c r="G480" s="18" t="str">
        <x:v>Funded</x:v>
      </x:c>
      <x:c r="H480" s="23" t="n">
        <x:v>45000</x:v>
      </x:c>
      <x:c r="I480" s="18" t="str">
        <x:v>Debt consolidation loan</x:v>
      </x:c>
      <x:c r="J480" s="18" t="str">
        <x:v>Existing customer</x:v>
      </x:c>
      <x:c r="K480" s="20" t="n">
        <x:v>45989.5</x:v>
      </x:c>
    </x:row>
    <x:row r="481" ht="15" hidden="0" customHeight="1">
      <x:c r="A481" s="18" t="str">
        <x:v>LN000480</x:v>
      </x:c>
      <x:c r="B481" s="18" t="str">
        <x:v>LOS-SYN-0000480</x:v>
      </x:c>
      <x:c r="C481" s="18" t="str">
        <x:v>EMP012</x:v>
      </x:c>
      <x:c r="D481" s="18" t="str">
        <x:v>CY2025Q4</x:v>
      </x:c>
      <x:c r="E481" s="18" t="str">
        <x:v>BR005</x:v>
      </x:c>
      <x:c r="F481" s="20" t="n">
        <x:v>45953.5</x:v>
      </x:c>
      <x:c r="G481" s="18" t="str">
        <x:v>Funded</x:v>
      </x:c>
      <x:c r="H481" s="23" t="n">
        <x:v>53000</x:v>
      </x:c>
      <x:c r="I481" s="18" t="str">
        <x:v>Home improvement loan</x:v>
      </x:c>
      <x:c r="J481" s="18" t="str">
        <x:v>Referral</x:v>
      </x:c>
      <x:c r="K481" s="20" t="n">
        <x:v>45960.5</x:v>
      </x:c>
    </x:row>
    <x:row r="482" ht="15" hidden="0" customHeight="1">
      <x:c r="A482" s="18" t="str">
        <x:v>LN000481</x:v>
      </x:c>
      <x:c r="B482" s="18" t="str">
        <x:v>LOS-SYN-0000481</x:v>
      </x:c>
      <x:c r="C482" s="18" t="str">
        <x:v>EMP012</x:v>
      </x:c>
      <x:c r="D482" s="18" t="str">
        <x:v>CY2025Q4</x:v>
      </x:c>
      <x:c r="E482" s="18" t="str">
        <x:v>BR005</x:v>
      </x:c>
      <x:c r="F482" s="20" t="n">
        <x:v>46003.5</x:v>
      </x:c>
      <x:c r="G482" s="18" t="str">
        <x:v>Funded</x:v>
      </x:c>
      <x:c r="H482" s="23" t="n">
        <x:v>55000</x:v>
      </x:c>
      <x:c r="I482" s="18" t="str">
        <x:v>Personal loan</x:v>
      </x:c>
      <x:c r="J482" s="18" t="str">
        <x:v>Referral</x:v>
      </x:c>
      <x:c r="K482" s="20" t="n">
        <x:v>46011.5</x:v>
      </x:c>
    </x:row>
    <x:row r="483" ht="15" hidden="0" customHeight="1">
      <x:c r="A483" s="18" t="str">
        <x:v>LN000482</x:v>
      </x:c>
      <x:c r="B483" s="18" t="str">
        <x:v>LOS-SYN-0000482</x:v>
      </x:c>
      <x:c r="C483" s="18" t="str">
        <x:v>EMP012</x:v>
      </x:c>
      <x:c r="D483" s="18" t="str">
        <x:v>CY2025Q4</x:v>
      </x:c>
      <x:c r="E483" s="18" t="str">
        <x:v>BR005</x:v>
      </x:c>
      <x:c r="F483" s="20" t="n">
        <x:v>45999.5</x:v>
      </x:c>
      <x:c r="G483" s="18" t="str">
        <x:v>Funded</x:v>
      </x:c>
      <x:c r="H483" s="23" t="n">
        <x:v>52000</x:v>
      </x:c>
      <x:c r="I483" s="18" t="str">
        <x:v>Auto loan</x:v>
      </x:c>
      <x:c r="J483" s="18" t="str">
        <x:v>Referral</x:v>
      </x:c>
      <x:c r="K483" s="20" t="n">
        <x:v>46010.5</x:v>
      </x:c>
    </x:row>
    <x:row r="484" ht="15" hidden="0" customHeight="1">
      <x:c r="A484" s="18" t="str">
        <x:v>LN000483</x:v>
      </x:c>
      <x:c r="B484" s="18" t="str">
        <x:v>LOS-SYN-0000483</x:v>
      </x:c>
      <x:c r="C484" s="18" t="str">
        <x:v>EMP012</x:v>
      </x:c>
      <x:c r="D484" s="18" t="str">
        <x:v>CY2025Q4</x:v>
      </x:c>
      <x:c r="E484" s="18" t="str">
        <x:v>BR005</x:v>
      </x:c>
      <x:c r="F484" s="20" t="n">
        <x:v>46007.5</x:v>
      </x:c>
      <x:c r="G484" s="18" t="str">
        <x:v>Funded</x:v>
      </x:c>
      <x:c r="H484" s="23" t="n">
        <x:v>37500</x:v>
      </x:c>
      <x:c r="I484" s="18" t="str">
        <x:v>Auto loan</x:v>
      </x:c>
      <x:c r="J484" s="18" t="str">
        <x:v>New customer</x:v>
      </x:c>
      <x:c r="K484" s="20" t="n">
        <x:v>46010.5</x:v>
      </x:c>
    </x:row>
    <x:row r="485" ht="15" hidden="0" customHeight="1">
      <x:c r="A485" s="18" t="str">
        <x:v>LN000484</x:v>
      </x:c>
      <x:c r="B485" s="18" t="str">
        <x:v>LOS-SYN-0000484</x:v>
      </x:c>
      <x:c r="C485" s="18" t="str">
        <x:v>EMP012</x:v>
      </x:c>
      <x:c r="D485" s="18" t="str">
        <x:v>CY2025Q4</x:v>
      </x:c>
      <x:c r="E485" s="18" t="str">
        <x:v>BR005</x:v>
      </x:c>
      <x:c r="F485" s="20" t="n">
        <x:v>45949.5</x:v>
      </x:c>
      <x:c r="G485" s="18" t="str">
        <x:v>Funded</x:v>
      </x:c>
      <x:c r="H485" s="23" t="n">
        <x:v>44000</x:v>
      </x:c>
      <x:c r="I485" s="18" t="str">
        <x:v>Personal loan</x:v>
      </x:c>
      <x:c r="J485" s="18" t="str">
        <x:v>Existing customer</x:v>
      </x:c>
      <x:c r="K485" s="20" t="n">
        <x:v>45961.5</x:v>
      </x:c>
    </x:row>
    <x:row r="486" ht="15" hidden="0" customHeight="1">
      <x:c r="A486" s="18" t="str">
        <x:v>LN000485</x:v>
      </x:c>
      <x:c r="B486" s="18" t="str">
        <x:v>LOS-SYN-0000485</x:v>
      </x:c>
      <x:c r="C486" s="18" t="str">
        <x:v>EMP013</x:v>
      </x:c>
      <x:c r="D486" s="18" t="str">
        <x:v>CY2025Q4</x:v>
      </x:c>
      <x:c r="E486" s="18" t="str">
        <x:v>BR005</x:v>
      </x:c>
      <x:c r="F486" s="20" t="n">
        <x:v>46010.5</x:v>
      </x:c>
      <x:c r="G486" s="18" t="str">
        <x:v>Funded</x:v>
      </x:c>
      <x:c r="H486" s="23" t="n">
        <x:v>45000</x:v>
      </x:c>
      <x:c r="I486" s="18" t="str">
        <x:v>Auto loan</x:v>
      </x:c>
      <x:c r="J486" s="18" t="str">
        <x:v>Referral</x:v>
      </x:c>
      <x:c r="K486" s="20" t="n">
        <x:v>46014.5</x:v>
      </x:c>
    </x:row>
    <x:row r="487" ht="15" hidden="0" customHeight="1">
      <x:c r="A487" s="18" t="str">
        <x:v>LN000486</x:v>
      </x:c>
      <x:c r="B487" s="18" t="str">
        <x:v>LOS-SYN-0000486</x:v>
      </x:c>
      <x:c r="C487" s="18" t="str">
        <x:v>EMP013</x:v>
      </x:c>
      <x:c r="D487" s="18" t="str">
        <x:v>CY2025Q4</x:v>
      </x:c>
      <x:c r="E487" s="18" t="str">
        <x:v>BR005</x:v>
      </x:c>
      <x:c r="F487" s="20" t="n">
        <x:v>45944.5</x:v>
      </x:c>
      <x:c r="G487" s="18" t="str">
        <x:v>Funded</x:v>
      </x:c>
      <x:c r="H487" s="23" t="n">
        <x:v>41500</x:v>
      </x:c>
      <x:c r="I487" s="18" t="str">
        <x:v>Home improvement loan</x:v>
      </x:c>
      <x:c r="J487" s="18" t="str">
        <x:v>Existing customer</x:v>
      </x:c>
      <x:c r="K487" s="20" t="n">
        <x:v>45954.5</x:v>
      </x:c>
    </x:row>
    <x:row r="488" ht="15" hidden="0" customHeight="1">
      <x:c r="A488" s="18" t="str">
        <x:v>LN000487</x:v>
      </x:c>
      <x:c r="B488" s="18" t="str">
        <x:v>LOS-SYN-0000487</x:v>
      </x:c>
      <x:c r="C488" s="18" t="str">
        <x:v>EMP013</x:v>
      </x:c>
      <x:c r="D488" s="18" t="str">
        <x:v>CY2025Q4</x:v>
      </x:c>
      <x:c r="E488" s="18" t="str">
        <x:v>BR005</x:v>
      </x:c>
      <x:c r="F488" s="20" t="n">
        <x:v>45992.5</x:v>
      </x:c>
      <x:c r="G488" s="18" t="str">
        <x:v>Funded</x:v>
      </x:c>
      <x:c r="H488" s="23" t="n">
        <x:v>40500</x:v>
      </x:c>
      <x:c r="I488" s="18" t="str">
        <x:v>Auto loan</x:v>
      </x:c>
      <x:c r="J488" s="18" t="str">
        <x:v>Existing customer</x:v>
      </x:c>
      <x:c r="K488" s="20" t="n">
        <x:v>45998.5</x:v>
      </x:c>
    </x:row>
    <x:row r="489" ht="15" hidden="0" customHeight="1">
      <x:c r="A489" s="18" t="str">
        <x:v>LN000488</x:v>
      </x:c>
      <x:c r="B489" s="18" t="str">
        <x:v>LOS-SYN-0000488</x:v>
      </x:c>
      <x:c r="C489" s="18" t="str">
        <x:v>EMP013</x:v>
      </x:c>
      <x:c r="D489" s="18" t="str">
        <x:v>CY2025Q4</x:v>
      </x:c>
      <x:c r="E489" s="18" t="str">
        <x:v>BR005</x:v>
      </x:c>
      <x:c r="F489" s="20" t="n">
        <x:v>45946.5</x:v>
      </x:c>
      <x:c r="G489" s="18" t="str">
        <x:v>Funded</x:v>
      </x:c>
      <x:c r="H489" s="23" t="n">
        <x:v>42000</x:v>
      </x:c>
      <x:c r="I489" s="18" t="str">
        <x:v>Auto loan</x:v>
      </x:c>
      <x:c r="J489" s="18" t="str">
        <x:v>Referral</x:v>
      </x:c>
      <x:c r="K489" s="20" t="n">
        <x:v>45951.5</x:v>
      </x:c>
    </x:row>
    <x:row r="490" ht="15" hidden="0" customHeight="1">
      <x:c r="A490" s="18" t="str">
        <x:v>LN000489</x:v>
      </x:c>
      <x:c r="B490" s="18" t="str">
        <x:v>LOS-SYN-0000489</x:v>
      </x:c>
      <x:c r="C490" s="18" t="str">
        <x:v>EMP013</x:v>
      </x:c>
      <x:c r="D490" s="18" t="str">
        <x:v>CY2025Q4</x:v>
      </x:c>
      <x:c r="E490" s="18" t="str">
        <x:v>BR005</x:v>
      </x:c>
      <x:c r="F490" s="20" t="n">
        <x:v>45973.5</x:v>
      </x:c>
      <x:c r="G490" s="18" t="str">
        <x:v>Funded</x:v>
      </x:c>
      <x:c r="H490" s="23" t="n">
        <x:v>35000</x:v>
      </x:c>
      <x:c r="I490" s="18" t="str">
        <x:v>Auto loan</x:v>
      </x:c>
      <x:c r="J490" s="18" t="str">
        <x:v>Referral</x:v>
      </x:c>
      <x:c r="K490" s="20" t="n">
        <x:v>45982.5</x:v>
      </x:c>
    </x:row>
    <x:row r="491" ht="15" hidden="0" customHeight="1">
      <x:c r="A491" s="18" t="str">
        <x:v>LN000490</x:v>
      </x:c>
      <x:c r="B491" s="18" t="str">
        <x:v>LOS-SYN-0000490</x:v>
      </x:c>
      <x:c r="C491" s="18" t="str">
        <x:v>EMP013</x:v>
      </x:c>
      <x:c r="D491" s="18" t="str">
        <x:v>CY2025Q4</x:v>
      </x:c>
      <x:c r="E491" s="18" t="str">
        <x:v>BR005</x:v>
      </x:c>
      <x:c r="F491" s="20" t="n">
        <x:v>45938.5</x:v>
      </x:c>
      <x:c r="G491" s="18" t="str">
        <x:v>Funded</x:v>
      </x:c>
      <x:c r="H491" s="23" t="n">
        <x:v>54000</x:v>
      </x:c>
      <x:c r="I491" s="18" t="str">
        <x:v>Personal loan</x:v>
      </x:c>
      <x:c r="J491" s="18" t="str">
        <x:v>Referral</x:v>
      </x:c>
      <x:c r="K491" s="20" t="n">
        <x:v>45948.5</x:v>
      </x:c>
    </x:row>
    <x:row r="492" ht="15" hidden="0" customHeight="1">
      <x:c r="A492" s="18" t="str">
        <x:v>LN000491</x:v>
      </x:c>
      <x:c r="B492" s="18" t="str">
        <x:v>LOS-SYN-0000491</x:v>
      </x:c>
      <x:c r="C492" s="18" t="str">
        <x:v>EMP013</x:v>
      </x:c>
      <x:c r="D492" s="18" t="str">
        <x:v>CY2025Q4</x:v>
      </x:c>
      <x:c r="E492" s="18" t="str">
        <x:v>BR005</x:v>
      </x:c>
      <x:c r="F492" s="20" t="n">
        <x:v>45985.5</x:v>
      </x:c>
      <x:c r="G492" s="18" t="str">
        <x:v>Funded</x:v>
      </x:c>
      <x:c r="H492" s="23" t="n">
        <x:v>43000</x:v>
      </x:c>
      <x:c r="I492" s="18" t="str">
        <x:v>Personal loan</x:v>
      </x:c>
      <x:c r="J492" s="18" t="str">
        <x:v>Referral</x:v>
      </x:c>
      <x:c r="K492" s="20" t="n">
        <x:v>45996.5</x:v>
      </x:c>
    </x:row>
    <x:row r="493" ht="15" hidden="0" customHeight="1">
      <x:c r="A493" s="18" t="str">
        <x:v>LN000492</x:v>
      </x:c>
      <x:c r="B493" s="18" t="str">
        <x:v>LOS-SYN-0000492</x:v>
      </x:c>
      <x:c r="C493" s="18" t="str">
        <x:v>EMP013</x:v>
      </x:c>
      <x:c r="D493" s="18" t="str">
        <x:v>CY2025Q4</x:v>
      </x:c>
      <x:c r="E493" s="18" t="str">
        <x:v>BR005</x:v>
      </x:c>
      <x:c r="F493" s="20" t="n">
        <x:v>45947.5</x:v>
      </x:c>
      <x:c r="G493" s="18" t="str">
        <x:v>Funded</x:v>
      </x:c>
      <x:c r="H493" s="23" t="n">
        <x:v>42500</x:v>
      </x:c>
      <x:c r="I493" s="18" t="str">
        <x:v>Personal loan</x:v>
      </x:c>
      <x:c r="J493" s="18" t="str">
        <x:v>New customer</x:v>
      </x:c>
      <x:c r="K493" s="20" t="n">
        <x:v>45951.5</x:v>
      </x:c>
    </x:row>
    <x:row r="494" ht="15" hidden="0" customHeight="1">
      <x:c r="A494" s="18" t="str">
        <x:v>LN000493</x:v>
      </x:c>
      <x:c r="B494" s="18" t="str">
        <x:v>LOS-SYN-0000493</x:v>
      </x:c>
      <x:c r="C494" s="18" t="str">
        <x:v>EMP013</x:v>
      </x:c>
      <x:c r="D494" s="18" t="str">
        <x:v>CY2025Q4</x:v>
      </x:c>
      <x:c r="E494" s="18" t="str">
        <x:v>BR005</x:v>
      </x:c>
      <x:c r="F494" s="20" t="n">
        <x:v>45973.5</x:v>
      </x:c>
      <x:c r="G494" s="18" t="str">
        <x:v>Funded</x:v>
      </x:c>
      <x:c r="H494" s="23" t="n">
        <x:v>37000</x:v>
      </x:c>
      <x:c r="I494" s="18" t="str">
        <x:v>Personal loan</x:v>
      </x:c>
      <x:c r="J494" s="18" t="str">
        <x:v>Referral</x:v>
      </x:c>
      <x:c r="K494" s="20" t="n">
        <x:v>45977.5</x:v>
      </x:c>
    </x:row>
    <x:row r="495" ht="15" hidden="0" customHeight="1">
      <x:c r="A495" s="18" t="str">
        <x:v>LN000494</x:v>
      </x:c>
      <x:c r="B495" s="18" t="str">
        <x:v>LOS-SYN-0000494</x:v>
      </x:c>
      <x:c r="C495" s="18" t="str">
        <x:v>EMP013</x:v>
      </x:c>
      <x:c r="D495" s="18" t="str">
        <x:v>CY2025Q4</x:v>
      </x:c>
      <x:c r="E495" s="18" t="str">
        <x:v>BR005</x:v>
      </x:c>
      <x:c r="F495" s="20" t="n">
        <x:v>45979.5</x:v>
      </x:c>
      <x:c r="G495" s="18" t="str">
        <x:v>Funded</x:v>
      </x:c>
      <x:c r="H495" s="23" t="n">
        <x:v>41500</x:v>
      </x:c>
      <x:c r="I495" s="18" t="str">
        <x:v>Debt consolidation loan</x:v>
      </x:c>
      <x:c r="J495" s="18" t="str">
        <x:v>New customer</x:v>
      </x:c>
      <x:c r="K495" s="20" t="n">
        <x:v>45987.5</x:v>
      </x:c>
    </x:row>
    <x:row r="496" ht="15" hidden="0" customHeight="1">
      <x:c r="A496" s="18" t="str">
        <x:v>LN000495</x:v>
      </x:c>
      <x:c r="B496" s="18" t="str">
        <x:v>LOS-SYN-0000495</x:v>
      </x:c>
      <x:c r="C496" s="18" t="str">
        <x:v>EMP013</x:v>
      </x:c>
      <x:c r="D496" s="18" t="str">
        <x:v>CY2025Q4</x:v>
      </x:c>
      <x:c r="E496" s="18" t="str">
        <x:v>BR005</x:v>
      </x:c>
      <x:c r="F496" s="20" t="n">
        <x:v>45984.5</x:v>
      </x:c>
      <x:c r="G496" s="18" t="str">
        <x:v>Funded</x:v>
      </x:c>
      <x:c r="H496" s="23" t="n">
        <x:v>52000</x:v>
      </x:c>
      <x:c r="I496" s="18" t="str">
        <x:v>Auto loan</x:v>
      </x:c>
      <x:c r="J496" s="18" t="str">
        <x:v>Existing customer</x:v>
      </x:c>
      <x:c r="K496" s="20" t="n">
        <x:v>45996.5</x:v>
      </x:c>
    </x:row>
    <x:row r="497" ht="15" hidden="0" customHeight="1">
      <x:c r="A497" s="18" t="str">
        <x:v>LN000496</x:v>
      </x:c>
      <x:c r="B497" s="18" t="str">
        <x:v>LOS-SYN-0000496</x:v>
      </x:c>
      <x:c r="C497" s="18" t="str">
        <x:v>EMP013</x:v>
      </x:c>
      <x:c r="D497" s="18" t="str">
        <x:v>CY2025Q4</x:v>
      </x:c>
      <x:c r="E497" s="18" t="str">
        <x:v>BR005</x:v>
      </x:c>
      <x:c r="F497" s="20" t="n">
        <x:v>46010.5</x:v>
      </x:c>
      <x:c r="G497" s="18" t="str">
        <x:v>Cancelled</x:v>
      </x:c>
      <x:c r="H497" s="23" t="n">
        <x:v>56000</x:v>
      </x:c>
      <x:c r="I497" s="18" t="str">
        <x:v>Personal loan</x:v>
      </x:c>
      <x:c r="J497" s="18" t="str">
        <x:v>New customer</x:v>
      </x:c>
      <x:c r="K497" s="20"/>
    </x:row>
    <x:row r="498" ht="15" hidden="0" customHeight="1">
      <x:c r="A498" s="18" t="str">
        <x:v>LN000497</x:v>
      </x:c>
      <x:c r="B498" s="18" t="str">
        <x:v>LOS-SYN-0000497</x:v>
      </x:c>
      <x:c r="C498" s="18" t="str">
        <x:v>EMP014</x:v>
      </x:c>
      <x:c r="D498" s="18" t="str">
        <x:v>CY2025Q4</x:v>
      </x:c>
      <x:c r="E498" s="18" t="str">
        <x:v>BR006</x:v>
      </x:c>
      <x:c r="F498" s="20" t="n">
        <x:v>45991.5</x:v>
      </x:c>
      <x:c r="G498" s="18" t="str">
        <x:v>Funded</x:v>
      </x:c>
      <x:c r="H498" s="23" t="n">
        <x:v>54000</x:v>
      </x:c>
      <x:c r="I498" s="18" t="str">
        <x:v>Personal loan</x:v>
      </x:c>
      <x:c r="J498" s="18" t="str">
        <x:v>New customer</x:v>
      </x:c>
      <x:c r="K498" s="20" t="n">
        <x:v>46003.5</x:v>
      </x:c>
    </x:row>
    <x:row r="499" ht="15" hidden="0" customHeight="1">
      <x:c r="A499" s="18" t="str">
        <x:v>LN000498</x:v>
      </x:c>
      <x:c r="B499" s="18" t="str">
        <x:v>LOS-SYN-0000498</x:v>
      </x:c>
      <x:c r="C499" s="18" t="str">
        <x:v>EMP014</x:v>
      </x:c>
      <x:c r="D499" s="18" t="str">
        <x:v>CY2025Q4</x:v>
      </x:c>
      <x:c r="E499" s="18" t="str">
        <x:v>BR006</x:v>
      </x:c>
      <x:c r="F499" s="20" t="n">
        <x:v>45986.5</x:v>
      </x:c>
      <x:c r="G499" s="18" t="str">
        <x:v>Funded</x:v>
      </x:c>
      <x:c r="H499" s="23" t="n">
        <x:v>36000</x:v>
      </x:c>
      <x:c r="I499" s="18" t="str">
        <x:v>Debt consolidation loan</x:v>
      </x:c>
      <x:c r="J499" s="18" t="str">
        <x:v>Referral</x:v>
      </x:c>
      <x:c r="K499" s="20" t="n">
        <x:v>45996.5</x:v>
      </x:c>
    </x:row>
    <x:row r="500" ht="15" hidden="0" customHeight="1">
      <x:c r="A500" s="18" t="str">
        <x:v>LN000499</x:v>
      </x:c>
      <x:c r="B500" s="18" t="str">
        <x:v>LOS-SYN-0000499</x:v>
      </x:c>
      <x:c r="C500" s="18" t="str">
        <x:v>EMP014</x:v>
      </x:c>
      <x:c r="D500" s="18" t="str">
        <x:v>CY2025Q4</x:v>
      </x:c>
      <x:c r="E500" s="18" t="str">
        <x:v>BR006</x:v>
      </x:c>
      <x:c r="F500" s="20" t="n">
        <x:v>45971.5</x:v>
      </x:c>
      <x:c r="G500" s="18" t="str">
        <x:v>Funded</x:v>
      </x:c>
      <x:c r="H500" s="23" t="n">
        <x:v>49000</x:v>
      </x:c>
      <x:c r="I500" s="18" t="str">
        <x:v>Debt consolidation loan</x:v>
      </x:c>
      <x:c r="J500" s="18" t="str">
        <x:v>New customer</x:v>
      </x:c>
      <x:c r="K500" s="20" t="n">
        <x:v>45982.5</x:v>
      </x:c>
    </x:row>
    <x:row r="501" ht="15" hidden="0" customHeight="1">
      <x:c r="A501" s="18" t="str">
        <x:v>LN000500</x:v>
      </x:c>
      <x:c r="B501" s="18" t="str">
        <x:v>LOS-SYN-0000500</x:v>
      </x:c>
      <x:c r="C501" s="18" t="str">
        <x:v>EMP014</x:v>
      </x:c>
      <x:c r="D501" s="18" t="str">
        <x:v>CY2025Q4</x:v>
      </x:c>
      <x:c r="E501" s="18" t="str">
        <x:v>BR006</x:v>
      </x:c>
      <x:c r="F501" s="20" t="n">
        <x:v>45978.5</x:v>
      </x:c>
      <x:c r="G501" s="18" t="str">
        <x:v>Funded</x:v>
      </x:c>
      <x:c r="H501" s="23" t="n">
        <x:v>55500</x:v>
      </x:c>
      <x:c r="I501" s="18" t="str">
        <x:v>Debt consolidation loan</x:v>
      </x:c>
      <x:c r="J501" s="18" t="str">
        <x:v>Referral</x:v>
      </x:c>
      <x:c r="K501" s="20" t="n">
        <x:v>45986.5</x:v>
      </x:c>
    </x:row>
    <x:row r="502" ht="15" hidden="0" customHeight="1">
      <x:c r="A502" s="18" t="str">
        <x:v>LN000501</x:v>
      </x:c>
      <x:c r="B502" s="18" t="str">
        <x:v>LOS-SYN-0000501</x:v>
      </x:c>
      <x:c r="C502" s="18" t="str">
        <x:v>EMP014</x:v>
      </x:c>
      <x:c r="D502" s="18" t="str">
        <x:v>CY2025Q4</x:v>
      </x:c>
      <x:c r="E502" s="18" t="str">
        <x:v>BR006</x:v>
      </x:c>
      <x:c r="F502" s="20" t="n">
        <x:v>46010.5</x:v>
      </x:c>
      <x:c r="G502" s="18" t="str">
        <x:v>Funded</x:v>
      </x:c>
      <x:c r="H502" s="23" t="n">
        <x:v>37000</x:v>
      </x:c>
      <x:c r="I502" s="18" t="str">
        <x:v>Home improvement loan</x:v>
      </x:c>
      <x:c r="J502" s="18" t="str">
        <x:v>Existing customer</x:v>
      </x:c>
      <x:c r="K502" s="20" t="n">
        <x:v>46019.5</x:v>
      </x:c>
    </x:row>
    <x:row r="503" ht="15" hidden="0" customHeight="1">
      <x:c r="A503" s="18" t="str">
        <x:v>LN000502</x:v>
      </x:c>
      <x:c r="B503" s="18" t="str">
        <x:v>LOS-SYN-0000502</x:v>
      </x:c>
      <x:c r="C503" s="18" t="str">
        <x:v>EMP014</x:v>
      </x:c>
      <x:c r="D503" s="18" t="str">
        <x:v>CY2025Q4</x:v>
      </x:c>
      <x:c r="E503" s="18" t="str">
        <x:v>BR006</x:v>
      </x:c>
      <x:c r="F503" s="20" t="n">
        <x:v>45995.5</x:v>
      </x:c>
      <x:c r="G503" s="18" t="str">
        <x:v>Funded</x:v>
      </x:c>
      <x:c r="H503" s="23" t="n">
        <x:v>51500</x:v>
      </x:c>
      <x:c r="I503" s="18" t="str">
        <x:v>Auto loan</x:v>
      </x:c>
      <x:c r="J503" s="18" t="str">
        <x:v>Referral</x:v>
      </x:c>
      <x:c r="K503" s="20" t="n">
        <x:v>46003.5</x:v>
      </x:c>
    </x:row>
    <x:row r="504" ht="15" hidden="0" customHeight="1">
      <x:c r="A504" s="18" t="str">
        <x:v>LN000503</x:v>
      </x:c>
      <x:c r="B504" s="18" t="str">
        <x:v>LOS-SYN-0000503</x:v>
      </x:c>
      <x:c r="C504" s="18" t="str">
        <x:v>EMP014</x:v>
      </x:c>
      <x:c r="D504" s="18" t="str">
        <x:v>CY2025Q4</x:v>
      </x:c>
      <x:c r="E504" s="18" t="str">
        <x:v>BR006</x:v>
      </x:c>
      <x:c r="F504" s="20" t="n">
        <x:v>45961.5</x:v>
      </x:c>
      <x:c r="G504" s="18" t="str">
        <x:v>Funded</x:v>
      </x:c>
      <x:c r="H504" s="23" t="n">
        <x:v>47500</x:v>
      </x:c>
      <x:c r="I504" s="18" t="str">
        <x:v>Auto loan</x:v>
      </x:c>
      <x:c r="J504" s="18" t="str">
        <x:v>Referral</x:v>
      </x:c>
      <x:c r="K504" s="20" t="n">
        <x:v>45964.5</x:v>
      </x:c>
    </x:row>
    <x:row r="505" ht="15" hidden="0" customHeight="1">
      <x:c r="A505" s="18" t="str">
        <x:v>LN000504</x:v>
      </x:c>
      <x:c r="B505" s="18" t="str">
        <x:v>LOS-SYN-0000504</x:v>
      </x:c>
      <x:c r="C505" s="18" t="str">
        <x:v>EMP014</x:v>
      </x:c>
      <x:c r="D505" s="18" t="str">
        <x:v>CY2025Q4</x:v>
      </x:c>
      <x:c r="E505" s="18" t="str">
        <x:v>BR006</x:v>
      </x:c>
      <x:c r="F505" s="20" t="n">
        <x:v>45983.5</x:v>
      </x:c>
      <x:c r="G505" s="18" t="str">
        <x:v>Funded</x:v>
      </x:c>
      <x:c r="H505" s="23" t="n">
        <x:v>37000</x:v>
      </x:c>
      <x:c r="I505" s="18" t="str">
        <x:v>Personal loan</x:v>
      </x:c>
      <x:c r="J505" s="18" t="str">
        <x:v>Existing customer</x:v>
      </x:c>
      <x:c r="K505" s="20" t="n">
        <x:v>45993.5</x:v>
      </x:c>
    </x:row>
    <x:row r="506" ht="15" hidden="0" customHeight="1">
      <x:c r="A506" s="18" t="str">
        <x:v>LN000505</x:v>
      </x:c>
      <x:c r="B506" s="18" t="str">
        <x:v>LOS-SYN-0000505</x:v>
      </x:c>
      <x:c r="C506" s="18" t="str">
        <x:v>EMP014</x:v>
      </x:c>
      <x:c r="D506" s="18" t="str">
        <x:v>CY2025Q4</x:v>
      </x:c>
      <x:c r="E506" s="18" t="str">
        <x:v>BR006</x:v>
      </x:c>
      <x:c r="F506" s="20" t="n">
        <x:v>45959.5</x:v>
      </x:c>
      <x:c r="G506" s="18" t="str">
        <x:v>Funded</x:v>
      </x:c>
      <x:c r="H506" s="23" t="n">
        <x:v>56500</x:v>
      </x:c>
      <x:c r="I506" s="18" t="str">
        <x:v>Personal loan</x:v>
      </x:c>
      <x:c r="J506" s="18" t="str">
        <x:v>New customer</x:v>
      </x:c>
      <x:c r="K506" s="20" t="n">
        <x:v>45969.5</x:v>
      </x:c>
    </x:row>
    <x:row r="507" ht="15" hidden="0" customHeight="1">
      <x:c r="A507" s="18" t="str">
        <x:v>LN000506</x:v>
      </x:c>
      <x:c r="B507" s="18" t="str">
        <x:v>LOS-SYN-0000506</x:v>
      </x:c>
      <x:c r="C507" s="18" t="str">
        <x:v>EMP015</x:v>
      </x:c>
      <x:c r="D507" s="18" t="str">
        <x:v>CY2025Q4</x:v>
      </x:c>
      <x:c r="E507" s="18" t="str">
        <x:v>BR006</x:v>
      </x:c>
      <x:c r="F507" s="20" t="n">
        <x:v>45970.5</x:v>
      </x:c>
      <x:c r="G507" s="18" t="str">
        <x:v>Funded</x:v>
      </x:c>
      <x:c r="H507" s="23" t="n">
        <x:v>39000</x:v>
      </x:c>
      <x:c r="I507" s="18" t="str">
        <x:v>Personal loan</x:v>
      </x:c>
      <x:c r="J507" s="18" t="str">
        <x:v>Existing customer</x:v>
      </x:c>
      <x:c r="K507" s="20" t="n">
        <x:v>45973.5</x:v>
      </x:c>
    </x:row>
    <x:row r="508" ht="15" hidden="0" customHeight="1">
      <x:c r="A508" s="18" t="str">
        <x:v>LN000507</x:v>
      </x:c>
      <x:c r="B508" s="18" t="str">
        <x:v>LOS-SYN-0000507</x:v>
      </x:c>
      <x:c r="C508" s="18" t="str">
        <x:v>EMP015</x:v>
      </x:c>
      <x:c r="D508" s="18" t="str">
        <x:v>CY2025Q4</x:v>
      </x:c>
      <x:c r="E508" s="18" t="str">
        <x:v>BR006</x:v>
      </x:c>
      <x:c r="F508" s="20" t="n">
        <x:v>45975.5</x:v>
      </x:c>
      <x:c r="G508" s="18" t="str">
        <x:v>Funded</x:v>
      </x:c>
      <x:c r="H508" s="23" t="n">
        <x:v>46500</x:v>
      </x:c>
      <x:c r="I508" s="18" t="str">
        <x:v>Personal loan</x:v>
      </x:c>
      <x:c r="J508" s="18" t="str">
        <x:v>Referral</x:v>
      </x:c>
      <x:c r="K508" s="20" t="n">
        <x:v>45986.5</x:v>
      </x:c>
    </x:row>
    <x:row r="509" ht="15" hidden="0" customHeight="1">
      <x:c r="A509" s="18" t="str">
        <x:v>LN000508</x:v>
      </x:c>
      <x:c r="B509" s="18" t="str">
        <x:v>LOS-SYN-0000508</x:v>
      </x:c>
      <x:c r="C509" s="18" t="str">
        <x:v>EMP015</x:v>
      </x:c>
      <x:c r="D509" s="18" t="str">
        <x:v>CY2025Q4</x:v>
      </x:c>
      <x:c r="E509" s="18" t="str">
        <x:v>BR006</x:v>
      </x:c>
      <x:c r="F509" s="20" t="n">
        <x:v>45975.5</x:v>
      </x:c>
      <x:c r="G509" s="18" t="str">
        <x:v>Funded</x:v>
      </x:c>
      <x:c r="H509" s="23" t="n">
        <x:v>31000</x:v>
      </x:c>
      <x:c r="I509" s="18" t="str">
        <x:v>Personal loan</x:v>
      </x:c>
      <x:c r="J509" s="18" t="str">
        <x:v>New customer</x:v>
      </x:c>
      <x:c r="K509" s="20" t="n">
        <x:v>45978.5</x:v>
      </x:c>
    </x:row>
    <x:row r="510" ht="15" hidden="0" customHeight="1">
      <x:c r="A510" s="18" t="str">
        <x:v>LN000509</x:v>
      </x:c>
      <x:c r="B510" s="18" t="str">
        <x:v>LOS-SYN-0000509</x:v>
      </x:c>
      <x:c r="C510" s="18" t="str">
        <x:v>EMP015</x:v>
      </x:c>
      <x:c r="D510" s="18" t="str">
        <x:v>CY2025Q4</x:v>
      </x:c>
      <x:c r="E510" s="18" t="str">
        <x:v>BR006</x:v>
      </x:c>
      <x:c r="F510" s="20" t="n">
        <x:v>45983.5</x:v>
      </x:c>
      <x:c r="G510" s="18" t="str">
        <x:v>Funded</x:v>
      </x:c>
      <x:c r="H510" s="23" t="n">
        <x:v>29000</x:v>
      </x:c>
      <x:c r="I510" s="18" t="str">
        <x:v>Home improvement loan</x:v>
      </x:c>
      <x:c r="J510" s="18" t="str">
        <x:v>Existing customer</x:v>
      </x:c>
      <x:c r="K510" s="20" t="n">
        <x:v>45991.5</x:v>
      </x:c>
    </x:row>
    <x:row r="511" ht="15" hidden="0" customHeight="1">
      <x:c r="A511" s="18" t="str">
        <x:v>LN000510</x:v>
      </x:c>
      <x:c r="B511" s="18" t="str">
        <x:v>LOS-SYN-0000510</x:v>
      </x:c>
      <x:c r="C511" s="18" t="str">
        <x:v>EMP015</x:v>
      </x:c>
      <x:c r="D511" s="18" t="str">
        <x:v>CY2025Q4</x:v>
      </x:c>
      <x:c r="E511" s="18" t="str">
        <x:v>BR006</x:v>
      </x:c>
      <x:c r="F511" s="20" t="n">
        <x:v>45956.5</x:v>
      </x:c>
      <x:c r="G511" s="18" t="str">
        <x:v>Funded</x:v>
      </x:c>
      <x:c r="H511" s="23" t="n">
        <x:v>47500</x:v>
      </x:c>
      <x:c r="I511" s="18" t="str">
        <x:v>Home improvement loan</x:v>
      </x:c>
      <x:c r="J511" s="18" t="str">
        <x:v>New customer</x:v>
      </x:c>
      <x:c r="K511" s="20" t="n">
        <x:v>45960.5</x:v>
      </x:c>
    </x:row>
    <x:row r="512" ht="15" hidden="0" customHeight="1">
      <x:c r="A512" s="18" t="str">
        <x:v>LN000511</x:v>
      </x:c>
      <x:c r="B512" s="18" t="str">
        <x:v>LOS-SYN-0000511</x:v>
      </x:c>
      <x:c r="C512" s="18" t="str">
        <x:v>EMP015</x:v>
      </x:c>
      <x:c r="D512" s="18" t="str">
        <x:v>CY2025Q4</x:v>
      </x:c>
      <x:c r="E512" s="18" t="str">
        <x:v>BR006</x:v>
      </x:c>
      <x:c r="F512" s="20" t="n">
        <x:v>45944.5</x:v>
      </x:c>
      <x:c r="G512" s="18" t="str">
        <x:v>Funded</x:v>
      </x:c>
      <x:c r="H512" s="23" t="n">
        <x:v>34000</x:v>
      </x:c>
      <x:c r="I512" s="18" t="str">
        <x:v>Home improvement loan</x:v>
      </x:c>
      <x:c r="J512" s="18" t="str">
        <x:v>Existing customer</x:v>
      </x:c>
      <x:c r="K512" s="20" t="n">
        <x:v>45947.5</x:v>
      </x:c>
    </x:row>
    <x:row r="513" ht="15" hidden="0" customHeight="1">
      <x:c r="A513" s="18" t="str">
        <x:v>LN000512</x:v>
      </x:c>
      <x:c r="B513" s="18" t="str">
        <x:v>LOS-SYN-0000512</x:v>
      </x:c>
      <x:c r="C513" s="18" t="str">
        <x:v>EMP001</x:v>
      </x:c>
      <x:c r="D513" s="18" t="str">
        <x:v>CY2026Q1</x:v>
      </x:c>
      <x:c r="E513" s="18" t="str">
        <x:v>BR001</x:v>
      </x:c>
      <x:c r="F513" s="20" t="n">
        <x:v>46054.5</x:v>
      </x:c>
      <x:c r="G513" s="18" t="str">
        <x:v>Funded</x:v>
      </x:c>
      <x:c r="H513" s="23" t="n">
        <x:v>48000</x:v>
      </x:c>
      <x:c r="I513" s="18" t="str">
        <x:v>Personal loan</x:v>
      </x:c>
      <x:c r="J513" s="18" t="str">
        <x:v>Existing customer</x:v>
      </x:c>
      <x:c r="K513" s="20" t="n">
        <x:v>46058.5</x:v>
      </x:c>
    </x:row>
    <x:row r="514" ht="15" hidden="0" customHeight="1">
      <x:c r="A514" s="18" t="str">
        <x:v>LN000513</x:v>
      </x:c>
      <x:c r="B514" s="18" t="str">
        <x:v>LOS-SYN-0000513</x:v>
      </x:c>
      <x:c r="C514" s="18" t="str">
        <x:v>EMP001</x:v>
      </x:c>
      <x:c r="D514" s="18" t="str">
        <x:v>CY2026Q1</x:v>
      </x:c>
      <x:c r="E514" s="18" t="str">
        <x:v>BR001</x:v>
      </x:c>
      <x:c r="F514" s="20" t="n">
        <x:v>46037.5</x:v>
      </x:c>
      <x:c r="G514" s="18" t="str">
        <x:v>Funded</x:v>
      </x:c>
      <x:c r="H514" s="23" t="n">
        <x:v>38000</x:v>
      </x:c>
      <x:c r="I514" s="18" t="str">
        <x:v>Home improvement loan</x:v>
      </x:c>
      <x:c r="J514" s="18" t="str">
        <x:v>Referral</x:v>
      </x:c>
      <x:c r="K514" s="20" t="n">
        <x:v>46049.5</x:v>
      </x:c>
    </x:row>
    <x:row r="515" ht="15" hidden="0" customHeight="1">
      <x:c r="A515" s="18" t="str">
        <x:v>LN000514</x:v>
      </x:c>
      <x:c r="B515" s="18" t="str">
        <x:v>LOS-SYN-0000514</x:v>
      </x:c>
      <x:c r="C515" s="18" t="str">
        <x:v>EMP001</x:v>
      </x:c>
      <x:c r="D515" s="18" t="str">
        <x:v>CY2026Q1</x:v>
      </x:c>
      <x:c r="E515" s="18" t="str">
        <x:v>BR001</x:v>
      </x:c>
      <x:c r="F515" s="20" t="n">
        <x:v>46024.5</x:v>
      </x:c>
      <x:c r="G515" s="18" t="str">
        <x:v>Funded</x:v>
      </x:c>
      <x:c r="H515" s="23" t="n">
        <x:v>49500</x:v>
      </x:c>
      <x:c r="I515" s="18" t="str">
        <x:v>Debt consolidation loan</x:v>
      </x:c>
      <x:c r="J515" s="18" t="str">
        <x:v>Existing customer</x:v>
      </x:c>
      <x:c r="K515" s="20" t="n">
        <x:v>46034.5</x:v>
      </x:c>
    </x:row>
    <x:row r="516" ht="15" hidden="0" customHeight="1">
      <x:c r="A516" s="18" t="str">
        <x:v>LN000515</x:v>
      </x:c>
      <x:c r="B516" s="18" t="str">
        <x:v>LOS-SYN-0000515</x:v>
      </x:c>
      <x:c r="C516" s="18" t="str">
        <x:v>EMP001</x:v>
      </x:c>
      <x:c r="D516" s="18" t="str">
        <x:v>CY2026Q1</x:v>
      </x:c>
      <x:c r="E516" s="18" t="str">
        <x:v>BR001</x:v>
      </x:c>
      <x:c r="F516" s="20" t="n">
        <x:v>46030.5</x:v>
      </x:c>
      <x:c r="G516" s="18" t="str">
        <x:v>Funded</x:v>
      </x:c>
      <x:c r="H516" s="23" t="n">
        <x:v>39000</x:v>
      </x:c>
      <x:c r="I516" s="18" t="str">
        <x:v>Auto loan</x:v>
      </x:c>
      <x:c r="J516" s="18" t="str">
        <x:v>New customer</x:v>
      </x:c>
      <x:c r="K516" s="20" t="n">
        <x:v>46035.5</x:v>
      </x:c>
    </x:row>
    <x:row r="517" ht="15" hidden="0" customHeight="1">
      <x:c r="A517" s="18" t="str">
        <x:v>LN000516</x:v>
      </x:c>
      <x:c r="B517" s="18" t="str">
        <x:v>LOS-SYN-0000516</x:v>
      </x:c>
      <x:c r="C517" s="18" t="str">
        <x:v>EMP001</x:v>
      </x:c>
      <x:c r="D517" s="18" t="str">
        <x:v>CY2026Q1</x:v>
      </x:c>
      <x:c r="E517" s="18" t="str">
        <x:v>BR001</x:v>
      </x:c>
      <x:c r="F517" s="20" t="n">
        <x:v>46035.5</x:v>
      </x:c>
      <x:c r="G517" s="18" t="str">
        <x:v>Funded</x:v>
      </x:c>
      <x:c r="H517" s="23" t="n">
        <x:v>48500</x:v>
      </x:c>
      <x:c r="I517" s="18" t="str">
        <x:v>Auto loan</x:v>
      </x:c>
      <x:c r="J517" s="18" t="str">
        <x:v>New customer</x:v>
      </x:c>
      <x:c r="K517" s="20" t="n">
        <x:v>46043.5</x:v>
      </x:c>
    </x:row>
    <x:row r="518" ht="15" hidden="0" customHeight="1">
      <x:c r="A518" s="18" t="str">
        <x:v>LN000517</x:v>
      </x:c>
      <x:c r="B518" s="18" t="str">
        <x:v>LOS-SYN-0000517</x:v>
      </x:c>
      <x:c r="C518" s="18" t="str">
        <x:v>EMP001</x:v>
      </x:c>
      <x:c r="D518" s="18" t="str">
        <x:v>CY2026Q1</x:v>
      </x:c>
      <x:c r="E518" s="18" t="str">
        <x:v>BR001</x:v>
      </x:c>
      <x:c r="F518" s="20" t="n">
        <x:v>46097.5</x:v>
      </x:c>
      <x:c r="G518" s="18" t="str">
        <x:v>Funded</x:v>
      </x:c>
      <x:c r="H518" s="23" t="n">
        <x:v>41500</x:v>
      </x:c>
      <x:c r="I518" s="18" t="str">
        <x:v>Home improvement loan</x:v>
      </x:c>
      <x:c r="J518" s="18" t="str">
        <x:v>Referral</x:v>
      </x:c>
      <x:c r="K518" s="20" t="n">
        <x:v>46106.5</x:v>
      </x:c>
    </x:row>
    <x:row r="519" ht="15" hidden="0" customHeight="1">
      <x:c r="A519" s="18" t="str">
        <x:v>LN000518</x:v>
      </x:c>
      <x:c r="B519" s="18" t="str">
        <x:v>LOS-SYN-0000518</x:v>
      </x:c>
      <x:c r="C519" s="18" t="str">
        <x:v>EMP001</x:v>
      </x:c>
      <x:c r="D519" s="18" t="str">
        <x:v>CY2026Q1</x:v>
      </x:c>
      <x:c r="E519" s="18" t="str">
        <x:v>BR001</x:v>
      </x:c>
      <x:c r="F519" s="20" t="n">
        <x:v>46034.5</x:v>
      </x:c>
      <x:c r="G519" s="18" t="str">
        <x:v>Funded</x:v>
      </x:c>
      <x:c r="H519" s="23" t="n">
        <x:v>29500</x:v>
      </x:c>
      <x:c r="I519" s="18" t="str">
        <x:v>Debt consolidation loan</x:v>
      </x:c>
      <x:c r="J519" s="18" t="str">
        <x:v>Existing customer</x:v>
      </x:c>
      <x:c r="K519" s="20" t="n">
        <x:v>46045.5</x:v>
      </x:c>
    </x:row>
    <x:row r="520" ht="15" hidden="0" customHeight="1">
      <x:c r="A520" s="18" t="str">
        <x:v>LN000519</x:v>
      </x:c>
      <x:c r="B520" s="18" t="str">
        <x:v>LOS-SYN-0000519</x:v>
      </x:c>
      <x:c r="C520" s="18" t="str">
        <x:v>EMP001</x:v>
      </x:c>
      <x:c r="D520" s="18" t="str">
        <x:v>CY2026Q1</x:v>
      </x:c>
      <x:c r="E520" s="18" t="str">
        <x:v>BR001</x:v>
      </x:c>
      <x:c r="F520" s="20" t="n">
        <x:v>46023.5</x:v>
      </x:c>
      <x:c r="G520" s="18" t="str">
        <x:v>Funded</x:v>
      </x:c>
      <x:c r="H520" s="23" t="n">
        <x:v>41500</x:v>
      </x:c>
      <x:c r="I520" s="18" t="str">
        <x:v>Home improvement loan</x:v>
      </x:c>
      <x:c r="J520" s="18" t="str">
        <x:v>Existing customer</x:v>
      </x:c>
      <x:c r="K520" s="20" t="n">
        <x:v>46028.5</x:v>
      </x:c>
    </x:row>
    <x:row r="521" ht="15" hidden="0" customHeight="1">
      <x:c r="A521" s="18" t="str">
        <x:v>LN000520</x:v>
      </x:c>
      <x:c r="B521" s="18" t="str">
        <x:v>LOS-SYN-0000520</x:v>
      </x:c>
      <x:c r="C521" s="18" t="str">
        <x:v>EMP001</x:v>
      </x:c>
      <x:c r="D521" s="18" t="str">
        <x:v>CY2026Q1</x:v>
      </x:c>
      <x:c r="E521" s="18" t="str">
        <x:v>BR001</x:v>
      </x:c>
      <x:c r="F521" s="20" t="n">
        <x:v>46047.5</x:v>
      </x:c>
      <x:c r="G521" s="18" t="str">
        <x:v>Funded</x:v>
      </x:c>
      <x:c r="H521" s="23" t="n">
        <x:v>32000</x:v>
      </x:c>
      <x:c r="I521" s="18" t="str">
        <x:v>Debt consolidation loan</x:v>
      </x:c>
      <x:c r="J521" s="18" t="str">
        <x:v>Referral</x:v>
      </x:c>
      <x:c r="K521" s="20" t="n">
        <x:v>46054.5</x:v>
      </x:c>
    </x:row>
    <x:row r="522" ht="15" hidden="0" customHeight="1">
      <x:c r="A522" s="18" t="str">
        <x:v>LN000521</x:v>
      </x:c>
      <x:c r="B522" s="18" t="str">
        <x:v>LOS-SYN-0000521</x:v>
      </x:c>
      <x:c r="C522" s="18" t="str">
        <x:v>EMP001</x:v>
      </x:c>
      <x:c r="D522" s="18" t="str">
        <x:v>CY2026Q1</x:v>
      </x:c>
      <x:c r="E522" s="18" t="str">
        <x:v>BR001</x:v>
      </x:c>
      <x:c r="F522" s="20" t="n">
        <x:v>46060.5</x:v>
      </x:c>
      <x:c r="G522" s="18" t="str">
        <x:v>Funded</x:v>
      </x:c>
      <x:c r="H522" s="23" t="n">
        <x:v>41500</x:v>
      </x:c>
      <x:c r="I522" s="18" t="str">
        <x:v>Debt consolidation loan</x:v>
      </x:c>
      <x:c r="J522" s="18" t="str">
        <x:v>Referral</x:v>
      </x:c>
      <x:c r="K522" s="20" t="n">
        <x:v>46070.5</x:v>
      </x:c>
    </x:row>
    <x:row r="523" ht="15" hidden="0" customHeight="1">
      <x:c r="A523" s="18" t="str">
        <x:v>LN000522</x:v>
      </x:c>
      <x:c r="B523" s="18" t="str">
        <x:v>LOS-SYN-0000522</x:v>
      </x:c>
      <x:c r="C523" s="18" t="str">
        <x:v>EMP002</x:v>
      </x:c>
      <x:c r="D523" s="18" t="str">
        <x:v>CY2026Q1</x:v>
      </x:c>
      <x:c r="E523" s="18" t="str">
        <x:v>BR001</x:v>
      </x:c>
      <x:c r="F523" s="20" t="n">
        <x:v>46024.5</x:v>
      </x:c>
      <x:c r="G523" s="18" t="str">
        <x:v>Funded</x:v>
      </x:c>
      <x:c r="H523" s="23" t="n">
        <x:v>49000</x:v>
      </x:c>
      <x:c r="I523" s="18" t="str">
        <x:v>Personal loan</x:v>
      </x:c>
      <x:c r="J523" s="18" t="str">
        <x:v>New customer</x:v>
      </x:c>
      <x:c r="K523" s="20" t="n">
        <x:v>46030.5</x:v>
      </x:c>
    </x:row>
    <x:row r="524" ht="15" hidden="0" customHeight="1">
      <x:c r="A524" s="18" t="str">
        <x:v>LN000523</x:v>
      </x:c>
      <x:c r="B524" s="18" t="str">
        <x:v>LOS-SYN-0000523</x:v>
      </x:c>
      <x:c r="C524" s="18" t="str">
        <x:v>EMP002</x:v>
      </x:c>
      <x:c r="D524" s="18" t="str">
        <x:v>CY2026Q1</x:v>
      </x:c>
      <x:c r="E524" s="18" t="str">
        <x:v>BR001</x:v>
      </x:c>
      <x:c r="F524" s="20" t="n">
        <x:v>46083.5</x:v>
      </x:c>
      <x:c r="G524" s="18" t="str">
        <x:v>Funded</x:v>
      </x:c>
      <x:c r="H524" s="23" t="n">
        <x:v>36000</x:v>
      </x:c>
      <x:c r="I524" s="18" t="str">
        <x:v>Debt consolidation loan</x:v>
      </x:c>
      <x:c r="J524" s="18" t="str">
        <x:v>New customer</x:v>
      </x:c>
      <x:c r="K524" s="20" t="n">
        <x:v>46092.5</x:v>
      </x:c>
    </x:row>
    <x:row r="525" ht="15" hidden="0" customHeight="1">
      <x:c r="A525" s="18" t="str">
        <x:v>LN000524</x:v>
      </x:c>
      <x:c r="B525" s="18" t="str">
        <x:v>LOS-SYN-0000524</x:v>
      </x:c>
      <x:c r="C525" s="18" t="str">
        <x:v>EMP002</x:v>
      </x:c>
      <x:c r="D525" s="18" t="str">
        <x:v>CY2026Q1</x:v>
      </x:c>
      <x:c r="E525" s="18" t="str">
        <x:v>BR001</x:v>
      </x:c>
      <x:c r="F525" s="20" t="n">
        <x:v>46093.5</x:v>
      </x:c>
      <x:c r="G525" s="18" t="str">
        <x:v>Funded</x:v>
      </x:c>
      <x:c r="H525" s="23" t="n">
        <x:v>36500</x:v>
      </x:c>
      <x:c r="I525" s="18" t="str">
        <x:v>Home improvement loan</x:v>
      </x:c>
      <x:c r="J525" s="18" t="str">
        <x:v>Existing customer</x:v>
      </x:c>
      <x:c r="K525" s="20" t="n">
        <x:v>46105.5</x:v>
      </x:c>
    </x:row>
    <x:row r="526" ht="15" hidden="0" customHeight="1">
      <x:c r="A526" s="18" t="str">
        <x:v>LN000525</x:v>
      </x:c>
      <x:c r="B526" s="18" t="str">
        <x:v>LOS-SYN-0000525</x:v>
      </x:c>
      <x:c r="C526" s="18" t="str">
        <x:v>EMP002</x:v>
      </x:c>
      <x:c r="D526" s="18" t="str">
        <x:v>CY2026Q1</x:v>
      </x:c>
      <x:c r="E526" s="18" t="str">
        <x:v>BR001</x:v>
      </x:c>
      <x:c r="F526" s="20" t="n">
        <x:v>46050.5</x:v>
      </x:c>
      <x:c r="G526" s="18" t="str">
        <x:v>Funded</x:v>
      </x:c>
      <x:c r="H526" s="23" t="n">
        <x:v>52000</x:v>
      </x:c>
      <x:c r="I526" s="18" t="str">
        <x:v>Home improvement loan</x:v>
      </x:c>
      <x:c r="J526" s="18" t="str">
        <x:v>New customer</x:v>
      </x:c>
      <x:c r="K526" s="20" t="n">
        <x:v>46054.5</x:v>
      </x:c>
    </x:row>
    <x:row r="527" ht="15" hidden="0" customHeight="1">
      <x:c r="A527" s="18" t="str">
        <x:v>LN000526</x:v>
      </x:c>
      <x:c r="B527" s="18" t="str">
        <x:v>LOS-SYN-0000526</x:v>
      </x:c>
      <x:c r="C527" s="18" t="str">
        <x:v>EMP002</x:v>
      </x:c>
      <x:c r="D527" s="18" t="str">
        <x:v>CY2026Q1</x:v>
      </x:c>
      <x:c r="E527" s="18" t="str">
        <x:v>BR001</x:v>
      </x:c>
      <x:c r="F527" s="20" t="n">
        <x:v>46051.5</x:v>
      </x:c>
      <x:c r="G527" s="18" t="str">
        <x:v>Funded</x:v>
      </x:c>
      <x:c r="H527" s="23" t="n">
        <x:v>44500</x:v>
      </x:c>
      <x:c r="I527" s="18" t="str">
        <x:v>Home improvement loan</x:v>
      </x:c>
      <x:c r="J527" s="18" t="str">
        <x:v>Existing customer</x:v>
      </x:c>
      <x:c r="K527" s="20" t="n">
        <x:v>46055.5</x:v>
      </x:c>
    </x:row>
    <x:row r="528" ht="15" hidden="0" customHeight="1">
      <x:c r="A528" s="18" t="str">
        <x:v>LN000527</x:v>
      </x:c>
      <x:c r="B528" s="18" t="str">
        <x:v>LOS-SYN-0000527</x:v>
      </x:c>
      <x:c r="C528" s="18" t="str">
        <x:v>EMP002</x:v>
      </x:c>
      <x:c r="D528" s="18" t="str">
        <x:v>CY2026Q1</x:v>
      </x:c>
      <x:c r="E528" s="18" t="str">
        <x:v>BR001</x:v>
      </x:c>
      <x:c r="F528" s="20" t="n">
        <x:v>46093.5</x:v>
      </x:c>
      <x:c r="G528" s="18" t="str">
        <x:v>Funded</x:v>
      </x:c>
      <x:c r="H528" s="23" t="n">
        <x:v>33500</x:v>
      </x:c>
      <x:c r="I528" s="18" t="str">
        <x:v>Auto loan</x:v>
      </x:c>
      <x:c r="J528" s="18" t="str">
        <x:v>Existing customer</x:v>
      </x:c>
      <x:c r="K528" s="20" t="n">
        <x:v>46098.5</x:v>
      </x:c>
    </x:row>
    <x:row r="529" ht="15" hidden="0" customHeight="1">
      <x:c r="A529" s="18" t="str">
        <x:v>LN000528</x:v>
      </x:c>
      <x:c r="B529" s="18" t="str">
        <x:v>LOS-SYN-0000528</x:v>
      </x:c>
      <x:c r="C529" s="18" t="str">
        <x:v>EMP002</x:v>
      </x:c>
      <x:c r="D529" s="18" t="str">
        <x:v>CY2026Q1</x:v>
      </x:c>
      <x:c r="E529" s="18" t="str">
        <x:v>BR001</x:v>
      </x:c>
      <x:c r="F529" s="20" t="n">
        <x:v>46099.5</x:v>
      </x:c>
      <x:c r="G529" s="18" t="str">
        <x:v>Funded</x:v>
      </x:c>
      <x:c r="H529" s="23" t="n">
        <x:v>51000</x:v>
      </x:c>
      <x:c r="I529" s="18" t="str">
        <x:v>Debt consolidation loan</x:v>
      </x:c>
      <x:c r="J529" s="18" t="str">
        <x:v>Existing customer</x:v>
      </x:c>
      <x:c r="K529" s="20" t="n">
        <x:v>46104.5</x:v>
      </x:c>
    </x:row>
    <x:row r="530" ht="15" hidden="0" customHeight="1">
      <x:c r="A530" s="18" t="str">
        <x:v>LN000529</x:v>
      </x:c>
      <x:c r="B530" s="18" t="str">
        <x:v>LOS-SYN-0000529</x:v>
      </x:c>
      <x:c r="C530" s="18" t="str">
        <x:v>EMP002</x:v>
      </x:c>
      <x:c r="D530" s="18" t="str">
        <x:v>CY2026Q1</x:v>
      </x:c>
      <x:c r="E530" s="18" t="str">
        <x:v>BR001</x:v>
      </x:c>
      <x:c r="F530" s="20" t="n">
        <x:v>46079.5</x:v>
      </x:c>
      <x:c r="G530" s="18" t="str">
        <x:v>Funded</x:v>
      </x:c>
      <x:c r="H530" s="23" t="n">
        <x:v>49500</x:v>
      </x:c>
      <x:c r="I530" s="18" t="str">
        <x:v>Home improvement loan</x:v>
      </x:c>
      <x:c r="J530" s="18" t="str">
        <x:v>New customer</x:v>
      </x:c>
      <x:c r="K530" s="20" t="n">
        <x:v>46083.5</x:v>
      </x:c>
    </x:row>
    <x:row r="531" ht="15" hidden="0" customHeight="1">
      <x:c r="A531" s="18" t="str">
        <x:v>LN000530</x:v>
      </x:c>
      <x:c r="B531" s="18" t="str">
        <x:v>LOS-SYN-0000530</x:v>
      </x:c>
      <x:c r="C531" s="18" t="str">
        <x:v>EMP002</x:v>
      </x:c>
      <x:c r="D531" s="18" t="str">
        <x:v>CY2026Q1</x:v>
      </x:c>
      <x:c r="E531" s="18" t="str">
        <x:v>BR001</x:v>
      </x:c>
      <x:c r="F531" s="20" t="n">
        <x:v>46096.5</x:v>
      </x:c>
      <x:c r="G531" s="18" t="str">
        <x:v>Funded</x:v>
      </x:c>
      <x:c r="H531" s="23" t="n">
        <x:v>37000</x:v>
      </x:c>
      <x:c r="I531" s="18" t="str">
        <x:v>Debt consolidation loan</x:v>
      </x:c>
      <x:c r="J531" s="18" t="str">
        <x:v>Referral</x:v>
      </x:c>
      <x:c r="K531" s="20" t="n">
        <x:v>46104.5</x:v>
      </x:c>
    </x:row>
    <x:row r="532" ht="15" hidden="0" customHeight="1">
      <x:c r="A532" s="18" t="str">
        <x:v>LN000531</x:v>
      </x:c>
      <x:c r="B532" s="18" t="str">
        <x:v>LOS-SYN-0000531</x:v>
      </x:c>
      <x:c r="C532" s="18" t="str">
        <x:v>EMP003</x:v>
      </x:c>
      <x:c r="D532" s="18" t="str">
        <x:v>CY2026Q1</x:v>
      </x:c>
      <x:c r="E532" s="18" t="str">
        <x:v>BR001</x:v>
      </x:c>
      <x:c r="F532" s="20" t="n">
        <x:v>46043.5</x:v>
      </x:c>
      <x:c r="G532" s="18" t="str">
        <x:v>Funded</x:v>
      </x:c>
      <x:c r="H532" s="23" t="n">
        <x:v>55500</x:v>
      </x:c>
      <x:c r="I532" s="18" t="str">
        <x:v>Home improvement loan</x:v>
      </x:c>
      <x:c r="J532" s="18" t="str">
        <x:v>New customer</x:v>
      </x:c>
      <x:c r="K532" s="20" t="n">
        <x:v>46055.5</x:v>
      </x:c>
    </x:row>
    <x:row r="533" ht="15" hidden="0" customHeight="1">
      <x:c r="A533" s="18" t="str">
        <x:v>LN000532</x:v>
      </x:c>
      <x:c r="B533" s="18" t="str">
        <x:v>LOS-SYN-0000532</x:v>
      </x:c>
      <x:c r="C533" s="18" t="str">
        <x:v>EMP003</x:v>
      </x:c>
      <x:c r="D533" s="18" t="str">
        <x:v>CY2026Q1</x:v>
      </x:c>
      <x:c r="E533" s="18" t="str">
        <x:v>BR001</x:v>
      </x:c>
      <x:c r="F533" s="20" t="n">
        <x:v>46079.5</x:v>
      </x:c>
      <x:c r="G533" s="18" t="str">
        <x:v>Funded</x:v>
      </x:c>
      <x:c r="H533" s="23" t="n">
        <x:v>51000</x:v>
      </x:c>
      <x:c r="I533" s="18" t="str">
        <x:v>Home improvement loan</x:v>
      </x:c>
      <x:c r="J533" s="18" t="str">
        <x:v>Referral</x:v>
      </x:c>
      <x:c r="K533" s="20" t="n">
        <x:v>46084.5</x:v>
      </x:c>
    </x:row>
    <x:row r="534" ht="15" hidden="0" customHeight="1">
      <x:c r="A534" s="18" t="str">
        <x:v>LN000533</x:v>
      </x:c>
      <x:c r="B534" s="18" t="str">
        <x:v>LOS-SYN-0000533</x:v>
      </x:c>
      <x:c r="C534" s="18" t="str">
        <x:v>EMP003</x:v>
      </x:c>
      <x:c r="D534" s="18" t="str">
        <x:v>CY2026Q1</x:v>
      </x:c>
      <x:c r="E534" s="18" t="str">
        <x:v>BR001</x:v>
      </x:c>
      <x:c r="F534" s="20" t="n">
        <x:v>46105.5</x:v>
      </x:c>
      <x:c r="G534" s="18" t="str">
        <x:v>Funded</x:v>
      </x:c>
      <x:c r="H534" s="23" t="n">
        <x:v>34500</x:v>
      </x:c>
      <x:c r="I534" s="18" t="str">
        <x:v>Personal loan</x:v>
      </x:c>
      <x:c r="J534" s="18" t="str">
        <x:v>Referral</x:v>
      </x:c>
      <x:c r="K534" s="20" t="n">
        <x:v>46115.5</x:v>
      </x:c>
    </x:row>
    <x:row r="535" ht="15" hidden="0" customHeight="1">
      <x:c r="A535" s="18" t="str">
        <x:v>LN000534</x:v>
      </x:c>
      <x:c r="B535" s="18" t="str">
        <x:v>LOS-SYN-0000534</x:v>
      </x:c>
      <x:c r="C535" s="18" t="str">
        <x:v>EMP003</x:v>
      </x:c>
      <x:c r="D535" s="18" t="str">
        <x:v>CY2026Q1</x:v>
      </x:c>
      <x:c r="E535" s="18" t="str">
        <x:v>BR001</x:v>
      </x:c>
      <x:c r="F535" s="20" t="n">
        <x:v>46097.5</x:v>
      </x:c>
      <x:c r="G535" s="18" t="str">
        <x:v>Funded</x:v>
      </x:c>
      <x:c r="H535" s="23" t="n">
        <x:v>48000</x:v>
      </x:c>
      <x:c r="I535" s="18" t="str">
        <x:v>Personal loan</x:v>
      </x:c>
      <x:c r="J535" s="18" t="str">
        <x:v>New customer</x:v>
      </x:c>
      <x:c r="K535" s="20" t="n">
        <x:v>46102.5</x:v>
      </x:c>
    </x:row>
    <x:row r="536" ht="15" hidden="0" customHeight="1">
      <x:c r="A536" s="18" t="str">
        <x:v>LN000535</x:v>
      </x:c>
      <x:c r="B536" s="18" t="str">
        <x:v>LOS-SYN-0000535</x:v>
      </x:c>
      <x:c r="C536" s="18" t="str">
        <x:v>EMP003</x:v>
      </x:c>
      <x:c r="D536" s="18" t="str">
        <x:v>CY2026Q1</x:v>
      </x:c>
      <x:c r="E536" s="18" t="str">
        <x:v>BR001</x:v>
      </x:c>
      <x:c r="F536" s="20" t="n">
        <x:v>46049.5</x:v>
      </x:c>
      <x:c r="G536" s="18" t="str">
        <x:v>Funded</x:v>
      </x:c>
      <x:c r="H536" s="23" t="n">
        <x:v>49500</x:v>
      </x:c>
      <x:c r="I536" s="18" t="str">
        <x:v>Personal loan</x:v>
      </x:c>
      <x:c r="J536" s="18" t="str">
        <x:v>Existing customer</x:v>
      </x:c>
      <x:c r="K536" s="20" t="n">
        <x:v>46059.5</x:v>
      </x:c>
    </x:row>
    <x:row r="537" ht="15" hidden="0" customHeight="1">
      <x:c r="A537" s="18" t="str">
        <x:v>LN000536</x:v>
      </x:c>
      <x:c r="B537" s="18" t="str">
        <x:v>LOS-SYN-0000536</x:v>
      </x:c>
      <x:c r="C537" s="18" t="str">
        <x:v>EMP003</x:v>
      </x:c>
      <x:c r="D537" s="18" t="str">
        <x:v>CY2026Q1</x:v>
      </x:c>
      <x:c r="E537" s="18" t="str">
        <x:v>BR001</x:v>
      </x:c>
      <x:c r="F537" s="20" t="n">
        <x:v>46061.5</x:v>
      </x:c>
      <x:c r="G537" s="18" t="str">
        <x:v>Funded</x:v>
      </x:c>
      <x:c r="H537" s="23" t="n">
        <x:v>51000</x:v>
      </x:c>
      <x:c r="I537" s="18" t="str">
        <x:v>Home improvement loan</x:v>
      </x:c>
      <x:c r="J537" s="18" t="str">
        <x:v>Existing customer</x:v>
      </x:c>
      <x:c r="K537" s="20" t="n">
        <x:v>46064.5</x:v>
      </x:c>
    </x:row>
    <x:row r="538" ht="15" hidden="0" customHeight="1">
      <x:c r="A538" s="18" t="str">
        <x:v>LN000537</x:v>
      </x:c>
      <x:c r="B538" s="18" t="str">
        <x:v>LOS-SYN-0000537</x:v>
      </x:c>
      <x:c r="C538" s="18" t="str">
        <x:v>EMP003</x:v>
      </x:c>
      <x:c r="D538" s="18" t="str">
        <x:v>CY2026Q1</x:v>
      </x:c>
      <x:c r="E538" s="18" t="str">
        <x:v>BR001</x:v>
      </x:c>
      <x:c r="F538" s="20" t="n">
        <x:v>46067.5</x:v>
      </x:c>
      <x:c r="G538" s="18" t="str">
        <x:v>Funded</x:v>
      </x:c>
      <x:c r="H538" s="23" t="n">
        <x:v>47500</x:v>
      </x:c>
      <x:c r="I538" s="18" t="str">
        <x:v>Home improvement loan</x:v>
      </x:c>
      <x:c r="J538" s="18" t="str">
        <x:v>New customer</x:v>
      </x:c>
      <x:c r="K538" s="20" t="n">
        <x:v>46070.5</x:v>
      </x:c>
    </x:row>
    <x:row r="539" ht="15" hidden="0" customHeight="1">
      <x:c r="A539" s="18" t="str">
        <x:v>LN000538</x:v>
      </x:c>
      <x:c r="B539" s="18" t="str">
        <x:v>LOS-SYN-0000538</x:v>
      </x:c>
      <x:c r="C539" s="18" t="str">
        <x:v>EMP003</x:v>
      </x:c>
      <x:c r="D539" s="18" t="str">
        <x:v>CY2026Q1</x:v>
      </x:c>
      <x:c r="E539" s="18" t="str">
        <x:v>BR001</x:v>
      </x:c>
      <x:c r="F539" s="20" t="n">
        <x:v>46102.5</x:v>
      </x:c>
      <x:c r="G539" s="18" t="str">
        <x:v>Funded</x:v>
      </x:c>
      <x:c r="H539" s="23" t="n">
        <x:v>29000</x:v>
      </x:c>
      <x:c r="I539" s="18" t="str">
        <x:v>Debt consolidation loan</x:v>
      </x:c>
      <x:c r="J539" s="18" t="str">
        <x:v>Referral</x:v>
      </x:c>
      <x:c r="K539" s="20" t="n">
        <x:v>46109.5</x:v>
      </x:c>
    </x:row>
    <x:row r="540" ht="15" hidden="0" customHeight="1">
      <x:c r="A540" s="18" t="str">
        <x:v>LN000539</x:v>
      </x:c>
      <x:c r="B540" s="18" t="str">
        <x:v>LOS-SYN-0000539</x:v>
      </x:c>
      <x:c r="C540" s="18" t="str">
        <x:v>EMP003</x:v>
      </x:c>
      <x:c r="D540" s="18" t="str">
        <x:v>CY2026Q1</x:v>
      </x:c>
      <x:c r="E540" s="18" t="str">
        <x:v>BR001</x:v>
      </x:c>
      <x:c r="F540" s="20" t="n">
        <x:v>46074.5</x:v>
      </x:c>
      <x:c r="G540" s="18" t="str">
        <x:v>Cancelled</x:v>
      </x:c>
      <x:c r="H540" s="23" t="n">
        <x:v>43000</x:v>
      </x:c>
      <x:c r="I540" s="18" t="str">
        <x:v>Personal loan</x:v>
      </x:c>
      <x:c r="J540" s="18" t="str">
        <x:v>New customer</x:v>
      </x:c>
      <x:c r="K540" s="20"/>
    </x:row>
    <x:row r="541" ht="15" hidden="0" customHeight="1">
      <x:c r="A541" s="18" t="str">
        <x:v>LN000540</x:v>
      </x:c>
      <x:c r="B541" s="18" t="str">
        <x:v>LOS-SYN-0000540</x:v>
      </x:c>
      <x:c r="C541" s="18" t="str">
        <x:v>EMP004</x:v>
      </x:c>
      <x:c r="D541" s="18" t="str">
        <x:v>CY2026Q1</x:v>
      </x:c>
      <x:c r="E541" s="18" t="str">
        <x:v>BR002</x:v>
      </x:c>
      <x:c r="F541" s="20" t="n">
        <x:v>46067.5</x:v>
      </x:c>
      <x:c r="G541" s="18" t="str">
        <x:v>Funded</x:v>
      </x:c>
      <x:c r="H541" s="23" t="n">
        <x:v>43500</x:v>
      </x:c>
      <x:c r="I541" s="18" t="str">
        <x:v>Debt consolidation loan</x:v>
      </x:c>
      <x:c r="J541" s="18" t="str">
        <x:v>New customer</x:v>
      </x:c>
      <x:c r="K541" s="20" t="n">
        <x:v>46079.5</x:v>
      </x:c>
    </x:row>
    <x:row r="542" ht="15" hidden="0" customHeight="1">
      <x:c r="A542" s="18" t="str">
        <x:v>LN000541</x:v>
      </x:c>
      <x:c r="B542" s="18" t="str">
        <x:v>LOS-SYN-0000541</x:v>
      </x:c>
      <x:c r="C542" s="18" t="str">
        <x:v>EMP004</x:v>
      </x:c>
      <x:c r="D542" s="18" t="str">
        <x:v>CY2026Q1</x:v>
      </x:c>
      <x:c r="E542" s="18" t="str">
        <x:v>BR002</x:v>
      </x:c>
      <x:c r="F542" s="20" t="n">
        <x:v>46081.5</x:v>
      </x:c>
      <x:c r="G542" s="18" t="str">
        <x:v>Funded</x:v>
      </x:c>
      <x:c r="H542" s="23" t="n">
        <x:v>29000</x:v>
      </x:c>
      <x:c r="I542" s="18" t="str">
        <x:v>Personal loan</x:v>
      </x:c>
      <x:c r="J542" s="18" t="str">
        <x:v>Referral</x:v>
      </x:c>
      <x:c r="K542" s="20" t="n">
        <x:v>46089.5</x:v>
      </x:c>
    </x:row>
    <x:row r="543" ht="15" hidden="0" customHeight="1">
      <x:c r="A543" s="18" t="str">
        <x:v>LN000542</x:v>
      </x:c>
      <x:c r="B543" s="18" t="str">
        <x:v>LOS-SYN-0000542</x:v>
      </x:c>
      <x:c r="C543" s="18" t="str">
        <x:v>EMP004</x:v>
      </x:c>
      <x:c r="D543" s="18" t="str">
        <x:v>CY2026Q1</x:v>
      </x:c>
      <x:c r="E543" s="18" t="str">
        <x:v>BR002</x:v>
      </x:c>
      <x:c r="F543" s="20" t="n">
        <x:v>46038.5</x:v>
      </x:c>
      <x:c r="G543" s="18" t="str">
        <x:v>Funded</x:v>
      </x:c>
      <x:c r="H543" s="23" t="n">
        <x:v>44000</x:v>
      </x:c>
      <x:c r="I543" s="18" t="str">
        <x:v>Auto loan</x:v>
      </x:c>
      <x:c r="J543" s="18" t="str">
        <x:v>Existing customer</x:v>
      </x:c>
      <x:c r="K543" s="20" t="n">
        <x:v>46049.5</x:v>
      </x:c>
    </x:row>
    <x:row r="544" ht="15" hidden="0" customHeight="1">
      <x:c r="A544" s="18" t="str">
        <x:v>LN000543</x:v>
      </x:c>
      <x:c r="B544" s="18" t="str">
        <x:v>LOS-SYN-0000543</x:v>
      </x:c>
      <x:c r="C544" s="18" t="str">
        <x:v>EMP004</x:v>
      </x:c>
      <x:c r="D544" s="18" t="str">
        <x:v>CY2026Q1</x:v>
      </x:c>
      <x:c r="E544" s="18" t="str">
        <x:v>BR002</x:v>
      </x:c>
      <x:c r="F544" s="20" t="n">
        <x:v>46050.5</x:v>
      </x:c>
      <x:c r="G544" s="18" t="str">
        <x:v>Funded</x:v>
      </x:c>
      <x:c r="H544" s="23" t="n">
        <x:v>37000</x:v>
      </x:c>
      <x:c r="I544" s="18" t="str">
        <x:v>Home improvement loan</x:v>
      </x:c>
      <x:c r="J544" s="18" t="str">
        <x:v>Referral</x:v>
      </x:c>
      <x:c r="K544" s="20" t="n">
        <x:v>46055.5</x:v>
      </x:c>
    </x:row>
    <x:row r="545" ht="15" hidden="0" customHeight="1">
      <x:c r="A545" s="18" t="str">
        <x:v>LN000544</x:v>
      </x:c>
      <x:c r="B545" s="18" t="str">
        <x:v>LOS-SYN-0000544</x:v>
      </x:c>
      <x:c r="C545" s="18" t="str">
        <x:v>EMP004</x:v>
      </x:c>
      <x:c r="D545" s="18" t="str">
        <x:v>CY2026Q1</x:v>
      </x:c>
      <x:c r="E545" s="18" t="str">
        <x:v>BR002</x:v>
      </x:c>
      <x:c r="F545" s="20" t="n">
        <x:v>46059.5</x:v>
      </x:c>
      <x:c r="G545" s="18" t="str">
        <x:v>Funded</x:v>
      </x:c>
      <x:c r="H545" s="23" t="n">
        <x:v>29500</x:v>
      </x:c>
      <x:c r="I545" s="18" t="str">
        <x:v>Debt consolidation loan</x:v>
      </x:c>
      <x:c r="J545" s="18" t="str">
        <x:v>New customer</x:v>
      </x:c>
      <x:c r="K545" s="20" t="n">
        <x:v>46070.5</x:v>
      </x:c>
    </x:row>
    <x:row r="546" ht="15" hidden="0" customHeight="1">
      <x:c r="A546" s="18" t="str">
        <x:v>LN000545</x:v>
      </x:c>
      <x:c r="B546" s="18" t="str">
        <x:v>LOS-SYN-0000545</x:v>
      </x:c>
      <x:c r="C546" s="18" t="str">
        <x:v>EMP004</x:v>
      </x:c>
      <x:c r="D546" s="18" t="str">
        <x:v>CY2026Q1</x:v>
      </x:c>
      <x:c r="E546" s="18" t="str">
        <x:v>BR002</x:v>
      </x:c>
      <x:c r="F546" s="20" t="n">
        <x:v>46088.5</x:v>
      </x:c>
      <x:c r="G546" s="18" t="str">
        <x:v>Funded</x:v>
      </x:c>
      <x:c r="H546" s="23" t="n">
        <x:v>41000</x:v>
      </x:c>
      <x:c r="I546" s="18" t="str">
        <x:v>Debt consolidation loan</x:v>
      </x:c>
      <x:c r="J546" s="18" t="str">
        <x:v>New customer</x:v>
      </x:c>
      <x:c r="K546" s="20" t="n">
        <x:v>46091.5</x:v>
      </x:c>
    </x:row>
    <x:row r="547" ht="15" hidden="0" customHeight="1">
      <x:c r="A547" s="18" t="str">
        <x:v>LN000546</x:v>
      </x:c>
      <x:c r="B547" s="18" t="str">
        <x:v>LOS-SYN-0000546</x:v>
      </x:c>
      <x:c r="C547" s="18" t="str">
        <x:v>EMP004</x:v>
      </x:c>
      <x:c r="D547" s="18" t="str">
        <x:v>CY2026Q1</x:v>
      </x:c>
      <x:c r="E547" s="18" t="str">
        <x:v>BR002</x:v>
      </x:c>
      <x:c r="F547" s="20" t="n">
        <x:v>46076.5</x:v>
      </x:c>
      <x:c r="G547" s="18" t="str">
        <x:v>Funded</x:v>
      </x:c>
      <x:c r="H547" s="23" t="n">
        <x:v>37000</x:v>
      </x:c>
      <x:c r="I547" s="18" t="str">
        <x:v>Personal loan</x:v>
      </x:c>
      <x:c r="J547" s="18" t="str">
        <x:v>Existing customer</x:v>
      </x:c>
      <x:c r="K547" s="20" t="n">
        <x:v>46083.5</x:v>
      </x:c>
    </x:row>
    <x:row r="548" ht="15" hidden="0" customHeight="1">
      <x:c r="A548" s="18" t="str">
        <x:v>LN000547</x:v>
      </x:c>
      <x:c r="B548" s="18" t="str">
        <x:v>LOS-SYN-0000547</x:v>
      </x:c>
      <x:c r="C548" s="18" t="str">
        <x:v>EMP005</x:v>
      </x:c>
      <x:c r="D548" s="18" t="str">
        <x:v>CY2026Q1</x:v>
      </x:c>
      <x:c r="E548" s="18" t="str">
        <x:v>BR002</x:v>
      </x:c>
      <x:c r="F548" s="20" t="n">
        <x:v>46054.5</x:v>
      </x:c>
      <x:c r="G548" s="18" t="str">
        <x:v>Funded</x:v>
      </x:c>
      <x:c r="H548" s="23" t="n">
        <x:v>36500</x:v>
      </x:c>
      <x:c r="I548" s="18" t="str">
        <x:v>Debt consolidation loan</x:v>
      </x:c>
      <x:c r="J548" s="18" t="str">
        <x:v>New customer</x:v>
      </x:c>
      <x:c r="K548" s="20" t="n">
        <x:v>46057.5</x:v>
      </x:c>
    </x:row>
    <x:row r="549" ht="15" hidden="0" customHeight="1">
      <x:c r="A549" s="18" t="str">
        <x:v>LN000548</x:v>
      </x:c>
      <x:c r="B549" s="18" t="str">
        <x:v>LOS-SYN-0000548</x:v>
      </x:c>
      <x:c r="C549" s="18" t="str">
        <x:v>EMP005</x:v>
      </x:c>
      <x:c r="D549" s="18" t="str">
        <x:v>CY2026Q1</x:v>
      </x:c>
      <x:c r="E549" s="18" t="str">
        <x:v>BR002</x:v>
      </x:c>
      <x:c r="F549" s="20" t="n">
        <x:v>46042.5</x:v>
      </x:c>
      <x:c r="G549" s="18" t="str">
        <x:v>Funded</x:v>
      </x:c>
      <x:c r="H549" s="23" t="n">
        <x:v>32000</x:v>
      </x:c>
      <x:c r="I549" s="18" t="str">
        <x:v>Home improvement loan</x:v>
      </x:c>
      <x:c r="J549" s="18" t="str">
        <x:v>Existing customer</x:v>
      </x:c>
      <x:c r="K549" s="20" t="n">
        <x:v>46052.5</x:v>
      </x:c>
    </x:row>
    <x:row r="550" ht="15" hidden="0" customHeight="1">
      <x:c r="A550" s="18" t="str">
        <x:v>LN000549</x:v>
      </x:c>
      <x:c r="B550" s="18" t="str">
        <x:v>LOS-SYN-0000549</x:v>
      </x:c>
      <x:c r="C550" s="18" t="str">
        <x:v>EMP005</x:v>
      </x:c>
      <x:c r="D550" s="18" t="str">
        <x:v>CY2026Q1</x:v>
      </x:c>
      <x:c r="E550" s="18" t="str">
        <x:v>BR002</x:v>
      </x:c>
      <x:c r="F550" s="20" t="n">
        <x:v>46061.5</x:v>
      </x:c>
      <x:c r="G550" s="18" t="str">
        <x:v>Funded</x:v>
      </x:c>
      <x:c r="H550" s="23" t="n">
        <x:v>44500</x:v>
      </x:c>
      <x:c r="I550" s="18" t="str">
        <x:v>Debt consolidation loan</x:v>
      </x:c>
      <x:c r="J550" s="18" t="str">
        <x:v>Existing customer</x:v>
      </x:c>
      <x:c r="K550" s="20" t="n">
        <x:v>46065.5</x:v>
      </x:c>
    </x:row>
    <x:row r="551" ht="15" hidden="0" customHeight="1">
      <x:c r="A551" s="18" t="str">
        <x:v>LN000550</x:v>
      </x:c>
      <x:c r="B551" s="18" t="str">
        <x:v>LOS-SYN-0000550</x:v>
      </x:c>
      <x:c r="C551" s="18" t="str">
        <x:v>EMP005</x:v>
      </x:c>
      <x:c r="D551" s="18" t="str">
        <x:v>CY2026Q1</x:v>
      </x:c>
      <x:c r="E551" s="18" t="str">
        <x:v>BR002</x:v>
      </x:c>
      <x:c r="F551" s="20" t="n">
        <x:v>46097.5</x:v>
      </x:c>
      <x:c r="G551" s="18" t="str">
        <x:v>Funded</x:v>
      </x:c>
      <x:c r="H551" s="23" t="n">
        <x:v>40000</x:v>
      </x:c>
      <x:c r="I551" s="18" t="str">
        <x:v>Debt consolidation loan</x:v>
      </x:c>
      <x:c r="J551" s="18" t="str">
        <x:v>Existing customer</x:v>
      </x:c>
      <x:c r="K551" s="20" t="n">
        <x:v>46107.5</x:v>
      </x:c>
    </x:row>
    <x:row r="552" ht="15" hidden="0" customHeight="1">
      <x:c r="A552" s="18" t="str">
        <x:v>LN000551</x:v>
      </x:c>
      <x:c r="B552" s="18" t="str">
        <x:v>LOS-SYN-0000551</x:v>
      </x:c>
      <x:c r="C552" s="18" t="str">
        <x:v>EMP005</x:v>
      </x:c>
      <x:c r="D552" s="18" t="str">
        <x:v>CY2026Q1</x:v>
      </x:c>
      <x:c r="E552" s="18" t="str">
        <x:v>BR002</x:v>
      </x:c>
      <x:c r="F552" s="20" t="n">
        <x:v>46091.5</x:v>
      </x:c>
      <x:c r="G552" s="18" t="str">
        <x:v>Funded</x:v>
      </x:c>
      <x:c r="H552" s="23" t="n">
        <x:v>41000</x:v>
      </x:c>
      <x:c r="I552" s="18" t="str">
        <x:v>Auto loan</x:v>
      </x:c>
      <x:c r="J552" s="18" t="str">
        <x:v>New customer</x:v>
      </x:c>
      <x:c r="K552" s="20" t="n">
        <x:v>46100.5</x:v>
      </x:c>
    </x:row>
    <x:row r="553" ht="15" hidden="0" customHeight="1">
      <x:c r="A553" s="18" t="str">
        <x:v>LN000552</x:v>
      </x:c>
      <x:c r="B553" s="18" t="str">
        <x:v>LOS-SYN-0000552</x:v>
      </x:c>
      <x:c r="C553" s="18" t="str">
        <x:v>EMP005</x:v>
      </x:c>
      <x:c r="D553" s="18" t="str">
        <x:v>CY2026Q1</x:v>
      </x:c>
      <x:c r="E553" s="18" t="str">
        <x:v>BR002</x:v>
      </x:c>
      <x:c r="F553" s="20" t="n">
        <x:v>46032.5</x:v>
      </x:c>
      <x:c r="G553" s="18" t="str">
        <x:v>Funded</x:v>
      </x:c>
      <x:c r="H553" s="23" t="n">
        <x:v>37000</x:v>
      </x:c>
      <x:c r="I553" s="18" t="str">
        <x:v>Auto loan</x:v>
      </x:c>
      <x:c r="J553" s="18" t="str">
        <x:v>Referral</x:v>
      </x:c>
      <x:c r="K553" s="20" t="n">
        <x:v>46044.5</x:v>
      </x:c>
    </x:row>
    <x:row r="554" ht="15" hidden="0" customHeight="1">
      <x:c r="A554" s="18" t="str">
        <x:v>LN000553</x:v>
      </x:c>
      <x:c r="B554" s="18" t="str">
        <x:v>LOS-SYN-0000553</x:v>
      </x:c>
      <x:c r="C554" s="18" t="str">
        <x:v>EMP005</x:v>
      </x:c>
      <x:c r="D554" s="18" t="str">
        <x:v>CY2026Q1</x:v>
      </x:c>
      <x:c r="E554" s="18" t="str">
        <x:v>BR002</x:v>
      </x:c>
      <x:c r="F554" s="20" t="n">
        <x:v>46103.5</x:v>
      </x:c>
      <x:c r="G554" s="18" t="str">
        <x:v>Funded</x:v>
      </x:c>
      <x:c r="H554" s="23" t="n">
        <x:v>48000</x:v>
      </x:c>
      <x:c r="I554" s="18" t="str">
        <x:v>Home improvement loan</x:v>
      </x:c>
      <x:c r="J554" s="18" t="str">
        <x:v>New customer</x:v>
      </x:c>
      <x:c r="K554" s="20" t="n">
        <x:v>46112.5</x:v>
      </x:c>
    </x:row>
    <x:row r="555" ht="15" hidden="0" customHeight="1">
      <x:c r="A555" s="18" t="str">
        <x:v>LN000554</x:v>
      </x:c>
      <x:c r="B555" s="18" t="str">
        <x:v>LOS-SYN-0000554</x:v>
      </x:c>
      <x:c r="C555" s="18" t="str">
        <x:v>EMP005</x:v>
      </x:c>
      <x:c r="D555" s="18" t="str">
        <x:v>CY2026Q1</x:v>
      </x:c>
      <x:c r="E555" s="18" t="str">
        <x:v>BR002</x:v>
      </x:c>
      <x:c r="F555" s="20" t="n">
        <x:v>46034.5</x:v>
      </x:c>
      <x:c r="G555" s="18" t="str">
        <x:v>Funded</x:v>
      </x:c>
      <x:c r="H555" s="23" t="n">
        <x:v>41000</x:v>
      </x:c>
      <x:c r="I555" s="18" t="str">
        <x:v>Debt consolidation loan</x:v>
      </x:c>
      <x:c r="J555" s="18" t="str">
        <x:v>New customer</x:v>
      </x:c>
      <x:c r="K555" s="20" t="n">
        <x:v>46046.5</x:v>
      </x:c>
    </x:row>
    <x:row r="556" ht="15" hidden="0" customHeight="1">
      <x:c r="A556" s="18" t="str">
        <x:v>LN000555</x:v>
      </x:c>
      <x:c r="B556" s="18" t="str">
        <x:v>LOS-SYN-0000555</x:v>
      </x:c>
      <x:c r="C556" s="18" t="str">
        <x:v>EMP005</x:v>
      </x:c>
      <x:c r="D556" s="18" t="str">
        <x:v>CY2026Q1</x:v>
      </x:c>
      <x:c r="E556" s="18" t="str">
        <x:v>BR002</x:v>
      </x:c>
      <x:c r="F556" s="20" t="n">
        <x:v>46073.5</x:v>
      </x:c>
      <x:c r="G556" s="18" t="str">
        <x:v>Funded</x:v>
      </x:c>
      <x:c r="H556" s="23" t="n">
        <x:v>34000</x:v>
      </x:c>
      <x:c r="I556" s="18" t="str">
        <x:v>Debt consolidation loan</x:v>
      </x:c>
      <x:c r="J556" s="18" t="str">
        <x:v>Existing customer</x:v>
      </x:c>
      <x:c r="K556" s="20" t="n">
        <x:v>46084.5</x:v>
      </x:c>
    </x:row>
    <x:row r="557" ht="15" hidden="0" customHeight="1">
      <x:c r="A557" s="18" t="str">
        <x:v>LN000556</x:v>
      </x:c>
      <x:c r="B557" s="18" t="str">
        <x:v>LOS-SYN-0000556</x:v>
      </x:c>
      <x:c r="C557" s="18" t="str">
        <x:v>EMP006</x:v>
      </x:c>
      <x:c r="D557" s="18" t="str">
        <x:v>CY2026Q1</x:v>
      </x:c>
      <x:c r="E557" s="18" t="str">
        <x:v>BR002</x:v>
      </x:c>
      <x:c r="F557" s="20" t="n">
        <x:v>46025.5</x:v>
      </x:c>
      <x:c r="G557" s="18" t="str">
        <x:v>Funded</x:v>
      </x:c>
      <x:c r="H557" s="23" t="n">
        <x:v>30500</x:v>
      </x:c>
      <x:c r="I557" s="18" t="str">
        <x:v>Home improvement loan</x:v>
      </x:c>
      <x:c r="J557" s="18" t="str">
        <x:v>New customer</x:v>
      </x:c>
      <x:c r="K557" s="20" t="n">
        <x:v>46036.5</x:v>
      </x:c>
    </x:row>
    <x:row r="558" ht="15" hidden="0" customHeight="1">
      <x:c r="A558" s="18" t="str">
        <x:v>LN000557</x:v>
      </x:c>
      <x:c r="B558" s="18" t="str">
        <x:v>LOS-SYN-0000557</x:v>
      </x:c>
      <x:c r="C558" s="18" t="str">
        <x:v>EMP006</x:v>
      </x:c>
      <x:c r="D558" s="18" t="str">
        <x:v>CY2026Q1</x:v>
      </x:c>
      <x:c r="E558" s="18" t="str">
        <x:v>BR002</x:v>
      </x:c>
      <x:c r="F558" s="20" t="n">
        <x:v>46062.5</x:v>
      </x:c>
      <x:c r="G558" s="18" t="str">
        <x:v>Funded</x:v>
      </x:c>
      <x:c r="H558" s="23" t="n">
        <x:v>42500</x:v>
      </x:c>
      <x:c r="I558" s="18" t="str">
        <x:v>Auto loan</x:v>
      </x:c>
      <x:c r="J558" s="18" t="str">
        <x:v>Existing customer</x:v>
      </x:c>
      <x:c r="K558" s="20" t="n">
        <x:v>46074.5</x:v>
      </x:c>
    </x:row>
    <x:row r="559" ht="15" hidden="0" customHeight="1">
      <x:c r="A559" s="18" t="str">
        <x:v>LN000558</x:v>
      </x:c>
      <x:c r="B559" s="18" t="str">
        <x:v>LOS-SYN-0000558</x:v>
      </x:c>
      <x:c r="C559" s="18" t="str">
        <x:v>EMP006</x:v>
      </x:c>
      <x:c r="D559" s="18" t="str">
        <x:v>CY2026Q1</x:v>
      </x:c>
      <x:c r="E559" s="18" t="str">
        <x:v>BR002</x:v>
      </x:c>
      <x:c r="F559" s="20" t="n">
        <x:v>46033.5</x:v>
      </x:c>
      <x:c r="G559" s="18" t="str">
        <x:v>Funded</x:v>
      </x:c>
      <x:c r="H559" s="23" t="n">
        <x:v>35500</x:v>
      </x:c>
      <x:c r="I559" s="18" t="str">
        <x:v>Debt consolidation loan</x:v>
      </x:c>
      <x:c r="J559" s="18" t="str">
        <x:v>Existing customer</x:v>
      </x:c>
      <x:c r="K559" s="20" t="n">
        <x:v>46038.5</x:v>
      </x:c>
    </x:row>
    <x:row r="560" ht="15" hidden="0" customHeight="1">
      <x:c r="A560" s="18" t="str">
        <x:v>LN000559</x:v>
      </x:c>
      <x:c r="B560" s="18" t="str">
        <x:v>LOS-SYN-0000559</x:v>
      </x:c>
      <x:c r="C560" s="18" t="str">
        <x:v>EMP006</x:v>
      </x:c>
      <x:c r="D560" s="18" t="str">
        <x:v>CY2026Q1</x:v>
      </x:c>
      <x:c r="E560" s="18" t="str">
        <x:v>BR002</x:v>
      </x:c>
      <x:c r="F560" s="20" t="n">
        <x:v>46089.5</x:v>
      </x:c>
      <x:c r="G560" s="18" t="str">
        <x:v>Funded</x:v>
      </x:c>
      <x:c r="H560" s="23" t="n">
        <x:v>44000</x:v>
      </x:c>
      <x:c r="I560" s="18" t="str">
        <x:v>Personal loan</x:v>
      </x:c>
      <x:c r="J560" s="18" t="str">
        <x:v>Referral</x:v>
      </x:c>
      <x:c r="K560" s="20" t="n">
        <x:v>46094.5</x:v>
      </x:c>
    </x:row>
    <x:row r="561" ht="15" hidden="0" customHeight="1">
      <x:c r="A561" s="18" t="str">
        <x:v>LN000560</x:v>
      </x:c>
      <x:c r="B561" s="18" t="str">
        <x:v>LOS-SYN-0000560</x:v>
      </x:c>
      <x:c r="C561" s="18" t="str">
        <x:v>EMP006</x:v>
      </x:c>
      <x:c r="D561" s="18" t="str">
        <x:v>CY2026Q1</x:v>
      </x:c>
      <x:c r="E561" s="18" t="str">
        <x:v>BR002</x:v>
      </x:c>
      <x:c r="F561" s="20" t="n">
        <x:v>46028.5</x:v>
      </x:c>
      <x:c r="G561" s="18" t="str">
        <x:v>Funded</x:v>
      </x:c>
      <x:c r="H561" s="23" t="n">
        <x:v>30000</x:v>
      </x:c>
      <x:c r="I561" s="18" t="str">
        <x:v>Personal loan</x:v>
      </x:c>
      <x:c r="J561" s="18" t="str">
        <x:v>Existing customer</x:v>
      </x:c>
      <x:c r="K561" s="20" t="n">
        <x:v>46040.5</x:v>
      </x:c>
    </x:row>
    <x:row r="562" ht="15" hidden="0" customHeight="1">
      <x:c r="A562" s="18" t="str">
        <x:v>LN000561</x:v>
      </x:c>
      <x:c r="B562" s="18" t="str">
        <x:v>LOS-SYN-0000561</x:v>
      </x:c>
      <x:c r="C562" s="18" t="str">
        <x:v>EMP006</x:v>
      </x:c>
      <x:c r="D562" s="18" t="str">
        <x:v>CY2026Q1</x:v>
      </x:c>
      <x:c r="E562" s="18" t="str">
        <x:v>BR002</x:v>
      </x:c>
      <x:c r="F562" s="20" t="n">
        <x:v>46093.5</x:v>
      </x:c>
      <x:c r="G562" s="18" t="str">
        <x:v>Funded</x:v>
      </x:c>
      <x:c r="H562" s="23" t="n">
        <x:v>45500</x:v>
      </x:c>
      <x:c r="I562" s="18" t="str">
        <x:v>Personal loan</x:v>
      </x:c>
      <x:c r="J562" s="18" t="str">
        <x:v>Existing customer</x:v>
      </x:c>
      <x:c r="K562" s="20" t="n">
        <x:v>46101.5</x:v>
      </x:c>
    </x:row>
    <x:row r="563" ht="15" hidden="0" customHeight="1">
      <x:c r="A563" s="18" t="str">
        <x:v>LN000562</x:v>
      </x:c>
      <x:c r="B563" s="18" t="str">
        <x:v>LOS-SYN-0000562</x:v>
      </x:c>
      <x:c r="C563" s="18" t="str">
        <x:v>EMP006</x:v>
      </x:c>
      <x:c r="D563" s="18" t="str">
        <x:v>CY2026Q1</x:v>
      </x:c>
      <x:c r="E563" s="18" t="str">
        <x:v>BR002</x:v>
      </x:c>
      <x:c r="F563" s="20" t="n">
        <x:v>46099.5</x:v>
      </x:c>
      <x:c r="G563" s="18" t="str">
        <x:v>Funded</x:v>
      </x:c>
      <x:c r="H563" s="23" t="n">
        <x:v>38500</x:v>
      </x:c>
      <x:c r="I563" s="18" t="str">
        <x:v>Debt consolidation loan</x:v>
      </x:c>
      <x:c r="J563" s="18" t="str">
        <x:v>Referral</x:v>
      </x:c>
      <x:c r="K563" s="20" t="n">
        <x:v>46110.5</x:v>
      </x:c>
    </x:row>
    <x:row r="564" ht="15" hidden="0" customHeight="1">
      <x:c r="A564" s="18" t="str">
        <x:v>LN000563</x:v>
      </x:c>
      <x:c r="B564" s="18" t="str">
        <x:v>LOS-SYN-0000563</x:v>
      </x:c>
      <x:c r="C564" s="18" t="str">
        <x:v>EMP006</x:v>
      </x:c>
      <x:c r="D564" s="18" t="str">
        <x:v>CY2026Q1</x:v>
      </x:c>
      <x:c r="E564" s="18" t="str">
        <x:v>BR002</x:v>
      </x:c>
      <x:c r="F564" s="20" t="n">
        <x:v>46104.5</x:v>
      </x:c>
      <x:c r="G564" s="18" t="str">
        <x:v>Funded</x:v>
      </x:c>
      <x:c r="H564" s="23" t="n">
        <x:v>43000</x:v>
      </x:c>
      <x:c r="I564" s="18" t="str">
        <x:v>Personal loan</x:v>
      </x:c>
      <x:c r="J564" s="18" t="str">
        <x:v>Existing customer</x:v>
      </x:c>
      <x:c r="K564" s="20" t="n">
        <x:v>46111.5</x:v>
      </x:c>
    </x:row>
    <x:row r="565" ht="15" hidden="0" customHeight="1">
      <x:c r="A565" s="18" t="str">
        <x:v>LN000564</x:v>
      </x:c>
      <x:c r="B565" s="18" t="str">
        <x:v>LOS-SYN-0000564</x:v>
      </x:c>
      <x:c r="C565" s="18" t="str">
        <x:v>EMP006</x:v>
      </x:c>
      <x:c r="D565" s="18" t="str">
        <x:v>CY2026Q1</x:v>
      </x:c>
      <x:c r="E565" s="18" t="str">
        <x:v>BR002</x:v>
      </x:c>
      <x:c r="F565" s="20" t="n">
        <x:v>46069.5</x:v>
      </x:c>
      <x:c r="G565" s="18" t="str">
        <x:v>Funded</x:v>
      </x:c>
      <x:c r="H565" s="23" t="n">
        <x:v>29000</x:v>
      </x:c>
      <x:c r="I565" s="18" t="str">
        <x:v>Personal loan</x:v>
      </x:c>
      <x:c r="J565" s="18" t="str">
        <x:v>Existing customer</x:v>
      </x:c>
      <x:c r="K565" s="20" t="n">
        <x:v>46074.5</x:v>
      </x:c>
    </x:row>
    <x:row r="566" ht="15" hidden="0" customHeight="1">
      <x:c r="A566" s="18" t="str">
        <x:v>LN000565</x:v>
      </x:c>
      <x:c r="B566" s="18" t="str">
        <x:v>LOS-SYN-0000565</x:v>
      </x:c>
      <x:c r="C566" s="18" t="str">
        <x:v>EMP006</x:v>
      </x:c>
      <x:c r="D566" s="18" t="str">
        <x:v>CY2026Q1</x:v>
      </x:c>
      <x:c r="E566" s="18" t="str">
        <x:v>BR002</x:v>
      </x:c>
      <x:c r="F566" s="20" t="n">
        <x:v>46076.5</x:v>
      </x:c>
      <x:c r="G566" s="18" t="str">
        <x:v>Funded</x:v>
      </x:c>
      <x:c r="H566" s="23" t="n">
        <x:v>40500</x:v>
      </x:c>
      <x:c r="I566" s="18" t="str">
        <x:v>Personal loan</x:v>
      </x:c>
      <x:c r="J566" s="18" t="str">
        <x:v>New customer</x:v>
      </x:c>
      <x:c r="K566" s="20" t="n">
        <x:v>46084.5</x:v>
      </x:c>
    </x:row>
    <x:row r="567" ht="15" hidden="0" customHeight="1">
      <x:c r="A567" s="18" t="str">
        <x:v>LN000566</x:v>
      </x:c>
      <x:c r="B567" s="18" t="str">
        <x:v>LOS-SYN-0000566</x:v>
      </x:c>
      <x:c r="C567" s="18" t="str">
        <x:v>EMP006</x:v>
      </x:c>
      <x:c r="D567" s="18" t="str">
        <x:v>CY2026Q1</x:v>
      </x:c>
      <x:c r="E567" s="18" t="str">
        <x:v>BR002</x:v>
      </x:c>
      <x:c r="F567" s="20" t="n">
        <x:v>46030.5</x:v>
      </x:c>
      <x:c r="G567" s="18" t="str">
        <x:v>Cancelled</x:v>
      </x:c>
      <x:c r="H567" s="23" t="n">
        <x:v>49000</x:v>
      </x:c>
      <x:c r="I567" s="18" t="str">
        <x:v>Personal loan</x:v>
      </x:c>
      <x:c r="J567" s="18" t="str">
        <x:v>New customer</x:v>
      </x:c>
      <x:c r="K567" s="20"/>
    </x:row>
    <x:row r="568" ht="15" hidden="0" customHeight="1">
      <x:c r="A568" s="18" t="str">
        <x:v>LN000567</x:v>
      </x:c>
      <x:c r="B568" s="18" t="str">
        <x:v>LOS-SYN-0000567</x:v>
      </x:c>
      <x:c r="C568" s="18" t="str">
        <x:v>EMP007</x:v>
      </x:c>
      <x:c r="D568" s="18" t="str">
        <x:v>CY2026Q1</x:v>
      </x:c>
      <x:c r="E568" s="18" t="str">
        <x:v>BR003</x:v>
      </x:c>
      <x:c r="F568" s="20" t="n">
        <x:v>46062.5</x:v>
      </x:c>
      <x:c r="G568" s="18" t="str">
        <x:v>Funded</x:v>
      </x:c>
      <x:c r="H568" s="23" t="n">
        <x:v>48000</x:v>
      </x:c>
      <x:c r="I568" s="18" t="str">
        <x:v>Home improvement loan</x:v>
      </x:c>
      <x:c r="J568" s="18" t="str">
        <x:v>New customer</x:v>
      </x:c>
      <x:c r="K568" s="20" t="n">
        <x:v>46069.5</x:v>
      </x:c>
    </x:row>
    <x:row r="569" ht="15" hidden="0" customHeight="1">
      <x:c r="A569" s="18" t="str">
        <x:v>LN000568</x:v>
      </x:c>
      <x:c r="B569" s="18" t="str">
        <x:v>LOS-SYN-0000568</x:v>
      </x:c>
      <x:c r="C569" s="18" t="str">
        <x:v>EMP007</x:v>
      </x:c>
      <x:c r="D569" s="18" t="str">
        <x:v>CY2026Q1</x:v>
      </x:c>
      <x:c r="E569" s="18" t="str">
        <x:v>BR003</x:v>
      </x:c>
      <x:c r="F569" s="20" t="n">
        <x:v>46096.5</x:v>
      </x:c>
      <x:c r="G569" s="18" t="str">
        <x:v>Funded</x:v>
      </x:c>
      <x:c r="H569" s="23" t="n">
        <x:v>49500</x:v>
      </x:c>
      <x:c r="I569" s="18" t="str">
        <x:v>Home improvement loan</x:v>
      </x:c>
      <x:c r="J569" s="18" t="str">
        <x:v>Existing customer</x:v>
      </x:c>
      <x:c r="K569" s="20" t="n">
        <x:v>46102.5</x:v>
      </x:c>
    </x:row>
    <x:row r="570" ht="15" hidden="0" customHeight="1">
      <x:c r="A570" s="18" t="str">
        <x:v>LN000569</x:v>
      </x:c>
      <x:c r="B570" s="18" t="str">
        <x:v>LOS-SYN-0000569</x:v>
      </x:c>
      <x:c r="C570" s="18" t="str">
        <x:v>EMP007</x:v>
      </x:c>
      <x:c r="D570" s="18" t="str">
        <x:v>CY2026Q1</x:v>
      </x:c>
      <x:c r="E570" s="18" t="str">
        <x:v>BR003</x:v>
      </x:c>
      <x:c r="F570" s="20" t="n">
        <x:v>46085.5</x:v>
      </x:c>
      <x:c r="G570" s="18" t="str">
        <x:v>Funded</x:v>
      </x:c>
      <x:c r="H570" s="23" t="n">
        <x:v>40500</x:v>
      </x:c>
      <x:c r="I570" s="18" t="str">
        <x:v>Auto loan</x:v>
      </x:c>
      <x:c r="J570" s="18" t="str">
        <x:v>Referral</x:v>
      </x:c>
      <x:c r="K570" s="20" t="n">
        <x:v>46090.5</x:v>
      </x:c>
    </x:row>
    <x:row r="571" ht="15" hidden="0" customHeight="1">
      <x:c r="A571" s="18" t="str">
        <x:v>LN000570</x:v>
      </x:c>
      <x:c r="B571" s="18" t="str">
        <x:v>LOS-SYN-0000570</x:v>
      </x:c>
      <x:c r="C571" s="18" t="str">
        <x:v>EMP007</x:v>
      </x:c>
      <x:c r="D571" s="18" t="str">
        <x:v>CY2026Q1</x:v>
      </x:c>
      <x:c r="E571" s="18" t="str">
        <x:v>BR003</x:v>
      </x:c>
      <x:c r="F571" s="20" t="n">
        <x:v>46099.5</x:v>
      </x:c>
      <x:c r="G571" s="18" t="str">
        <x:v>Funded</x:v>
      </x:c>
      <x:c r="H571" s="23" t="n">
        <x:v>34000</x:v>
      </x:c>
      <x:c r="I571" s="18" t="str">
        <x:v>Home improvement loan</x:v>
      </x:c>
      <x:c r="J571" s="18" t="str">
        <x:v>Referral</x:v>
      </x:c>
      <x:c r="K571" s="20" t="n">
        <x:v>46103.5</x:v>
      </x:c>
    </x:row>
    <x:row r="572" ht="15" hidden="0" customHeight="1">
      <x:c r="A572" s="18" t="str">
        <x:v>LN000571</x:v>
      </x:c>
      <x:c r="B572" s="18" t="str">
        <x:v>LOS-SYN-0000571</x:v>
      </x:c>
      <x:c r="C572" s="18" t="str">
        <x:v>EMP007</x:v>
      </x:c>
      <x:c r="D572" s="18" t="str">
        <x:v>CY2026Q1</x:v>
      </x:c>
      <x:c r="E572" s="18" t="str">
        <x:v>BR003</x:v>
      </x:c>
      <x:c r="F572" s="20" t="n">
        <x:v>46100.5</x:v>
      </x:c>
      <x:c r="G572" s="18" t="str">
        <x:v>Funded</x:v>
      </x:c>
      <x:c r="H572" s="23" t="n">
        <x:v>43000</x:v>
      </x:c>
      <x:c r="I572" s="18" t="str">
        <x:v>Auto loan</x:v>
      </x:c>
      <x:c r="J572" s="18" t="str">
        <x:v>New customer</x:v>
      </x:c>
      <x:c r="K572" s="20" t="n">
        <x:v>46108.5</x:v>
      </x:c>
    </x:row>
    <x:row r="573" ht="15" hidden="0" customHeight="1">
      <x:c r="A573" s="18" t="str">
        <x:v>LN000572</x:v>
      </x:c>
      <x:c r="B573" s="18" t="str">
        <x:v>LOS-SYN-0000572</x:v>
      </x:c>
      <x:c r="C573" s="18" t="str">
        <x:v>EMP007</x:v>
      </x:c>
      <x:c r="D573" s="18" t="str">
        <x:v>CY2026Q1</x:v>
      </x:c>
      <x:c r="E573" s="18" t="str">
        <x:v>BR003</x:v>
      </x:c>
      <x:c r="F573" s="20" t="n">
        <x:v>46060.5</x:v>
      </x:c>
      <x:c r="G573" s="18" t="str">
        <x:v>Funded</x:v>
      </x:c>
      <x:c r="H573" s="23" t="n">
        <x:v>47000</x:v>
      </x:c>
      <x:c r="I573" s="18" t="str">
        <x:v>Home improvement loan</x:v>
      </x:c>
      <x:c r="J573" s="18" t="str">
        <x:v>Existing customer</x:v>
      </x:c>
      <x:c r="K573" s="20" t="n">
        <x:v>46072.5</x:v>
      </x:c>
    </x:row>
    <x:row r="574" ht="15" hidden="0" customHeight="1">
      <x:c r="A574" s="18" t="str">
        <x:v>LN000573</x:v>
      </x:c>
      <x:c r="B574" s="18" t="str">
        <x:v>LOS-SYN-0000573</x:v>
      </x:c>
      <x:c r="C574" s="18" t="str">
        <x:v>EMP008</x:v>
      </x:c>
      <x:c r="D574" s="18" t="str">
        <x:v>CY2026Q1</x:v>
      </x:c>
      <x:c r="E574" s="18" t="str">
        <x:v>BR003</x:v>
      </x:c>
      <x:c r="F574" s="20" t="n">
        <x:v>46035.5</x:v>
      </x:c>
      <x:c r="G574" s="18" t="str">
        <x:v>Funded</x:v>
      </x:c>
      <x:c r="H574" s="23" t="n">
        <x:v>40500</x:v>
      </x:c>
      <x:c r="I574" s="18" t="str">
        <x:v>Auto loan</x:v>
      </x:c>
      <x:c r="J574" s="18" t="str">
        <x:v>Referral</x:v>
      </x:c>
      <x:c r="K574" s="20" t="n">
        <x:v>46042.5</x:v>
      </x:c>
    </x:row>
    <x:row r="575" ht="15" hidden="0" customHeight="1">
      <x:c r="A575" s="18" t="str">
        <x:v>LN000574</x:v>
      </x:c>
      <x:c r="B575" s="18" t="str">
        <x:v>LOS-SYN-0000574</x:v>
      </x:c>
      <x:c r="C575" s="18" t="str">
        <x:v>EMP008</x:v>
      </x:c>
      <x:c r="D575" s="18" t="str">
        <x:v>CY2026Q1</x:v>
      </x:c>
      <x:c r="E575" s="18" t="str">
        <x:v>BR003</x:v>
      </x:c>
      <x:c r="F575" s="20" t="n">
        <x:v>46040.5</x:v>
      </x:c>
      <x:c r="G575" s="18" t="str">
        <x:v>Funded</x:v>
      </x:c>
      <x:c r="H575" s="23" t="n">
        <x:v>47000</x:v>
      </x:c>
      <x:c r="I575" s="18" t="str">
        <x:v>Debt consolidation loan</x:v>
      </x:c>
      <x:c r="J575" s="18" t="str">
        <x:v>Existing customer</x:v>
      </x:c>
      <x:c r="K575" s="20" t="n">
        <x:v>46046.5</x:v>
      </x:c>
    </x:row>
    <x:row r="576" ht="15" hidden="0" customHeight="1">
      <x:c r="A576" s="18" t="str">
        <x:v>LN000575</x:v>
      </x:c>
      <x:c r="B576" s="18" t="str">
        <x:v>LOS-SYN-0000575</x:v>
      </x:c>
      <x:c r="C576" s="18" t="str">
        <x:v>EMP008</x:v>
      </x:c>
      <x:c r="D576" s="18" t="str">
        <x:v>CY2026Q1</x:v>
      </x:c>
      <x:c r="E576" s="18" t="str">
        <x:v>BR003</x:v>
      </x:c>
      <x:c r="F576" s="20" t="n">
        <x:v>46090.5</x:v>
      </x:c>
      <x:c r="G576" s="18" t="str">
        <x:v>Funded</x:v>
      </x:c>
      <x:c r="H576" s="23" t="n">
        <x:v>38000</x:v>
      </x:c>
      <x:c r="I576" s="18" t="str">
        <x:v>Debt consolidation loan</x:v>
      </x:c>
      <x:c r="J576" s="18" t="str">
        <x:v>Referral</x:v>
      </x:c>
      <x:c r="K576" s="20" t="n">
        <x:v>46098.5</x:v>
      </x:c>
    </x:row>
    <x:row r="577" ht="15" hidden="0" customHeight="1">
      <x:c r="A577" s="18" t="str">
        <x:v>LN000576</x:v>
      </x:c>
      <x:c r="B577" s="18" t="str">
        <x:v>LOS-SYN-0000576</x:v>
      </x:c>
      <x:c r="C577" s="18" t="str">
        <x:v>EMP008</x:v>
      </x:c>
      <x:c r="D577" s="18" t="str">
        <x:v>CY2026Q1</x:v>
      </x:c>
      <x:c r="E577" s="18" t="str">
        <x:v>BR003</x:v>
      </x:c>
      <x:c r="F577" s="20" t="n">
        <x:v>46062.5</x:v>
      </x:c>
      <x:c r="G577" s="18" t="str">
        <x:v>Funded</x:v>
      </x:c>
      <x:c r="H577" s="23" t="n">
        <x:v>46500</x:v>
      </x:c>
      <x:c r="I577" s="18" t="str">
        <x:v>Debt consolidation loan</x:v>
      </x:c>
      <x:c r="J577" s="18" t="str">
        <x:v>Existing customer</x:v>
      </x:c>
      <x:c r="K577" s="20" t="n">
        <x:v>46068.5</x:v>
      </x:c>
    </x:row>
    <x:row r="578" ht="15" hidden="0" customHeight="1">
      <x:c r="A578" s="18" t="str">
        <x:v>LN000577</x:v>
      </x:c>
      <x:c r="B578" s="18" t="str">
        <x:v>LOS-SYN-0000577</x:v>
      </x:c>
      <x:c r="C578" s="18" t="str">
        <x:v>EMP008</x:v>
      </x:c>
      <x:c r="D578" s="18" t="str">
        <x:v>CY2026Q1</x:v>
      </x:c>
      <x:c r="E578" s="18" t="str">
        <x:v>BR003</x:v>
      </x:c>
      <x:c r="F578" s="20" t="n">
        <x:v>46095.5</x:v>
      </x:c>
      <x:c r="G578" s="18" t="str">
        <x:v>Funded</x:v>
      </x:c>
      <x:c r="H578" s="23" t="n">
        <x:v>56000</x:v>
      </x:c>
      <x:c r="I578" s="18" t="str">
        <x:v>Home improvement loan</x:v>
      </x:c>
      <x:c r="J578" s="18" t="str">
        <x:v>New customer</x:v>
      </x:c>
      <x:c r="K578" s="20" t="n">
        <x:v>46101.5</x:v>
      </x:c>
    </x:row>
    <x:row r="579" ht="15" hidden="0" customHeight="1">
      <x:c r="A579" s="18" t="str">
        <x:v>LN000578</x:v>
      </x:c>
      <x:c r="B579" s="18" t="str">
        <x:v>LOS-SYN-0000578</x:v>
      </x:c>
      <x:c r="C579" s="18" t="str">
        <x:v>EMP009</x:v>
      </x:c>
      <x:c r="D579" s="18" t="str">
        <x:v>CY2026Q1</x:v>
      </x:c>
      <x:c r="E579" s="18" t="str">
        <x:v>BR004</x:v>
      </x:c>
      <x:c r="F579" s="20" t="n">
        <x:v>46094.5</x:v>
      </x:c>
      <x:c r="G579" s="18" t="str">
        <x:v>Funded</x:v>
      </x:c>
      <x:c r="H579" s="23" t="n">
        <x:v>31500</x:v>
      </x:c>
      <x:c r="I579" s="18" t="str">
        <x:v>Auto loan</x:v>
      </x:c>
      <x:c r="J579" s="18" t="str">
        <x:v>Referral</x:v>
      </x:c>
      <x:c r="K579" s="20" t="n">
        <x:v>46098.5</x:v>
      </x:c>
    </x:row>
    <x:row r="580" ht="15" hidden="0" customHeight="1">
      <x:c r="A580" s="18" t="str">
        <x:v>LN000579</x:v>
      </x:c>
      <x:c r="B580" s="18" t="str">
        <x:v>LOS-SYN-0000579</x:v>
      </x:c>
      <x:c r="C580" s="18" t="str">
        <x:v>EMP009</x:v>
      </x:c>
      <x:c r="D580" s="18" t="str">
        <x:v>CY2026Q1</x:v>
      </x:c>
      <x:c r="E580" s="18" t="str">
        <x:v>BR004</x:v>
      </x:c>
      <x:c r="F580" s="20" t="n">
        <x:v>46075.5</x:v>
      </x:c>
      <x:c r="G580" s="18" t="str">
        <x:v>Funded</x:v>
      </x:c>
      <x:c r="H580" s="23" t="n">
        <x:v>48000</x:v>
      </x:c>
      <x:c r="I580" s="18" t="str">
        <x:v>Home improvement loan</x:v>
      </x:c>
      <x:c r="J580" s="18" t="str">
        <x:v>Referral</x:v>
      </x:c>
      <x:c r="K580" s="20" t="n">
        <x:v>46078.5</x:v>
      </x:c>
    </x:row>
    <x:row r="581" ht="15" hidden="0" customHeight="1">
      <x:c r="A581" s="18" t="str">
        <x:v>LN000580</x:v>
      </x:c>
      <x:c r="B581" s="18" t="str">
        <x:v>LOS-SYN-0000580</x:v>
      </x:c>
      <x:c r="C581" s="18" t="str">
        <x:v>EMP009</x:v>
      </x:c>
      <x:c r="D581" s="18" t="str">
        <x:v>CY2026Q1</x:v>
      </x:c>
      <x:c r="E581" s="18" t="str">
        <x:v>BR004</x:v>
      </x:c>
      <x:c r="F581" s="20" t="n">
        <x:v>46048.5</x:v>
      </x:c>
      <x:c r="G581" s="18" t="str">
        <x:v>Funded</x:v>
      </x:c>
      <x:c r="H581" s="23" t="n">
        <x:v>40000</x:v>
      </x:c>
      <x:c r="I581" s="18" t="str">
        <x:v>Home improvement loan</x:v>
      </x:c>
      <x:c r="J581" s="18" t="str">
        <x:v>New customer</x:v>
      </x:c>
      <x:c r="K581" s="20" t="n">
        <x:v>46051.5</x:v>
      </x:c>
    </x:row>
    <x:row r="582" ht="15" hidden="0" customHeight="1">
      <x:c r="A582" s="18" t="str">
        <x:v>LN000581</x:v>
      </x:c>
      <x:c r="B582" s="18" t="str">
        <x:v>LOS-SYN-0000581</x:v>
      </x:c>
      <x:c r="C582" s="18" t="str">
        <x:v>EMP009</x:v>
      </x:c>
      <x:c r="D582" s="18" t="str">
        <x:v>CY2026Q1</x:v>
      </x:c>
      <x:c r="E582" s="18" t="str">
        <x:v>BR004</x:v>
      </x:c>
      <x:c r="F582" s="20" t="n">
        <x:v>46091.5</x:v>
      </x:c>
      <x:c r="G582" s="18" t="str">
        <x:v>Funded</x:v>
      </x:c>
      <x:c r="H582" s="23" t="n">
        <x:v>32000</x:v>
      </x:c>
      <x:c r="I582" s="18" t="str">
        <x:v>Personal loan</x:v>
      </x:c>
      <x:c r="J582" s="18" t="str">
        <x:v>Referral</x:v>
      </x:c>
      <x:c r="K582" s="20" t="n">
        <x:v>46100.5</x:v>
      </x:c>
    </x:row>
    <x:row r="583" ht="15" hidden="0" customHeight="1">
      <x:c r="A583" s="18" t="str">
        <x:v>LN000582</x:v>
      </x:c>
      <x:c r="B583" s="18" t="str">
        <x:v>LOS-SYN-0000582</x:v>
      </x:c>
      <x:c r="C583" s="18" t="str">
        <x:v>EMP009</x:v>
      </x:c>
      <x:c r="D583" s="18" t="str">
        <x:v>CY2026Q1</x:v>
      </x:c>
      <x:c r="E583" s="18" t="str">
        <x:v>BR004</x:v>
      </x:c>
      <x:c r="F583" s="20" t="n">
        <x:v>46083.5</x:v>
      </x:c>
      <x:c r="G583" s="18" t="str">
        <x:v>Funded</x:v>
      </x:c>
      <x:c r="H583" s="23" t="n">
        <x:v>38000</x:v>
      </x:c>
      <x:c r="I583" s="18" t="str">
        <x:v>Auto loan</x:v>
      </x:c>
      <x:c r="J583" s="18" t="str">
        <x:v>Referral</x:v>
      </x:c>
      <x:c r="K583" s="20" t="n">
        <x:v>46086.5</x:v>
      </x:c>
    </x:row>
    <x:row r="584" ht="15" hidden="0" customHeight="1">
      <x:c r="A584" s="18" t="str">
        <x:v>LN000583</x:v>
      </x:c>
      <x:c r="B584" s="18" t="str">
        <x:v>LOS-SYN-0000583</x:v>
      </x:c>
      <x:c r="C584" s="18" t="str">
        <x:v>EMP009</x:v>
      </x:c>
      <x:c r="D584" s="18" t="str">
        <x:v>CY2026Q1</x:v>
      </x:c>
      <x:c r="E584" s="18" t="str">
        <x:v>BR004</x:v>
      </x:c>
      <x:c r="F584" s="20" t="n">
        <x:v>46065.5</x:v>
      </x:c>
      <x:c r="G584" s="18" t="str">
        <x:v>Funded</x:v>
      </x:c>
      <x:c r="H584" s="23" t="n">
        <x:v>30000</x:v>
      </x:c>
      <x:c r="I584" s="18" t="str">
        <x:v>Auto loan</x:v>
      </x:c>
      <x:c r="J584" s="18" t="str">
        <x:v>Referral</x:v>
      </x:c>
      <x:c r="K584" s="20" t="n">
        <x:v>46068.5</x:v>
      </x:c>
    </x:row>
    <x:row r="585" ht="15" hidden="0" customHeight="1">
      <x:c r="A585" s="18" t="str">
        <x:v>LN000584</x:v>
      </x:c>
      <x:c r="B585" s="18" t="str">
        <x:v>LOS-SYN-0000584</x:v>
      </x:c>
      <x:c r="C585" s="18" t="str">
        <x:v>EMP009</x:v>
      </x:c>
      <x:c r="D585" s="18" t="str">
        <x:v>CY2026Q1</x:v>
      </x:c>
      <x:c r="E585" s="18" t="str">
        <x:v>BR004</x:v>
      </x:c>
      <x:c r="F585" s="20" t="n">
        <x:v>46096.5</x:v>
      </x:c>
      <x:c r="G585" s="18" t="str">
        <x:v>Funded</x:v>
      </x:c>
      <x:c r="H585" s="23" t="n">
        <x:v>39000</x:v>
      </x:c>
      <x:c r="I585" s="18" t="str">
        <x:v>Personal loan</x:v>
      </x:c>
      <x:c r="J585" s="18" t="str">
        <x:v>Referral</x:v>
      </x:c>
      <x:c r="K585" s="20" t="n">
        <x:v>46101.5</x:v>
      </x:c>
    </x:row>
    <x:row r="586" ht="15" hidden="0" customHeight="1">
      <x:c r="A586" s="18" t="str">
        <x:v>LN000585</x:v>
      </x:c>
      <x:c r="B586" s="18" t="str">
        <x:v>LOS-SYN-0000585</x:v>
      </x:c>
      <x:c r="C586" s="18" t="str">
        <x:v>EMP009</x:v>
      </x:c>
      <x:c r="D586" s="18" t="str">
        <x:v>CY2026Q1</x:v>
      </x:c>
      <x:c r="E586" s="18" t="str">
        <x:v>BR004</x:v>
      </x:c>
      <x:c r="F586" s="20" t="n">
        <x:v>46053.5</x:v>
      </x:c>
      <x:c r="G586" s="18" t="str">
        <x:v>Funded</x:v>
      </x:c>
      <x:c r="H586" s="23" t="n">
        <x:v>46000</x:v>
      </x:c>
      <x:c r="I586" s="18" t="str">
        <x:v>Personal loan</x:v>
      </x:c>
      <x:c r="J586" s="18" t="str">
        <x:v>Existing customer</x:v>
      </x:c>
      <x:c r="K586" s="20" t="n">
        <x:v>46059.5</x:v>
      </x:c>
    </x:row>
    <x:row r="587" ht="15" hidden="0" customHeight="1">
      <x:c r="A587" s="18" t="str">
        <x:v>LN000586</x:v>
      </x:c>
      <x:c r="B587" s="18" t="str">
        <x:v>LOS-SYN-0000586</x:v>
      </x:c>
      <x:c r="C587" s="18" t="str">
        <x:v>EMP009</x:v>
      </x:c>
      <x:c r="D587" s="18" t="str">
        <x:v>CY2026Q1</x:v>
      </x:c>
      <x:c r="E587" s="18" t="str">
        <x:v>BR004</x:v>
      </x:c>
      <x:c r="F587" s="20" t="n">
        <x:v>46023.5</x:v>
      </x:c>
      <x:c r="G587" s="18" t="str">
        <x:v>Funded</x:v>
      </x:c>
      <x:c r="H587" s="23" t="n">
        <x:v>39000</x:v>
      </x:c>
      <x:c r="I587" s="18" t="str">
        <x:v>Home improvement loan</x:v>
      </x:c>
      <x:c r="J587" s="18" t="str">
        <x:v>New customer</x:v>
      </x:c>
      <x:c r="K587" s="20" t="n">
        <x:v>46033.5</x:v>
      </x:c>
    </x:row>
    <x:row r="588" ht="15" hidden="0" customHeight="1">
      <x:c r="A588" s="18" t="str">
        <x:v>LN000587</x:v>
      </x:c>
      <x:c r="B588" s="18" t="str">
        <x:v>LOS-SYN-0000587</x:v>
      </x:c>
      <x:c r="C588" s="18" t="str">
        <x:v>EMP009</x:v>
      </x:c>
      <x:c r="D588" s="18" t="str">
        <x:v>CY2026Q1</x:v>
      </x:c>
      <x:c r="E588" s="18" t="str">
        <x:v>BR004</x:v>
      </x:c>
      <x:c r="F588" s="20" t="n">
        <x:v>46033.5</x:v>
      </x:c>
      <x:c r="G588" s="18" t="str">
        <x:v>Funded</x:v>
      </x:c>
      <x:c r="H588" s="23" t="n">
        <x:v>37000</x:v>
      </x:c>
      <x:c r="I588" s="18" t="str">
        <x:v>Personal loan</x:v>
      </x:c>
      <x:c r="J588" s="18" t="str">
        <x:v>New customer</x:v>
      </x:c>
      <x:c r="K588" s="20" t="n">
        <x:v>46038.5</x:v>
      </x:c>
    </x:row>
    <x:row r="589" ht="15" hidden="0" customHeight="1">
      <x:c r="A589" s="18" t="str">
        <x:v>LN000588</x:v>
      </x:c>
      <x:c r="B589" s="18" t="str">
        <x:v>LOS-SYN-0000588</x:v>
      </x:c>
      <x:c r="C589" s="18" t="str">
        <x:v>EMP009</x:v>
      </x:c>
      <x:c r="D589" s="18" t="str">
        <x:v>CY2026Q1</x:v>
      </x:c>
      <x:c r="E589" s="18" t="str">
        <x:v>BR004</x:v>
      </x:c>
      <x:c r="F589" s="20" t="n">
        <x:v>46065.5</x:v>
      </x:c>
      <x:c r="G589" s="18" t="str">
        <x:v>Funded</x:v>
      </x:c>
      <x:c r="H589" s="23" t="n">
        <x:v>33000</x:v>
      </x:c>
      <x:c r="I589" s="18" t="str">
        <x:v>Home improvement loan</x:v>
      </x:c>
      <x:c r="J589" s="18" t="str">
        <x:v>New customer</x:v>
      </x:c>
      <x:c r="K589" s="20" t="n">
        <x:v>46076.5</x:v>
      </x:c>
    </x:row>
    <x:row r="590" ht="15" hidden="0" customHeight="1">
      <x:c r="A590" s="18" t="str">
        <x:v>LN000589</x:v>
      </x:c>
      <x:c r="B590" s="18" t="str">
        <x:v>LOS-SYN-0000589</x:v>
      </x:c>
      <x:c r="C590" s="18" t="str">
        <x:v>EMP009</x:v>
      </x:c>
      <x:c r="D590" s="18" t="str">
        <x:v>CY2026Q1</x:v>
      </x:c>
      <x:c r="E590" s="18" t="str">
        <x:v>BR004</x:v>
      </x:c>
      <x:c r="F590" s="20" t="n">
        <x:v>46073.5</x:v>
      </x:c>
      <x:c r="G590" s="18" t="str">
        <x:v>Funded</x:v>
      </x:c>
      <x:c r="H590" s="23" t="n">
        <x:v>40000</x:v>
      </x:c>
      <x:c r="I590" s="18" t="str">
        <x:v>Personal loan</x:v>
      </x:c>
      <x:c r="J590" s="18" t="str">
        <x:v>Referral</x:v>
      </x:c>
      <x:c r="K590" s="20" t="n">
        <x:v>46080.5</x:v>
      </x:c>
    </x:row>
    <x:row r="591" ht="15" hidden="0" customHeight="1">
      <x:c r="A591" s="18" t="str">
        <x:v>LN000590</x:v>
      </x:c>
      <x:c r="B591" s="18" t="str">
        <x:v>LOS-SYN-0000590</x:v>
      </x:c>
      <x:c r="C591" s="18" t="str">
        <x:v>EMP009</x:v>
      </x:c>
      <x:c r="D591" s="18" t="str">
        <x:v>CY2026Q1</x:v>
      </x:c>
      <x:c r="E591" s="18" t="str">
        <x:v>BR004</x:v>
      </x:c>
      <x:c r="F591" s="20" t="n">
        <x:v>46079.5</x:v>
      </x:c>
      <x:c r="G591" s="18" t="str">
        <x:v>Funded</x:v>
      </x:c>
      <x:c r="H591" s="23" t="n">
        <x:v>33000</x:v>
      </x:c>
      <x:c r="I591" s="18" t="str">
        <x:v>Home improvement loan</x:v>
      </x:c>
      <x:c r="J591" s="18" t="str">
        <x:v>Existing customer</x:v>
      </x:c>
      <x:c r="K591" s="20" t="n">
        <x:v>46082.5</x:v>
      </x:c>
    </x:row>
    <x:row r="592" ht="15" hidden="0" customHeight="1">
      <x:c r="A592" s="18" t="str">
        <x:v>LN000591</x:v>
      </x:c>
      <x:c r="B592" s="18" t="str">
        <x:v>LOS-SYN-0000591</x:v>
      </x:c>
      <x:c r="C592" s="18" t="str">
        <x:v>EMP009</x:v>
      </x:c>
      <x:c r="D592" s="18" t="str">
        <x:v>CY2026Q1</x:v>
      </x:c>
      <x:c r="E592" s="18" t="str">
        <x:v>BR004</x:v>
      </x:c>
      <x:c r="F592" s="20" t="n">
        <x:v>46085.5</x:v>
      </x:c>
      <x:c r="G592" s="18" t="str">
        <x:v>Funded</x:v>
      </x:c>
      <x:c r="H592" s="23" t="n">
        <x:v>54500</x:v>
      </x:c>
      <x:c r="I592" s="18" t="str">
        <x:v>Personal loan</x:v>
      </x:c>
      <x:c r="J592" s="18" t="str">
        <x:v>New customer</x:v>
      </x:c>
      <x:c r="K592" s="20" t="n">
        <x:v>46096.5</x:v>
      </x:c>
    </x:row>
    <x:row r="593" ht="15" hidden="0" customHeight="1">
      <x:c r="A593" s="18" t="str">
        <x:v>LN000592</x:v>
      </x:c>
      <x:c r="B593" s="18" t="str">
        <x:v>LOS-SYN-0000592</x:v>
      </x:c>
      <x:c r="C593" s="18" t="str">
        <x:v>EMP009</x:v>
      </x:c>
      <x:c r="D593" s="18" t="str">
        <x:v>CY2026Q1</x:v>
      </x:c>
      <x:c r="E593" s="18" t="str">
        <x:v>BR004</x:v>
      </x:c>
      <x:c r="F593" s="20" t="n">
        <x:v>46096.5</x:v>
      </x:c>
      <x:c r="G593" s="18" t="str">
        <x:v>Funded</x:v>
      </x:c>
      <x:c r="H593" s="23" t="n">
        <x:v>44000</x:v>
      </x:c>
      <x:c r="I593" s="18" t="str">
        <x:v>Debt consolidation loan</x:v>
      </x:c>
      <x:c r="J593" s="18" t="str">
        <x:v>Existing customer</x:v>
      </x:c>
      <x:c r="K593" s="20" t="n">
        <x:v>46104.5</x:v>
      </x:c>
    </x:row>
    <x:row r="594" ht="15" hidden="0" customHeight="1">
      <x:c r="A594" s="18" t="str">
        <x:v>LN000593</x:v>
      </x:c>
      <x:c r="B594" s="18" t="str">
        <x:v>LOS-SYN-0000593</x:v>
      </x:c>
      <x:c r="C594" s="18" t="str">
        <x:v>EMP009</x:v>
      </x:c>
      <x:c r="D594" s="18" t="str">
        <x:v>CY2026Q1</x:v>
      </x:c>
      <x:c r="E594" s="18" t="str">
        <x:v>BR004</x:v>
      </x:c>
      <x:c r="F594" s="20" t="n">
        <x:v>46091.5</x:v>
      </x:c>
      <x:c r="G594" s="18" t="str">
        <x:v>Cancelled</x:v>
      </x:c>
      <x:c r="H594" s="23" t="n">
        <x:v>44000</x:v>
      </x:c>
      <x:c r="I594" s="18" t="str">
        <x:v>Personal loan</x:v>
      </x:c>
      <x:c r="J594" s="18" t="str">
        <x:v>New customer</x:v>
      </x:c>
      <x:c r="K594" s="20"/>
    </x:row>
    <x:row r="595" ht="15" hidden="0" customHeight="1">
      <x:c r="A595" s="18" t="str">
        <x:v>LN000594</x:v>
      </x:c>
      <x:c r="B595" s="18" t="str">
        <x:v>LOS-SYN-0000594</x:v>
      </x:c>
      <x:c r="C595" s="18" t="str">
        <x:v>EMP010</x:v>
      </x:c>
      <x:c r="D595" s="18" t="str">
        <x:v>CY2026Q1</x:v>
      </x:c>
      <x:c r="E595" s="18" t="str">
        <x:v>BR004</x:v>
      </x:c>
      <x:c r="F595" s="20" t="n">
        <x:v>46101.5</x:v>
      </x:c>
      <x:c r="G595" s="18" t="str">
        <x:v>Funded</x:v>
      </x:c>
      <x:c r="H595" s="23" t="n">
        <x:v>42500</x:v>
      </x:c>
      <x:c r="I595" s="18" t="str">
        <x:v>Personal loan</x:v>
      </x:c>
      <x:c r="J595" s="18" t="str">
        <x:v>Referral</x:v>
      </x:c>
      <x:c r="K595" s="20" t="n">
        <x:v>46113.5</x:v>
      </x:c>
    </x:row>
    <x:row r="596" ht="15" hidden="0" customHeight="1">
      <x:c r="A596" s="18" t="str">
        <x:v>LN000595</x:v>
      </x:c>
      <x:c r="B596" s="18" t="str">
        <x:v>LOS-SYN-0000595</x:v>
      </x:c>
      <x:c r="C596" s="18" t="str">
        <x:v>EMP010</x:v>
      </x:c>
      <x:c r="D596" s="18" t="str">
        <x:v>CY2026Q1</x:v>
      </x:c>
      <x:c r="E596" s="18" t="str">
        <x:v>BR004</x:v>
      </x:c>
      <x:c r="F596" s="20" t="n">
        <x:v>46083.5</x:v>
      </x:c>
      <x:c r="G596" s="18" t="str">
        <x:v>Funded</x:v>
      </x:c>
      <x:c r="H596" s="23" t="n">
        <x:v>47000</x:v>
      </x:c>
      <x:c r="I596" s="18" t="str">
        <x:v>Personal loan</x:v>
      </x:c>
      <x:c r="J596" s="18" t="str">
        <x:v>Existing customer</x:v>
      </x:c>
      <x:c r="K596" s="20" t="n">
        <x:v>46088.5</x:v>
      </x:c>
    </x:row>
    <x:row r="597" ht="15" hidden="0" customHeight="1">
      <x:c r="A597" s="18" t="str">
        <x:v>LN000596</x:v>
      </x:c>
      <x:c r="B597" s="18" t="str">
        <x:v>LOS-SYN-0000596</x:v>
      </x:c>
      <x:c r="C597" s="18" t="str">
        <x:v>EMP010</x:v>
      </x:c>
      <x:c r="D597" s="18" t="str">
        <x:v>CY2026Q1</x:v>
      </x:c>
      <x:c r="E597" s="18" t="str">
        <x:v>BR004</x:v>
      </x:c>
      <x:c r="F597" s="20" t="n">
        <x:v>46052.5</x:v>
      </x:c>
      <x:c r="G597" s="18" t="str">
        <x:v>Funded</x:v>
      </x:c>
      <x:c r="H597" s="23" t="n">
        <x:v>53000</x:v>
      </x:c>
      <x:c r="I597" s="18" t="str">
        <x:v>Debt consolidation loan</x:v>
      </x:c>
      <x:c r="J597" s="18" t="str">
        <x:v>New customer</x:v>
      </x:c>
      <x:c r="K597" s="20" t="n">
        <x:v>46061.5</x:v>
      </x:c>
    </x:row>
    <x:row r="598" ht="15" hidden="0" customHeight="1">
      <x:c r="A598" s="18" t="str">
        <x:v>LN000597</x:v>
      </x:c>
      <x:c r="B598" s="18" t="str">
        <x:v>LOS-SYN-0000597</x:v>
      </x:c>
      <x:c r="C598" s="18" t="str">
        <x:v>EMP010</x:v>
      </x:c>
      <x:c r="D598" s="18" t="str">
        <x:v>CY2026Q1</x:v>
      </x:c>
      <x:c r="E598" s="18" t="str">
        <x:v>BR004</x:v>
      </x:c>
      <x:c r="F598" s="20" t="n">
        <x:v>46059.5</x:v>
      </x:c>
      <x:c r="G598" s="18" t="str">
        <x:v>Funded</x:v>
      </x:c>
      <x:c r="H598" s="23" t="n">
        <x:v>60000</x:v>
      </x:c>
      <x:c r="I598" s="18" t="str">
        <x:v>Debt consolidation loan</x:v>
      </x:c>
      <x:c r="J598" s="18" t="str">
        <x:v>New customer</x:v>
      </x:c>
      <x:c r="K598" s="20" t="n">
        <x:v>46068.5</x:v>
      </x:c>
    </x:row>
    <x:row r="599" ht="15" hidden="0" customHeight="1">
      <x:c r="A599" s="18" t="str">
        <x:v>LN000598</x:v>
      </x:c>
      <x:c r="B599" s="18" t="str">
        <x:v>LOS-SYN-0000598</x:v>
      </x:c>
      <x:c r="C599" s="18" t="str">
        <x:v>EMP010</x:v>
      </x:c>
      <x:c r="D599" s="18" t="str">
        <x:v>CY2026Q1</x:v>
      </x:c>
      <x:c r="E599" s="18" t="str">
        <x:v>BR004</x:v>
      </x:c>
      <x:c r="F599" s="20" t="n">
        <x:v>46086.5</x:v>
      </x:c>
      <x:c r="G599" s="18" t="str">
        <x:v>Funded</x:v>
      </x:c>
      <x:c r="H599" s="23" t="n">
        <x:v>42500</x:v>
      </x:c>
      <x:c r="I599" s="18" t="str">
        <x:v>Auto loan</x:v>
      </x:c>
      <x:c r="J599" s="18" t="str">
        <x:v>Referral</x:v>
      </x:c>
      <x:c r="K599" s="20" t="n">
        <x:v>46091.5</x:v>
      </x:c>
    </x:row>
    <x:row r="600" ht="15" hidden="0" customHeight="1">
      <x:c r="A600" s="18" t="str">
        <x:v>LN000599</x:v>
      </x:c>
      <x:c r="B600" s="18" t="str">
        <x:v>LOS-SYN-0000599</x:v>
      </x:c>
      <x:c r="C600" s="18" t="str">
        <x:v>EMP010</x:v>
      </x:c>
      <x:c r="D600" s="18" t="str">
        <x:v>CY2026Q1</x:v>
      </x:c>
      <x:c r="E600" s="18" t="str">
        <x:v>BR004</x:v>
      </x:c>
      <x:c r="F600" s="20" t="n">
        <x:v>46088.5</x:v>
      </x:c>
      <x:c r="G600" s="18" t="str">
        <x:v>Funded</x:v>
      </x:c>
      <x:c r="H600" s="23" t="n">
        <x:v>55000</x:v>
      </x:c>
      <x:c r="I600" s="18" t="str">
        <x:v>Auto loan</x:v>
      </x:c>
      <x:c r="J600" s="18" t="str">
        <x:v>Existing customer</x:v>
      </x:c>
      <x:c r="K600" s="20" t="n">
        <x:v>46094.5</x:v>
      </x:c>
    </x:row>
    <x:row r="601" ht="15" hidden="0" customHeight="1">
      <x:c r="A601" s="18" t="str">
        <x:v>LN000600</x:v>
      </x:c>
      <x:c r="B601" s="18" t="str">
        <x:v>LOS-SYN-0000600</x:v>
      </x:c>
      <x:c r="C601" s="18" t="str">
        <x:v>EMP010</x:v>
      </x:c>
      <x:c r="D601" s="18" t="str">
        <x:v>CY2026Q1</x:v>
      </x:c>
      <x:c r="E601" s="18" t="str">
        <x:v>BR004</x:v>
      </x:c>
      <x:c r="F601" s="20" t="n">
        <x:v>46073.5</x:v>
      </x:c>
      <x:c r="G601" s="18" t="str">
        <x:v>Funded</x:v>
      </x:c>
      <x:c r="H601" s="23" t="n">
        <x:v>45000</x:v>
      </x:c>
      <x:c r="I601" s="18" t="str">
        <x:v>Personal loan</x:v>
      </x:c>
      <x:c r="J601" s="18" t="str">
        <x:v>New customer</x:v>
      </x:c>
      <x:c r="K601" s="20" t="n">
        <x:v>46076.5</x:v>
      </x:c>
    </x:row>
    <x:row r="602" ht="15" hidden="0" customHeight="1">
      <x:c r="A602" s="18" t="str">
        <x:v>LN000601</x:v>
      </x:c>
      <x:c r="B602" s="18" t="str">
        <x:v>LOS-SYN-0000601</x:v>
      </x:c>
      <x:c r="C602" s="18" t="str">
        <x:v>EMP010</x:v>
      </x:c>
      <x:c r="D602" s="18" t="str">
        <x:v>CY2026Q1</x:v>
      </x:c>
      <x:c r="E602" s="18" t="str">
        <x:v>BR004</x:v>
      </x:c>
      <x:c r="F602" s="20" t="n">
        <x:v>46049.5</x:v>
      </x:c>
      <x:c r="G602" s="18" t="str">
        <x:v>Funded</x:v>
      </x:c>
      <x:c r="H602" s="23" t="n">
        <x:v>49000</x:v>
      </x:c>
      <x:c r="I602" s="18" t="str">
        <x:v>Home improvement loan</x:v>
      </x:c>
      <x:c r="J602" s="18" t="str">
        <x:v>Existing customer</x:v>
      </x:c>
      <x:c r="K602" s="20" t="n">
        <x:v>46060.5</x:v>
      </x:c>
    </x:row>
    <x:row r="603" ht="15" hidden="0" customHeight="1">
      <x:c r="A603" s="18" t="str">
        <x:v>LN000602</x:v>
      </x:c>
      <x:c r="B603" s="18" t="str">
        <x:v>LOS-SYN-0000602</x:v>
      </x:c>
      <x:c r="C603" s="18" t="str">
        <x:v>EMP010</x:v>
      </x:c>
      <x:c r="D603" s="18" t="str">
        <x:v>CY2026Q1</x:v>
      </x:c>
      <x:c r="E603" s="18" t="str">
        <x:v>BR004</x:v>
      </x:c>
      <x:c r="F603" s="20" t="n">
        <x:v>46086.5</x:v>
      </x:c>
      <x:c r="G603" s="18" t="str">
        <x:v>Funded</x:v>
      </x:c>
      <x:c r="H603" s="23" t="n">
        <x:v>36000</x:v>
      </x:c>
      <x:c r="I603" s="18" t="str">
        <x:v>Personal loan</x:v>
      </x:c>
      <x:c r="J603" s="18" t="str">
        <x:v>Existing customer</x:v>
      </x:c>
      <x:c r="K603" s="20" t="n">
        <x:v>46089.5</x:v>
      </x:c>
    </x:row>
    <x:row r="604" ht="15" hidden="0" customHeight="1">
      <x:c r="A604" s="18" t="str">
        <x:v>LN000603</x:v>
      </x:c>
      <x:c r="B604" s="18" t="str">
        <x:v>LOS-SYN-0000603</x:v>
      </x:c>
      <x:c r="C604" s="18" t="str">
        <x:v>EMP011</x:v>
      </x:c>
      <x:c r="D604" s="18" t="str">
        <x:v>CY2026Q1</x:v>
      </x:c>
      <x:c r="E604" s="18" t="str">
        <x:v>BR004</x:v>
      </x:c>
      <x:c r="F604" s="20" t="n">
        <x:v>46093.5</x:v>
      </x:c>
      <x:c r="G604" s="18" t="str">
        <x:v>Funded</x:v>
      </x:c>
      <x:c r="H604" s="23" t="n">
        <x:v>42500</x:v>
      </x:c>
      <x:c r="I604" s="18" t="str">
        <x:v>Personal loan</x:v>
      </x:c>
      <x:c r="J604" s="18" t="str">
        <x:v>New customer</x:v>
      </x:c>
      <x:c r="K604" s="20" t="n">
        <x:v>46098.5</x:v>
      </x:c>
    </x:row>
    <x:row r="605" ht="15" hidden="0" customHeight="1">
      <x:c r="A605" s="18" t="str">
        <x:v>LN000604</x:v>
      </x:c>
      <x:c r="B605" s="18" t="str">
        <x:v>LOS-SYN-0000604</x:v>
      </x:c>
      <x:c r="C605" s="18" t="str">
        <x:v>EMP011</x:v>
      </x:c>
      <x:c r="D605" s="18" t="str">
        <x:v>CY2026Q1</x:v>
      </x:c>
      <x:c r="E605" s="18" t="str">
        <x:v>BR004</x:v>
      </x:c>
      <x:c r="F605" s="20" t="n">
        <x:v>46093.5</x:v>
      </x:c>
      <x:c r="G605" s="18" t="str">
        <x:v>Funded</x:v>
      </x:c>
      <x:c r="H605" s="23" t="n">
        <x:v>41000</x:v>
      </x:c>
      <x:c r="I605" s="18" t="str">
        <x:v>Debt consolidation loan</x:v>
      </x:c>
      <x:c r="J605" s="18" t="str">
        <x:v>Existing customer</x:v>
      </x:c>
      <x:c r="K605" s="20" t="n">
        <x:v>46099.5</x:v>
      </x:c>
    </x:row>
    <x:row r="606" ht="15" hidden="0" customHeight="1">
      <x:c r="A606" s="18" t="str">
        <x:v>LN000605</x:v>
      </x:c>
      <x:c r="B606" s="18" t="str">
        <x:v>LOS-SYN-0000605</x:v>
      </x:c>
      <x:c r="C606" s="18" t="str">
        <x:v>EMP011</x:v>
      </x:c>
      <x:c r="D606" s="18" t="str">
        <x:v>CY2026Q1</x:v>
      </x:c>
      <x:c r="E606" s="18" t="str">
        <x:v>BR004</x:v>
      </x:c>
      <x:c r="F606" s="20" t="n">
        <x:v>46034.5</x:v>
      </x:c>
      <x:c r="G606" s="18" t="str">
        <x:v>Funded</x:v>
      </x:c>
      <x:c r="H606" s="23" t="n">
        <x:v>35000</x:v>
      </x:c>
      <x:c r="I606" s="18" t="str">
        <x:v>Debt consolidation loan</x:v>
      </x:c>
      <x:c r="J606" s="18" t="str">
        <x:v>New customer</x:v>
      </x:c>
      <x:c r="K606" s="20" t="n">
        <x:v>46044.5</x:v>
      </x:c>
    </x:row>
    <x:row r="607" ht="15" hidden="0" customHeight="1">
      <x:c r="A607" s="18" t="str">
        <x:v>LN000606</x:v>
      </x:c>
      <x:c r="B607" s="18" t="str">
        <x:v>LOS-SYN-0000606</x:v>
      </x:c>
      <x:c r="C607" s="18" t="str">
        <x:v>EMP011</x:v>
      </x:c>
      <x:c r="D607" s="18" t="str">
        <x:v>CY2026Q1</x:v>
      </x:c>
      <x:c r="E607" s="18" t="str">
        <x:v>BR004</x:v>
      </x:c>
      <x:c r="F607" s="20" t="n">
        <x:v>46028.5</x:v>
      </x:c>
      <x:c r="G607" s="18" t="str">
        <x:v>Funded</x:v>
      </x:c>
      <x:c r="H607" s="23" t="n">
        <x:v>35000</x:v>
      </x:c>
      <x:c r="I607" s="18" t="str">
        <x:v>Auto loan</x:v>
      </x:c>
      <x:c r="J607" s="18" t="str">
        <x:v>Referral</x:v>
      </x:c>
      <x:c r="K607" s="20" t="n">
        <x:v>46032.5</x:v>
      </x:c>
    </x:row>
    <x:row r="608" ht="15" hidden="0" customHeight="1">
      <x:c r="A608" s="18" t="str">
        <x:v>LN000607</x:v>
      </x:c>
      <x:c r="B608" s="18" t="str">
        <x:v>LOS-SYN-0000607</x:v>
      </x:c>
      <x:c r="C608" s="18" t="str">
        <x:v>EMP011</x:v>
      </x:c>
      <x:c r="D608" s="18" t="str">
        <x:v>CY2026Q1</x:v>
      </x:c>
      <x:c r="E608" s="18" t="str">
        <x:v>BR004</x:v>
      </x:c>
      <x:c r="F608" s="20" t="n">
        <x:v>46092.5</x:v>
      </x:c>
      <x:c r="G608" s="18" t="str">
        <x:v>Funded</x:v>
      </x:c>
      <x:c r="H608" s="23" t="n">
        <x:v>29000</x:v>
      </x:c>
      <x:c r="I608" s="18" t="str">
        <x:v>Debt consolidation loan</x:v>
      </x:c>
      <x:c r="J608" s="18" t="str">
        <x:v>New customer</x:v>
      </x:c>
      <x:c r="K608" s="20" t="n">
        <x:v>46095.5</x:v>
      </x:c>
    </x:row>
    <x:row r="609" ht="15" hidden="0" customHeight="1">
      <x:c r="A609" s="18" t="str">
        <x:v>LN000608</x:v>
      </x:c>
      <x:c r="B609" s="18" t="str">
        <x:v>LOS-SYN-0000608</x:v>
      </x:c>
      <x:c r="C609" s="18" t="str">
        <x:v>EMP011</x:v>
      </x:c>
      <x:c r="D609" s="18" t="str">
        <x:v>CY2026Q1</x:v>
      </x:c>
      <x:c r="E609" s="18" t="str">
        <x:v>BR004</x:v>
      </x:c>
      <x:c r="F609" s="20" t="n">
        <x:v>46084.5</x:v>
      </x:c>
      <x:c r="G609" s="18" t="str">
        <x:v>Funded</x:v>
      </x:c>
      <x:c r="H609" s="23" t="n">
        <x:v>35500</x:v>
      </x:c>
      <x:c r="I609" s="18" t="str">
        <x:v>Personal loan</x:v>
      </x:c>
      <x:c r="J609" s="18" t="str">
        <x:v>New customer</x:v>
      </x:c>
      <x:c r="K609" s="20" t="n">
        <x:v>46088.5</x:v>
      </x:c>
    </x:row>
    <x:row r="610" ht="15" hidden="0" customHeight="1">
      <x:c r="A610" s="18" t="str">
        <x:v>LN000609</x:v>
      </x:c>
      <x:c r="B610" s="18" t="str">
        <x:v>LOS-SYN-0000609</x:v>
      </x:c>
      <x:c r="C610" s="18" t="str">
        <x:v>EMP011</x:v>
      </x:c>
      <x:c r="D610" s="18" t="str">
        <x:v>CY2026Q1</x:v>
      </x:c>
      <x:c r="E610" s="18" t="str">
        <x:v>BR004</x:v>
      </x:c>
      <x:c r="F610" s="20" t="n">
        <x:v>46093.5</x:v>
      </x:c>
      <x:c r="G610" s="18" t="str">
        <x:v>Funded</x:v>
      </x:c>
      <x:c r="H610" s="23" t="n">
        <x:v>34500</x:v>
      </x:c>
      <x:c r="I610" s="18" t="str">
        <x:v>Debt consolidation loan</x:v>
      </x:c>
      <x:c r="J610" s="18" t="str">
        <x:v>Existing customer</x:v>
      </x:c>
      <x:c r="K610" s="20" t="n">
        <x:v>46100.5</x:v>
      </x:c>
    </x:row>
    <x:row r="611" ht="15" hidden="0" customHeight="1">
      <x:c r="A611" s="18" t="str">
        <x:v>LN000610</x:v>
      </x:c>
      <x:c r="B611" s="18" t="str">
        <x:v>LOS-SYN-0000610</x:v>
      </x:c>
      <x:c r="C611" s="18" t="str">
        <x:v>EMP011</x:v>
      </x:c>
      <x:c r="D611" s="18" t="str">
        <x:v>CY2026Q1</x:v>
      </x:c>
      <x:c r="E611" s="18" t="str">
        <x:v>BR004</x:v>
      </x:c>
      <x:c r="F611" s="20" t="n">
        <x:v>46093.5</x:v>
      </x:c>
      <x:c r="G611" s="18" t="str">
        <x:v>Funded</x:v>
      </x:c>
      <x:c r="H611" s="23" t="n">
        <x:v>42500</x:v>
      </x:c>
      <x:c r="I611" s="18" t="str">
        <x:v>Auto loan</x:v>
      </x:c>
      <x:c r="J611" s="18" t="str">
        <x:v>New customer</x:v>
      </x:c>
      <x:c r="K611" s="20" t="n">
        <x:v>46102.5</x:v>
      </x:c>
    </x:row>
    <x:row r="612" ht="15" hidden="0" customHeight="1">
      <x:c r="A612" s="18" t="str">
        <x:v>LN000611</x:v>
      </x:c>
      <x:c r="B612" s="18" t="str">
        <x:v>LOS-SYN-0000611</x:v>
      </x:c>
      <x:c r="C612" s="18" t="str">
        <x:v>EMP011</x:v>
      </x:c>
      <x:c r="D612" s="18" t="str">
        <x:v>CY2026Q1</x:v>
      </x:c>
      <x:c r="E612" s="18" t="str">
        <x:v>BR004</x:v>
      </x:c>
      <x:c r="F612" s="20" t="n">
        <x:v>46075.5</x:v>
      </x:c>
      <x:c r="G612" s="18" t="str">
        <x:v>Funded</x:v>
      </x:c>
      <x:c r="H612" s="23" t="n">
        <x:v>39500</x:v>
      </x:c>
      <x:c r="I612" s="18" t="str">
        <x:v>Auto loan</x:v>
      </x:c>
      <x:c r="J612" s="18" t="str">
        <x:v>New customer</x:v>
      </x:c>
      <x:c r="K612" s="20" t="n">
        <x:v>46086.5</x:v>
      </x:c>
    </x:row>
    <x:row r="613" ht="15" hidden="0" customHeight="1">
      <x:c r="A613" s="18" t="str">
        <x:v>LN000612</x:v>
      </x:c>
      <x:c r="B613" s="18" t="str">
        <x:v>LOS-SYN-0000612</x:v>
      </x:c>
      <x:c r="C613" s="18" t="str">
        <x:v>EMP011</x:v>
      </x:c>
      <x:c r="D613" s="18" t="str">
        <x:v>CY2026Q1</x:v>
      </x:c>
      <x:c r="E613" s="18" t="str">
        <x:v>BR004</x:v>
      </x:c>
      <x:c r="F613" s="20" t="n">
        <x:v>46034.5</x:v>
      </x:c>
      <x:c r="G613" s="18" t="str">
        <x:v>Funded</x:v>
      </x:c>
      <x:c r="H613" s="23" t="n">
        <x:v>44000</x:v>
      </x:c>
      <x:c r="I613" s="18" t="str">
        <x:v>Debt consolidation loan</x:v>
      </x:c>
      <x:c r="J613" s="18" t="str">
        <x:v>New customer</x:v>
      </x:c>
      <x:c r="K613" s="20" t="n">
        <x:v>46040.5</x:v>
      </x:c>
    </x:row>
    <x:row r="614" ht="15" hidden="0" customHeight="1">
      <x:c r="A614" s="18" t="str">
        <x:v>LN000613</x:v>
      </x:c>
      <x:c r="B614" s="18" t="str">
        <x:v>LOS-SYN-0000613</x:v>
      </x:c>
      <x:c r="C614" s="18" t="str">
        <x:v>EMP011</x:v>
      </x:c>
      <x:c r="D614" s="18" t="str">
        <x:v>CY2026Q1</x:v>
      </x:c>
      <x:c r="E614" s="18" t="str">
        <x:v>BR004</x:v>
      </x:c>
      <x:c r="F614" s="20" t="n">
        <x:v>46086.5</x:v>
      </x:c>
      <x:c r="G614" s="18" t="str">
        <x:v>Funded</x:v>
      </x:c>
      <x:c r="H614" s="23" t="n">
        <x:v>31500</x:v>
      </x:c>
      <x:c r="I614" s="18" t="str">
        <x:v>Auto loan</x:v>
      </x:c>
      <x:c r="J614" s="18" t="str">
        <x:v>New customer</x:v>
      </x:c>
      <x:c r="K614" s="20" t="n">
        <x:v>46093.5</x:v>
      </x:c>
    </x:row>
    <x:row r="615" ht="15" hidden="0" customHeight="1">
      <x:c r="A615" s="18" t="str">
        <x:v>LN000614</x:v>
      </x:c>
      <x:c r="B615" s="18" t="str">
        <x:v>LOS-SYN-0000614</x:v>
      </x:c>
      <x:c r="C615" s="18" t="str">
        <x:v>EMP012</x:v>
      </x:c>
      <x:c r="D615" s="18" t="str">
        <x:v>CY2026Q1</x:v>
      </x:c>
      <x:c r="E615" s="18" t="str">
        <x:v>BR005</x:v>
      </x:c>
      <x:c r="F615" s="20" t="n">
        <x:v>46065.5</x:v>
      </x:c>
      <x:c r="G615" s="18" t="str">
        <x:v>Funded</x:v>
      </x:c>
      <x:c r="H615" s="23" t="n">
        <x:v>40500</x:v>
      </x:c>
      <x:c r="I615" s="18" t="str">
        <x:v>Auto loan</x:v>
      </x:c>
      <x:c r="J615" s="18" t="str">
        <x:v>Referral</x:v>
      </x:c>
      <x:c r="K615" s="20" t="n">
        <x:v>46069.5</x:v>
      </x:c>
    </x:row>
    <x:row r="616" ht="15" hidden="0" customHeight="1">
      <x:c r="A616" s="18" t="str">
        <x:v>LN000615</x:v>
      </x:c>
      <x:c r="B616" s="18" t="str">
        <x:v>LOS-SYN-0000615</x:v>
      </x:c>
      <x:c r="C616" s="18" t="str">
        <x:v>EMP012</x:v>
      </x:c>
      <x:c r="D616" s="18" t="str">
        <x:v>CY2026Q1</x:v>
      </x:c>
      <x:c r="E616" s="18" t="str">
        <x:v>BR005</x:v>
      </x:c>
      <x:c r="F616" s="20" t="n">
        <x:v>46054.5</x:v>
      </x:c>
      <x:c r="G616" s="18" t="str">
        <x:v>Funded</x:v>
      </x:c>
      <x:c r="H616" s="23" t="n">
        <x:v>48500</x:v>
      </x:c>
      <x:c r="I616" s="18" t="str">
        <x:v>Personal loan</x:v>
      </x:c>
      <x:c r="J616" s="18" t="str">
        <x:v>Existing customer</x:v>
      </x:c>
      <x:c r="K616" s="20" t="n">
        <x:v>46059.5</x:v>
      </x:c>
    </x:row>
    <x:row r="617" ht="15" hidden="0" customHeight="1">
      <x:c r="A617" s="18" t="str">
        <x:v>LN000616</x:v>
      </x:c>
      <x:c r="B617" s="18" t="str">
        <x:v>LOS-SYN-0000616</x:v>
      </x:c>
      <x:c r="C617" s="18" t="str">
        <x:v>EMP012</x:v>
      </x:c>
      <x:c r="D617" s="18" t="str">
        <x:v>CY2026Q1</x:v>
      </x:c>
      <x:c r="E617" s="18" t="str">
        <x:v>BR005</x:v>
      </x:c>
      <x:c r="F617" s="20" t="n">
        <x:v>46058.5</x:v>
      </x:c>
      <x:c r="G617" s="18" t="str">
        <x:v>Funded</x:v>
      </x:c>
      <x:c r="H617" s="23" t="n">
        <x:v>37000</x:v>
      </x:c>
      <x:c r="I617" s="18" t="str">
        <x:v>Personal loan</x:v>
      </x:c>
      <x:c r="J617" s="18" t="str">
        <x:v>Existing customer</x:v>
      </x:c>
      <x:c r="K617" s="20" t="n">
        <x:v>46064.5</x:v>
      </x:c>
    </x:row>
    <x:row r="618" ht="15" hidden="0" customHeight="1">
      <x:c r="A618" s="18" t="str">
        <x:v>LN000617</x:v>
      </x:c>
      <x:c r="B618" s="18" t="str">
        <x:v>LOS-SYN-0000617</x:v>
      </x:c>
      <x:c r="C618" s="18" t="str">
        <x:v>EMP012</x:v>
      </x:c>
      <x:c r="D618" s="18" t="str">
        <x:v>CY2026Q1</x:v>
      </x:c>
      <x:c r="E618" s="18" t="str">
        <x:v>BR005</x:v>
      </x:c>
      <x:c r="F618" s="20" t="n">
        <x:v>46028.5</x:v>
      </x:c>
      <x:c r="G618" s="18" t="str">
        <x:v>Funded</x:v>
      </x:c>
      <x:c r="H618" s="23" t="n">
        <x:v>40000</x:v>
      </x:c>
      <x:c r="I618" s="18" t="str">
        <x:v>Auto loan</x:v>
      </x:c>
      <x:c r="J618" s="18" t="str">
        <x:v>Referral</x:v>
      </x:c>
      <x:c r="K618" s="20" t="n">
        <x:v>46033.5</x:v>
      </x:c>
    </x:row>
    <x:row r="619" ht="15" hidden="0" customHeight="1">
      <x:c r="A619" s="18" t="str">
        <x:v>LN000618</x:v>
      </x:c>
      <x:c r="B619" s="18" t="str">
        <x:v>LOS-SYN-0000618</x:v>
      </x:c>
      <x:c r="C619" s="18" t="str">
        <x:v>EMP012</x:v>
      </x:c>
      <x:c r="D619" s="18" t="str">
        <x:v>CY2026Q1</x:v>
      </x:c>
      <x:c r="E619" s="18" t="str">
        <x:v>BR005</x:v>
      </x:c>
      <x:c r="F619" s="20" t="n">
        <x:v>46029.5</x:v>
      </x:c>
      <x:c r="G619" s="18" t="str">
        <x:v>Funded</x:v>
      </x:c>
      <x:c r="H619" s="23" t="n">
        <x:v>33500</x:v>
      </x:c>
      <x:c r="I619" s="18" t="str">
        <x:v>Auto loan</x:v>
      </x:c>
      <x:c r="J619" s="18" t="str">
        <x:v>New customer</x:v>
      </x:c>
      <x:c r="K619" s="20" t="n">
        <x:v>46034.5</x:v>
      </x:c>
    </x:row>
    <x:row r="620" ht="15" hidden="0" customHeight="1">
      <x:c r="A620" s="18" t="str">
        <x:v>LN000619</x:v>
      </x:c>
      <x:c r="B620" s="18" t="str">
        <x:v>LOS-SYN-0000619</x:v>
      </x:c>
      <x:c r="C620" s="18" t="str">
        <x:v>EMP012</x:v>
      </x:c>
      <x:c r="D620" s="18" t="str">
        <x:v>CY2026Q1</x:v>
      </x:c>
      <x:c r="E620" s="18" t="str">
        <x:v>BR005</x:v>
      </x:c>
      <x:c r="F620" s="20" t="n">
        <x:v>46025.5</x:v>
      </x:c>
      <x:c r="G620" s="18" t="str">
        <x:v>Funded</x:v>
      </x:c>
      <x:c r="H620" s="23" t="n">
        <x:v>41500</x:v>
      </x:c>
      <x:c r="I620" s="18" t="str">
        <x:v>Debt consolidation loan</x:v>
      </x:c>
      <x:c r="J620" s="18" t="str">
        <x:v>Referral</x:v>
      </x:c>
      <x:c r="K620" s="20" t="n">
        <x:v>46030.5</x:v>
      </x:c>
    </x:row>
    <x:row r="621" ht="15" hidden="0" customHeight="1">
      <x:c r="A621" s="18" t="str">
        <x:v>LN000620</x:v>
      </x:c>
      <x:c r="B621" s="18" t="str">
        <x:v>LOS-SYN-0000620</x:v>
      </x:c>
      <x:c r="C621" s="18" t="str">
        <x:v>EMP012</x:v>
      </x:c>
      <x:c r="D621" s="18" t="str">
        <x:v>CY2026Q1</x:v>
      </x:c>
      <x:c r="E621" s="18" t="str">
        <x:v>BR005</x:v>
      </x:c>
      <x:c r="F621" s="20" t="n">
        <x:v>46037.5</x:v>
      </x:c>
      <x:c r="G621" s="18" t="str">
        <x:v>Funded</x:v>
      </x:c>
      <x:c r="H621" s="23" t="n">
        <x:v>57500</x:v>
      </x:c>
      <x:c r="I621" s="18" t="str">
        <x:v>Home improvement loan</x:v>
      </x:c>
      <x:c r="J621" s="18" t="str">
        <x:v>Existing customer</x:v>
      </x:c>
      <x:c r="K621" s="20" t="n">
        <x:v>46040.5</x:v>
      </x:c>
    </x:row>
    <x:row r="622" ht="15" hidden="0" customHeight="1">
      <x:c r="A622" s="18" t="str">
        <x:v>LN000621</x:v>
      </x:c>
      <x:c r="B622" s="18" t="str">
        <x:v>LOS-SYN-0000621</x:v>
      </x:c>
      <x:c r="C622" s="18" t="str">
        <x:v>EMP012</x:v>
      </x:c>
      <x:c r="D622" s="18" t="str">
        <x:v>CY2026Q1</x:v>
      </x:c>
      <x:c r="E622" s="18" t="str">
        <x:v>BR005</x:v>
      </x:c>
      <x:c r="F622" s="20" t="n">
        <x:v>46047.5</x:v>
      </x:c>
      <x:c r="G622" s="18" t="str">
        <x:v>Funded</x:v>
      </x:c>
      <x:c r="H622" s="23" t="n">
        <x:v>36500</x:v>
      </x:c>
      <x:c r="I622" s="18" t="str">
        <x:v>Personal loan</x:v>
      </x:c>
      <x:c r="J622" s="18" t="str">
        <x:v>New customer</x:v>
      </x:c>
      <x:c r="K622" s="20" t="n">
        <x:v>46059.5</x:v>
      </x:c>
    </x:row>
    <x:row r="623" ht="15" hidden="0" customHeight="1">
      <x:c r="A623" s="18" t="str">
        <x:v>LN000622</x:v>
      </x:c>
      <x:c r="B623" s="18" t="str">
        <x:v>LOS-SYN-0000622</x:v>
      </x:c>
      <x:c r="C623" s="18" t="str">
        <x:v>EMP012</x:v>
      </x:c>
      <x:c r="D623" s="18" t="str">
        <x:v>CY2026Q1</x:v>
      </x:c>
      <x:c r="E623" s="18" t="str">
        <x:v>BR005</x:v>
      </x:c>
      <x:c r="F623" s="20" t="n">
        <x:v>46041.5</x:v>
      </x:c>
      <x:c r="G623" s="18" t="str">
        <x:v>Cancelled</x:v>
      </x:c>
      <x:c r="H623" s="23" t="n">
        <x:v>64000</x:v>
      </x:c>
      <x:c r="I623" s="18" t="str">
        <x:v>Personal loan</x:v>
      </x:c>
      <x:c r="J623" s="18" t="str">
        <x:v>New customer</x:v>
      </x:c>
      <x:c r="K623" s="20"/>
    </x:row>
    <x:row r="624" ht="15" hidden="0" customHeight="1">
      <x:c r="A624" s="18" t="str">
        <x:v>LN000623</x:v>
      </x:c>
      <x:c r="B624" s="18" t="str">
        <x:v>LOS-SYN-0000623</x:v>
      </x:c>
      <x:c r="C624" s="18" t="str">
        <x:v>EMP013</x:v>
      </x:c>
      <x:c r="D624" s="18" t="str">
        <x:v>CY2026Q1</x:v>
      </x:c>
      <x:c r="E624" s="18" t="str">
        <x:v>BR005</x:v>
      </x:c>
      <x:c r="F624" s="20" t="n">
        <x:v>46100.5</x:v>
      </x:c>
      <x:c r="G624" s="18" t="str">
        <x:v>Funded</x:v>
      </x:c>
      <x:c r="H624" s="23" t="n">
        <x:v>32500</x:v>
      </x:c>
      <x:c r="I624" s="18" t="str">
        <x:v>Home improvement loan</x:v>
      </x:c>
      <x:c r="J624" s="18" t="str">
        <x:v>Referral</x:v>
      </x:c>
      <x:c r="K624" s="20" t="n">
        <x:v>46109.5</x:v>
      </x:c>
    </x:row>
    <x:row r="625" ht="15" hidden="0" customHeight="1">
      <x:c r="A625" s="18" t="str">
        <x:v>LN000624</x:v>
      </x:c>
      <x:c r="B625" s="18" t="str">
        <x:v>LOS-SYN-0000624</x:v>
      </x:c>
      <x:c r="C625" s="18" t="str">
        <x:v>EMP013</x:v>
      </x:c>
      <x:c r="D625" s="18" t="str">
        <x:v>CY2026Q1</x:v>
      </x:c>
      <x:c r="E625" s="18" t="str">
        <x:v>BR005</x:v>
      </x:c>
      <x:c r="F625" s="20" t="n">
        <x:v>46068.5</x:v>
      </x:c>
      <x:c r="G625" s="18" t="str">
        <x:v>Funded</x:v>
      </x:c>
      <x:c r="H625" s="23" t="n">
        <x:v>42500</x:v>
      </x:c>
      <x:c r="I625" s="18" t="str">
        <x:v>Debt consolidation loan</x:v>
      </x:c>
      <x:c r="J625" s="18" t="str">
        <x:v>Existing customer</x:v>
      </x:c>
      <x:c r="K625" s="20" t="n">
        <x:v>46080.5</x:v>
      </x:c>
    </x:row>
    <x:row r="626" ht="15" hidden="0" customHeight="1">
      <x:c r="A626" s="18" t="str">
        <x:v>LN000625</x:v>
      </x:c>
      <x:c r="B626" s="18" t="str">
        <x:v>LOS-SYN-0000625</x:v>
      </x:c>
      <x:c r="C626" s="18" t="str">
        <x:v>EMP013</x:v>
      </x:c>
      <x:c r="D626" s="18" t="str">
        <x:v>CY2026Q1</x:v>
      </x:c>
      <x:c r="E626" s="18" t="str">
        <x:v>BR005</x:v>
      </x:c>
      <x:c r="F626" s="20" t="n">
        <x:v>46056.5</x:v>
      </x:c>
      <x:c r="G626" s="18" t="str">
        <x:v>Funded</x:v>
      </x:c>
      <x:c r="H626" s="23" t="n">
        <x:v>35000</x:v>
      </x:c>
      <x:c r="I626" s="18" t="str">
        <x:v>Home improvement loan</x:v>
      </x:c>
      <x:c r="J626" s="18" t="str">
        <x:v>New customer</x:v>
      </x:c>
      <x:c r="K626" s="20" t="n">
        <x:v>46067.5</x:v>
      </x:c>
    </x:row>
    <x:row r="627" ht="15" hidden="0" customHeight="1">
      <x:c r="A627" s="18" t="str">
        <x:v>LN000626</x:v>
      </x:c>
      <x:c r="B627" s="18" t="str">
        <x:v>LOS-SYN-0000626</x:v>
      </x:c>
      <x:c r="C627" s="18" t="str">
        <x:v>EMP013</x:v>
      </x:c>
      <x:c r="D627" s="18" t="str">
        <x:v>CY2026Q1</x:v>
      </x:c>
      <x:c r="E627" s="18" t="str">
        <x:v>BR005</x:v>
      </x:c>
      <x:c r="F627" s="20" t="n">
        <x:v>46054.5</x:v>
      </x:c>
      <x:c r="G627" s="18" t="str">
        <x:v>Funded</x:v>
      </x:c>
      <x:c r="H627" s="23" t="n">
        <x:v>41000</x:v>
      </x:c>
      <x:c r="I627" s="18" t="str">
        <x:v>Personal loan</x:v>
      </x:c>
      <x:c r="J627" s="18" t="str">
        <x:v>New customer</x:v>
      </x:c>
      <x:c r="K627" s="20" t="n">
        <x:v>46060.5</x:v>
      </x:c>
    </x:row>
    <x:row r="628" ht="15" hidden="0" customHeight="1">
      <x:c r="A628" s="18" t="str">
        <x:v>LN000627</x:v>
      </x:c>
      <x:c r="B628" s="18" t="str">
        <x:v>LOS-SYN-0000627</x:v>
      </x:c>
      <x:c r="C628" s="18" t="str">
        <x:v>EMP013</x:v>
      </x:c>
      <x:c r="D628" s="18" t="str">
        <x:v>CY2026Q1</x:v>
      </x:c>
      <x:c r="E628" s="18" t="str">
        <x:v>BR005</x:v>
      </x:c>
      <x:c r="F628" s="20" t="n">
        <x:v>46095.5</x:v>
      </x:c>
      <x:c r="G628" s="18" t="str">
        <x:v>Funded</x:v>
      </x:c>
      <x:c r="H628" s="23" t="n">
        <x:v>45000</x:v>
      </x:c>
      <x:c r="I628" s="18" t="str">
        <x:v>Personal loan</x:v>
      </x:c>
      <x:c r="J628" s="18" t="str">
        <x:v>Existing customer</x:v>
      </x:c>
      <x:c r="K628" s="20" t="n">
        <x:v>46107.5</x:v>
      </x:c>
    </x:row>
    <x:row r="629" ht="15" hidden="0" customHeight="1">
      <x:c r="A629" s="18" t="str">
        <x:v>LN000628</x:v>
      </x:c>
      <x:c r="B629" s="18" t="str">
        <x:v>LOS-SYN-0000628</x:v>
      </x:c>
      <x:c r="C629" s="18" t="str">
        <x:v>EMP013</x:v>
      </x:c>
      <x:c r="D629" s="18" t="str">
        <x:v>CY2026Q1</x:v>
      </x:c>
      <x:c r="E629" s="18" t="str">
        <x:v>BR005</x:v>
      </x:c>
      <x:c r="F629" s="20" t="n">
        <x:v>46090.5</x:v>
      </x:c>
      <x:c r="G629" s="18" t="str">
        <x:v>Funded</x:v>
      </x:c>
      <x:c r="H629" s="23" t="n">
        <x:v>43000</x:v>
      </x:c>
      <x:c r="I629" s="18" t="str">
        <x:v>Debt consolidation loan</x:v>
      </x:c>
      <x:c r="J629" s="18" t="str">
        <x:v>New customer</x:v>
      </x:c>
      <x:c r="K629" s="20" t="n">
        <x:v>46097.5</x:v>
      </x:c>
    </x:row>
    <x:row r="630" ht="15" hidden="0" customHeight="1">
      <x:c r="A630" s="18" t="str">
        <x:v>LN000629</x:v>
      </x:c>
      <x:c r="B630" s="18" t="str">
        <x:v>LOS-SYN-0000629</x:v>
      </x:c>
      <x:c r="C630" s="18" t="str">
        <x:v>EMP013</x:v>
      </x:c>
      <x:c r="D630" s="18" t="str">
        <x:v>CY2026Q1</x:v>
      </x:c>
      <x:c r="E630" s="18" t="str">
        <x:v>BR005</x:v>
      </x:c>
      <x:c r="F630" s="20" t="n">
        <x:v>46024.5</x:v>
      </x:c>
      <x:c r="G630" s="18" t="str">
        <x:v>Funded</x:v>
      </x:c>
      <x:c r="H630" s="23" t="n">
        <x:v>45000</x:v>
      </x:c>
      <x:c r="I630" s="18" t="str">
        <x:v>Debt consolidation loan</x:v>
      </x:c>
      <x:c r="J630" s="18" t="str">
        <x:v>New customer</x:v>
      </x:c>
      <x:c r="K630" s="20" t="n">
        <x:v>46029.5</x:v>
      </x:c>
    </x:row>
    <x:row r="631" ht="15" hidden="0" customHeight="1">
      <x:c r="A631" s="18" t="str">
        <x:v>LN000630</x:v>
      </x:c>
      <x:c r="B631" s="18" t="str">
        <x:v>LOS-SYN-0000630</x:v>
      </x:c>
      <x:c r="C631" s="18" t="str">
        <x:v>EMP013</x:v>
      </x:c>
      <x:c r="D631" s="18" t="str">
        <x:v>CY2026Q1</x:v>
      </x:c>
      <x:c r="E631" s="18" t="str">
        <x:v>BR005</x:v>
      </x:c>
      <x:c r="F631" s="20" t="n">
        <x:v>46033.5</x:v>
      </x:c>
      <x:c r="G631" s="18" t="str">
        <x:v>Funded</x:v>
      </x:c>
      <x:c r="H631" s="23" t="n">
        <x:v>37500</x:v>
      </x:c>
      <x:c r="I631" s="18" t="str">
        <x:v>Debt consolidation loan</x:v>
      </x:c>
      <x:c r="J631" s="18" t="str">
        <x:v>New customer</x:v>
      </x:c>
      <x:c r="K631" s="20" t="n">
        <x:v>46040.5</x:v>
      </x:c>
    </x:row>
    <x:row r="632" ht="15" hidden="0" customHeight="1">
      <x:c r="A632" s="18" t="str">
        <x:v>LN000631</x:v>
      </x:c>
      <x:c r="B632" s="18" t="str">
        <x:v>LOS-SYN-0000631</x:v>
      </x:c>
      <x:c r="C632" s="18" t="str">
        <x:v>EMP013</x:v>
      </x:c>
      <x:c r="D632" s="18" t="str">
        <x:v>CY2026Q1</x:v>
      </x:c>
      <x:c r="E632" s="18" t="str">
        <x:v>BR005</x:v>
      </x:c>
      <x:c r="F632" s="20" t="n">
        <x:v>46060.5</x:v>
      </x:c>
      <x:c r="G632" s="18" t="str">
        <x:v>Funded</x:v>
      </x:c>
      <x:c r="H632" s="23" t="n">
        <x:v>35000</x:v>
      </x:c>
      <x:c r="I632" s="18" t="str">
        <x:v>Debt consolidation loan</x:v>
      </x:c>
      <x:c r="J632" s="18" t="str">
        <x:v>Existing customer</x:v>
      </x:c>
      <x:c r="K632" s="20" t="n">
        <x:v>46067.5</x:v>
      </x:c>
    </x:row>
    <x:row r="633" ht="15" hidden="0" customHeight="1">
      <x:c r="A633" s="18" t="str">
        <x:v>LN000632</x:v>
      </x:c>
      <x:c r="B633" s="18" t="str">
        <x:v>LOS-SYN-0000632</x:v>
      </x:c>
      <x:c r="C633" s="18" t="str">
        <x:v>EMP013</x:v>
      </x:c>
      <x:c r="D633" s="18" t="str">
        <x:v>CY2026Q1</x:v>
      </x:c>
      <x:c r="E633" s="18" t="str">
        <x:v>BR005</x:v>
      </x:c>
      <x:c r="F633" s="20" t="n">
        <x:v>46091.5</x:v>
      </x:c>
      <x:c r="G633" s="18" t="str">
        <x:v>Funded</x:v>
      </x:c>
      <x:c r="H633" s="23" t="n">
        <x:v>36000</x:v>
      </x:c>
      <x:c r="I633" s="18" t="str">
        <x:v>Home improvement loan</x:v>
      </x:c>
      <x:c r="J633" s="18" t="str">
        <x:v>Existing customer</x:v>
      </x:c>
      <x:c r="K633" s="20" t="n">
        <x:v>46102.5</x:v>
      </x:c>
    </x:row>
    <x:row r="634" ht="15" hidden="0" customHeight="1">
      <x:c r="A634" s="18" t="str">
        <x:v>LN000633</x:v>
      </x:c>
      <x:c r="B634" s="18" t="str">
        <x:v>LOS-SYN-0000633</x:v>
      </x:c>
      <x:c r="C634" s="18" t="str">
        <x:v>EMP013</x:v>
      </x:c>
      <x:c r="D634" s="18" t="str">
        <x:v>CY2026Q1</x:v>
      </x:c>
      <x:c r="E634" s="18" t="str">
        <x:v>BR005</x:v>
      </x:c>
      <x:c r="F634" s="20" t="n">
        <x:v>46035.5</x:v>
      </x:c>
      <x:c r="G634" s="18" t="str">
        <x:v>Funded</x:v>
      </x:c>
      <x:c r="H634" s="23" t="n">
        <x:v>30000</x:v>
      </x:c>
      <x:c r="I634" s="18" t="str">
        <x:v>Personal loan</x:v>
      </x:c>
      <x:c r="J634" s="18" t="str">
        <x:v>New customer</x:v>
      </x:c>
      <x:c r="K634" s="20" t="n">
        <x:v>46044.5</x:v>
      </x:c>
    </x:row>
    <x:row r="635" ht="15" hidden="0" customHeight="1">
      <x:c r="A635" s="18" t="str">
        <x:v>LN000634</x:v>
      </x:c>
      <x:c r="B635" s="18" t="str">
        <x:v>LOS-SYN-0000634</x:v>
      </x:c>
      <x:c r="C635" s="18" t="str">
        <x:v>EMP013</x:v>
      </x:c>
      <x:c r="D635" s="18" t="str">
        <x:v>CY2026Q1</x:v>
      </x:c>
      <x:c r="E635" s="18" t="str">
        <x:v>BR005</x:v>
      </x:c>
      <x:c r="F635" s="20" t="n">
        <x:v>46080.5</x:v>
      </x:c>
      <x:c r="G635" s="18" t="str">
        <x:v>Funded</x:v>
      </x:c>
      <x:c r="H635" s="23" t="n">
        <x:v>40500</x:v>
      </x:c>
      <x:c r="I635" s="18" t="str">
        <x:v>Auto loan</x:v>
      </x:c>
      <x:c r="J635" s="18" t="str">
        <x:v>Referral</x:v>
      </x:c>
      <x:c r="K635" s="20" t="n">
        <x:v>46085.5</x:v>
      </x:c>
    </x:row>
    <x:row r="636" ht="15" hidden="0" customHeight="1">
      <x:c r="A636" s="18" t="str">
        <x:v>LN000635</x:v>
      </x:c>
      <x:c r="B636" s="18" t="str">
        <x:v>LOS-SYN-0000635</x:v>
      </x:c>
      <x:c r="C636" s="18" t="str">
        <x:v>EMP014</x:v>
      </x:c>
      <x:c r="D636" s="18" t="str">
        <x:v>CY2026Q1</x:v>
      </x:c>
      <x:c r="E636" s="18" t="str">
        <x:v>BR006</x:v>
      </x:c>
      <x:c r="F636" s="20" t="n">
        <x:v>46094.5</x:v>
      </x:c>
      <x:c r="G636" s="18" t="str">
        <x:v>Funded</x:v>
      </x:c>
      <x:c r="H636" s="23" t="n">
        <x:v>51000</x:v>
      </x:c>
      <x:c r="I636" s="18" t="str">
        <x:v>Home improvement loan</x:v>
      </x:c>
      <x:c r="J636" s="18" t="str">
        <x:v>Existing customer</x:v>
      </x:c>
      <x:c r="K636" s="20" t="n">
        <x:v>46105.5</x:v>
      </x:c>
    </x:row>
    <x:row r="637" ht="15" hidden="0" customHeight="1">
      <x:c r="A637" s="18" t="str">
        <x:v>LN000636</x:v>
      </x:c>
      <x:c r="B637" s="18" t="str">
        <x:v>LOS-SYN-0000636</x:v>
      </x:c>
      <x:c r="C637" s="18" t="str">
        <x:v>EMP014</x:v>
      </x:c>
      <x:c r="D637" s="18" t="str">
        <x:v>CY2026Q1</x:v>
      </x:c>
      <x:c r="E637" s="18" t="str">
        <x:v>BR006</x:v>
      </x:c>
      <x:c r="F637" s="20" t="n">
        <x:v>46069.5</x:v>
      </x:c>
      <x:c r="G637" s="18" t="str">
        <x:v>Funded</x:v>
      </x:c>
      <x:c r="H637" s="23" t="n">
        <x:v>41000</x:v>
      </x:c>
      <x:c r="I637" s="18" t="str">
        <x:v>Auto loan</x:v>
      </x:c>
      <x:c r="J637" s="18" t="str">
        <x:v>New customer</x:v>
      </x:c>
      <x:c r="K637" s="20" t="n">
        <x:v>46072.5</x:v>
      </x:c>
    </x:row>
    <x:row r="638" ht="15" hidden="0" customHeight="1">
      <x:c r="A638" s="18" t="str">
        <x:v>LN000637</x:v>
      </x:c>
      <x:c r="B638" s="18" t="str">
        <x:v>LOS-SYN-0000637</x:v>
      </x:c>
      <x:c r="C638" s="18" t="str">
        <x:v>EMP014</x:v>
      </x:c>
      <x:c r="D638" s="18" t="str">
        <x:v>CY2026Q1</x:v>
      </x:c>
      <x:c r="E638" s="18" t="str">
        <x:v>BR006</x:v>
      </x:c>
      <x:c r="F638" s="20" t="n">
        <x:v>46037.5</x:v>
      </x:c>
      <x:c r="G638" s="18" t="str">
        <x:v>Funded</x:v>
      </x:c>
      <x:c r="H638" s="23" t="n">
        <x:v>40000</x:v>
      </x:c>
      <x:c r="I638" s="18" t="str">
        <x:v>Debt consolidation loan</x:v>
      </x:c>
      <x:c r="J638" s="18" t="str">
        <x:v>Existing customer</x:v>
      </x:c>
      <x:c r="K638" s="20" t="n">
        <x:v>46049.5</x:v>
      </x:c>
    </x:row>
    <x:row r="639" ht="15" hidden="0" customHeight="1">
      <x:c r="A639" s="18" t="str">
        <x:v>LN000638</x:v>
      </x:c>
      <x:c r="B639" s="18" t="str">
        <x:v>LOS-SYN-0000638</x:v>
      </x:c>
      <x:c r="C639" s="18" t="str">
        <x:v>EMP014</x:v>
      </x:c>
      <x:c r="D639" s="18" t="str">
        <x:v>CY2026Q1</x:v>
      </x:c>
      <x:c r="E639" s="18" t="str">
        <x:v>BR006</x:v>
      </x:c>
      <x:c r="F639" s="20" t="n">
        <x:v>46073.5</x:v>
      </x:c>
      <x:c r="G639" s="18" t="str">
        <x:v>Funded</x:v>
      </x:c>
      <x:c r="H639" s="23" t="n">
        <x:v>40000</x:v>
      </x:c>
      <x:c r="I639" s="18" t="str">
        <x:v>Personal loan</x:v>
      </x:c>
      <x:c r="J639" s="18" t="str">
        <x:v>Referral</x:v>
      </x:c>
      <x:c r="K639" s="20" t="n">
        <x:v>46084.5</x:v>
      </x:c>
    </x:row>
    <x:row r="640" ht="15" hidden="0" customHeight="1">
      <x:c r="A640" s="18" t="str">
        <x:v>LN000639</x:v>
      </x:c>
      <x:c r="B640" s="18" t="str">
        <x:v>LOS-SYN-0000639</x:v>
      </x:c>
      <x:c r="C640" s="18" t="str">
        <x:v>EMP014</x:v>
      </x:c>
      <x:c r="D640" s="18" t="str">
        <x:v>CY2026Q1</x:v>
      </x:c>
      <x:c r="E640" s="18" t="str">
        <x:v>BR006</x:v>
      </x:c>
      <x:c r="F640" s="20" t="n">
        <x:v>46088.5</x:v>
      </x:c>
      <x:c r="G640" s="18" t="str">
        <x:v>Funded</x:v>
      </x:c>
      <x:c r="H640" s="23" t="n">
        <x:v>40500</x:v>
      </x:c>
      <x:c r="I640" s="18" t="str">
        <x:v>Personal loan</x:v>
      </x:c>
      <x:c r="J640" s="18" t="str">
        <x:v>Referral</x:v>
      </x:c>
      <x:c r="K640" s="20" t="n">
        <x:v>46097.5</x:v>
      </x:c>
    </x:row>
    <x:row r="641" ht="15" hidden="0" customHeight="1">
      <x:c r="A641" s="18" t="str">
        <x:v>LN000640</x:v>
      </x:c>
      <x:c r="B641" s="18" t="str">
        <x:v>LOS-SYN-0000640</x:v>
      </x:c>
      <x:c r="C641" s="18" t="str">
        <x:v>EMP014</x:v>
      </x:c>
      <x:c r="D641" s="18" t="str">
        <x:v>CY2026Q1</x:v>
      </x:c>
      <x:c r="E641" s="18" t="str">
        <x:v>BR006</x:v>
      </x:c>
      <x:c r="F641" s="20" t="n">
        <x:v>46075.5</x:v>
      </x:c>
      <x:c r="G641" s="18" t="str">
        <x:v>Funded</x:v>
      </x:c>
      <x:c r="H641" s="23" t="n">
        <x:v>46000</x:v>
      </x:c>
      <x:c r="I641" s="18" t="str">
        <x:v>Home improvement loan</x:v>
      </x:c>
      <x:c r="J641" s="18" t="str">
        <x:v>Existing customer</x:v>
      </x:c>
      <x:c r="K641" s="20" t="n">
        <x:v>46081.5</x:v>
      </x:c>
    </x:row>
    <x:row r="642" ht="15" hidden="0" customHeight="1">
      <x:c r="A642" s="18" t="str">
        <x:v>LN000641</x:v>
      </x:c>
      <x:c r="B642" s="18" t="str">
        <x:v>LOS-SYN-0000641</x:v>
      </x:c>
      <x:c r="C642" s="18" t="str">
        <x:v>EMP014</x:v>
      </x:c>
      <x:c r="D642" s="18" t="str">
        <x:v>CY2026Q1</x:v>
      </x:c>
      <x:c r="E642" s="18" t="str">
        <x:v>BR006</x:v>
      </x:c>
      <x:c r="F642" s="20" t="n">
        <x:v>46096.5</x:v>
      </x:c>
      <x:c r="G642" s="18" t="str">
        <x:v>Funded</x:v>
      </x:c>
      <x:c r="H642" s="23" t="n">
        <x:v>36000</x:v>
      </x:c>
      <x:c r="I642" s="18" t="str">
        <x:v>Debt consolidation loan</x:v>
      </x:c>
      <x:c r="J642" s="18" t="str">
        <x:v>New customer</x:v>
      </x:c>
      <x:c r="K642" s="20" t="n">
        <x:v>46107.5</x:v>
      </x:c>
    </x:row>
    <x:row r="643" ht="15" hidden="0" customHeight="1">
      <x:c r="A643" s="18" t="str">
        <x:v>LN000642</x:v>
      </x:c>
      <x:c r="B643" s="18" t="str">
        <x:v>LOS-SYN-0000642</x:v>
      </x:c>
      <x:c r="C643" s="18" t="str">
        <x:v>EMP014</x:v>
      </x:c>
      <x:c r="D643" s="18" t="str">
        <x:v>CY2026Q1</x:v>
      </x:c>
      <x:c r="E643" s="18" t="str">
        <x:v>BR006</x:v>
      </x:c>
      <x:c r="F643" s="20" t="n">
        <x:v>46043.5</x:v>
      </x:c>
      <x:c r="G643" s="18" t="str">
        <x:v>Funded</x:v>
      </x:c>
      <x:c r="H643" s="23" t="n">
        <x:v>44000</x:v>
      </x:c>
      <x:c r="I643" s="18" t="str">
        <x:v>Auto loan</x:v>
      </x:c>
      <x:c r="J643" s="18" t="str">
        <x:v>Referral</x:v>
      </x:c>
      <x:c r="K643" s="20" t="n">
        <x:v>46050.5</x:v>
      </x:c>
    </x:row>
    <x:row r="644" ht="15" hidden="0" customHeight="1">
      <x:c r="A644" s="18" t="str">
        <x:v>LN000643</x:v>
      </x:c>
      <x:c r="B644" s="18" t="str">
        <x:v>LOS-SYN-0000643</x:v>
      </x:c>
      <x:c r="C644" s="18" t="str">
        <x:v>EMP014</x:v>
      </x:c>
      <x:c r="D644" s="18" t="str">
        <x:v>CY2026Q1</x:v>
      </x:c>
      <x:c r="E644" s="18" t="str">
        <x:v>BR006</x:v>
      </x:c>
      <x:c r="F644" s="20" t="n">
        <x:v>46094.5</x:v>
      </x:c>
      <x:c r="G644" s="18" t="str">
        <x:v>Funded</x:v>
      </x:c>
      <x:c r="H644" s="23" t="n">
        <x:v>46500</x:v>
      </x:c>
      <x:c r="I644" s="18" t="str">
        <x:v>Auto loan</x:v>
      </x:c>
      <x:c r="J644" s="18" t="str">
        <x:v>New customer</x:v>
      </x:c>
      <x:c r="K644" s="20" t="n">
        <x:v>46106.5</x:v>
      </x:c>
    </x:row>
    <x:row r="645" ht="15" hidden="0" customHeight="1">
      <x:c r="A645" s="18" t="str">
        <x:v>LN000644</x:v>
      </x:c>
      <x:c r="B645" s="18" t="str">
        <x:v>LOS-SYN-0000644</x:v>
      </x:c>
      <x:c r="C645" s="18" t="str">
        <x:v>EMP014</x:v>
      </x:c>
      <x:c r="D645" s="18" t="str">
        <x:v>CY2026Q1</x:v>
      </x:c>
      <x:c r="E645" s="18" t="str">
        <x:v>BR006</x:v>
      </x:c>
      <x:c r="F645" s="20" t="n">
        <x:v>46025.5</x:v>
      </x:c>
      <x:c r="G645" s="18" t="str">
        <x:v>Funded</x:v>
      </x:c>
      <x:c r="H645" s="23" t="n">
        <x:v>39000</x:v>
      </x:c>
      <x:c r="I645" s="18" t="str">
        <x:v>Auto loan</x:v>
      </x:c>
      <x:c r="J645" s="18" t="str">
        <x:v>Existing customer</x:v>
      </x:c>
      <x:c r="K645" s="20" t="n">
        <x:v>46032.5</x:v>
      </x:c>
    </x:row>
    <x:row r="646" ht="15" hidden="0" customHeight="1">
      <x:c r="A646" s="18" t="str">
        <x:v>LN000645</x:v>
      </x:c>
      <x:c r="B646" s="18" t="str">
        <x:v>LOS-SYN-0000645</x:v>
      </x:c>
      <x:c r="C646" s="18" t="str">
        <x:v>EMP014</x:v>
      </x:c>
      <x:c r="D646" s="18" t="str">
        <x:v>CY2026Q1</x:v>
      </x:c>
      <x:c r="E646" s="18" t="str">
        <x:v>BR006</x:v>
      </x:c>
      <x:c r="F646" s="20" t="n">
        <x:v>46064.5</x:v>
      </x:c>
      <x:c r="G646" s="18" t="str">
        <x:v>Funded</x:v>
      </x:c>
      <x:c r="H646" s="23" t="n">
        <x:v>41000</x:v>
      </x:c>
      <x:c r="I646" s="18" t="str">
        <x:v>Home improvement loan</x:v>
      </x:c>
      <x:c r="J646" s="18" t="str">
        <x:v>New customer</x:v>
      </x:c>
      <x:c r="K646" s="20" t="n">
        <x:v>46071.5</x:v>
      </x:c>
    </x:row>
    <x:row r="647" ht="15" hidden="0" customHeight="1">
      <x:c r="A647" s="18" t="str">
        <x:v>LN000646</x:v>
      </x:c>
      <x:c r="B647" s="18" t="str">
        <x:v>LOS-SYN-0000646</x:v>
      </x:c>
      <x:c r="C647" s="18" t="str">
        <x:v>EMP014</x:v>
      </x:c>
      <x:c r="D647" s="18" t="str">
        <x:v>CY2026Q1</x:v>
      </x:c>
      <x:c r="E647" s="18" t="str">
        <x:v>BR006</x:v>
      </x:c>
      <x:c r="F647" s="20" t="n">
        <x:v>46102.5</x:v>
      </x:c>
      <x:c r="G647" s="18" t="str">
        <x:v>Funded</x:v>
      </x:c>
      <x:c r="H647" s="23" t="n">
        <x:v>34000</x:v>
      </x:c>
      <x:c r="I647" s="18" t="str">
        <x:v>Auto loan</x:v>
      </x:c>
      <x:c r="J647" s="18" t="str">
        <x:v>Referral</x:v>
      </x:c>
      <x:c r="K647" s="20" t="n">
        <x:v>46109.5</x:v>
      </x:c>
    </x:row>
    <x:row r="648" ht="15" hidden="0" customHeight="1">
      <x:c r="A648" s="18" t="str">
        <x:v>LN000647</x:v>
      </x:c>
      <x:c r="B648" s="18" t="str">
        <x:v>LOS-SYN-0000647</x:v>
      </x:c>
      <x:c r="C648" s="18" t="str">
        <x:v>EMP015</x:v>
      </x:c>
      <x:c r="D648" s="18" t="str">
        <x:v>CY2026Q1</x:v>
      </x:c>
      <x:c r="E648" s="18" t="str">
        <x:v>BR006</x:v>
      </x:c>
      <x:c r="F648" s="20" t="n">
        <x:v>46067.5</x:v>
      </x:c>
      <x:c r="G648" s="18" t="str">
        <x:v>Funded</x:v>
      </x:c>
      <x:c r="H648" s="23" t="n">
        <x:v>28000</x:v>
      </x:c>
      <x:c r="I648" s="18" t="str">
        <x:v>Personal loan</x:v>
      </x:c>
      <x:c r="J648" s="18" t="str">
        <x:v>Existing customer</x:v>
      </x:c>
      <x:c r="K648" s="20" t="n">
        <x:v>46072.5</x:v>
      </x:c>
    </x:row>
    <x:row r="649" ht="15" hidden="0" customHeight="1">
      <x:c r="A649" s="18" t="str">
        <x:v>LN000648</x:v>
      </x:c>
      <x:c r="B649" s="18" t="str">
        <x:v>LOS-SYN-0000648</x:v>
      </x:c>
      <x:c r="C649" s="18" t="str">
        <x:v>EMP015</x:v>
      </x:c>
      <x:c r="D649" s="18" t="str">
        <x:v>CY2026Q1</x:v>
      </x:c>
      <x:c r="E649" s="18" t="str">
        <x:v>BR006</x:v>
      </x:c>
      <x:c r="F649" s="20" t="n">
        <x:v>46069.5</x:v>
      </x:c>
      <x:c r="G649" s="18" t="str">
        <x:v>Funded</x:v>
      </x:c>
      <x:c r="H649" s="23" t="n">
        <x:v>34000</x:v>
      </x:c>
      <x:c r="I649" s="18" t="str">
        <x:v>Home improvement loan</x:v>
      </x:c>
      <x:c r="J649" s="18" t="str">
        <x:v>Existing customer</x:v>
      </x:c>
      <x:c r="K649" s="20" t="n">
        <x:v>46081.5</x:v>
      </x:c>
    </x:row>
    <x:row r="650" ht="15" hidden="0" customHeight="1">
      <x:c r="A650" s="18" t="str">
        <x:v>LN000649</x:v>
      </x:c>
      <x:c r="B650" s="18" t="str">
        <x:v>LOS-SYN-0000649</x:v>
      </x:c>
      <x:c r="C650" s="18" t="str">
        <x:v>EMP015</x:v>
      </x:c>
      <x:c r="D650" s="18" t="str">
        <x:v>CY2026Q1</x:v>
      </x:c>
      <x:c r="E650" s="18" t="str">
        <x:v>BR006</x:v>
      </x:c>
      <x:c r="F650" s="20" t="n">
        <x:v>46055.5</x:v>
      </x:c>
      <x:c r="G650" s="18" t="str">
        <x:v>Funded</x:v>
      </x:c>
      <x:c r="H650" s="23" t="n">
        <x:v>42500</x:v>
      </x:c>
      <x:c r="I650" s="18" t="str">
        <x:v>Personal loan</x:v>
      </x:c>
      <x:c r="J650" s="18" t="str">
        <x:v>Referral</x:v>
      </x:c>
      <x:c r="K650" s="20" t="n">
        <x:v>46059.5</x:v>
      </x:c>
    </x:row>
    <x:row r="651" ht="15" hidden="0" customHeight="1">
      <x:c r="A651" s="18" t="str">
        <x:v>LN000650</x:v>
      </x:c>
      <x:c r="B651" s="18" t="str">
        <x:v>LOS-SYN-0000650</x:v>
      </x:c>
      <x:c r="C651" s="18" t="str">
        <x:v>EMP015</x:v>
      </x:c>
      <x:c r="D651" s="18" t="str">
        <x:v>CY2026Q1</x:v>
      </x:c>
      <x:c r="E651" s="18" t="str">
        <x:v>BR006</x:v>
      </x:c>
      <x:c r="F651" s="20" t="n">
        <x:v>46062.5</x:v>
      </x:c>
      <x:c r="G651" s="18" t="str">
        <x:v>Funded</x:v>
      </x:c>
      <x:c r="H651" s="23" t="n">
        <x:v>46500</x:v>
      </x:c>
      <x:c r="I651" s="18" t="str">
        <x:v>Personal loan</x:v>
      </x:c>
      <x:c r="J651" s="18" t="str">
        <x:v>Referral</x:v>
      </x:c>
      <x:c r="K651" s="20" t="n">
        <x:v>46069.5</x:v>
      </x:c>
    </x:row>
    <x:row r="652" ht="15" hidden="0" customHeight="1">
      <x:c r="A652" s="18" t="str">
        <x:v>LN000651</x:v>
      </x:c>
      <x:c r="B652" s="18" t="str">
        <x:v>LOS-SYN-0000651</x:v>
      </x:c>
      <x:c r="C652" s="18" t="str">
        <x:v>EMP015</x:v>
      </x:c>
      <x:c r="D652" s="18" t="str">
        <x:v>CY2026Q1</x:v>
      </x:c>
      <x:c r="E652" s="18" t="str">
        <x:v>BR006</x:v>
      </x:c>
      <x:c r="F652" s="20" t="n">
        <x:v>46059.5</x:v>
      </x:c>
      <x:c r="G652" s="18" t="str">
        <x:v>Funded</x:v>
      </x:c>
      <x:c r="H652" s="23" t="n">
        <x:v>31000</x:v>
      </x:c>
      <x:c r="I652" s="18" t="str">
        <x:v>Personal loan</x:v>
      </x:c>
      <x:c r="J652" s="18" t="str">
        <x:v>New customer</x:v>
      </x:c>
      <x:c r="K652" s="20" t="n">
        <x:v>46067.5</x:v>
      </x:c>
    </x:row>
    <x:row r="653" ht="15" hidden="0" customHeight="1">
      <x:c r="A653" s="18" t="str">
        <x:v>LN000652</x:v>
      </x:c>
      <x:c r="B653" s="18" t="str">
        <x:v>LOS-SYN-0000652</x:v>
      </x:c>
      <x:c r="C653" s="18" t="str">
        <x:v>EMP015</x:v>
      </x:c>
      <x:c r="D653" s="18" t="str">
        <x:v>CY2026Q1</x:v>
      </x:c>
      <x:c r="E653" s="18" t="str">
        <x:v>BR006</x:v>
      </x:c>
      <x:c r="F653" s="20" t="n">
        <x:v>46048.5</x:v>
      </x:c>
      <x:c r="G653" s="18" t="str">
        <x:v>Funded</x:v>
      </x:c>
      <x:c r="H653" s="23" t="n">
        <x:v>37000</x:v>
      </x:c>
      <x:c r="I653" s="18" t="str">
        <x:v>Auto loan</x:v>
      </x:c>
      <x:c r="J653" s="18" t="str">
        <x:v>Referral</x:v>
      </x:c>
      <x:c r="K653" s="20" t="n">
        <x:v>46059.5</x:v>
      </x:c>
    </x:row>
    <x:row r="654" ht="15" hidden="0" customHeight="1">
      <x:c r="A654" s="18" t="str">
        <x:v>LN000653</x:v>
      </x:c>
      <x:c r="B654" s="18" t="str">
        <x:v>LOS-SYN-0000653</x:v>
      </x:c>
      <x:c r="C654" s="18" t="str">
        <x:v>EMP015</x:v>
      </x:c>
      <x:c r="D654" s="18" t="str">
        <x:v>CY2026Q1</x:v>
      </x:c>
      <x:c r="E654" s="18" t="str">
        <x:v>BR006</x:v>
      </x:c>
      <x:c r="F654" s="20" t="n">
        <x:v>46073.5</x:v>
      </x:c>
      <x:c r="G654" s="18" t="str">
        <x:v>Funded</x:v>
      </x:c>
      <x:c r="H654" s="23" t="n">
        <x:v>31500</x:v>
      </x:c>
      <x:c r="I654" s="18" t="str">
        <x:v>Home improvement loan</x:v>
      </x:c>
      <x:c r="J654" s="18" t="str">
        <x:v>Referral</x:v>
      </x:c>
      <x:c r="K654" s="20" t="n">
        <x:v>46083.5</x:v>
      </x:c>
    </x:row>
    <x:row r="655" ht="15" hidden="0" customHeight="1">
      <x:c r="A655" s="18" t="str">
        <x:v>LN000654</x:v>
      </x:c>
      <x:c r="B655" s="18" t="str">
        <x:v>LOS-SYN-0000654</x:v>
      </x:c>
      <x:c r="C655" s="18" t="str">
        <x:v>EMP015</x:v>
      </x:c>
      <x:c r="D655" s="18" t="str">
        <x:v>CY2026Q1</x:v>
      </x:c>
      <x:c r="E655" s="18" t="str">
        <x:v>BR006</x:v>
      </x:c>
      <x:c r="F655" s="20" t="n">
        <x:v>46104.5</x:v>
      </x:c>
      <x:c r="G655" s="18" t="str">
        <x:v>Funded</x:v>
      </x:c>
      <x:c r="H655" s="23" t="n">
        <x:v>40500</x:v>
      </x:c>
      <x:c r="I655" s="18" t="str">
        <x:v>Home improvement loan</x:v>
      </x:c>
      <x:c r="J655" s="18" t="str">
        <x:v>Referral</x:v>
      </x:c>
      <x:c r="K655" s="20" t="n">
        <x:v>46116.5</x:v>
      </x:c>
    </x:row>
    <x:row r="656" ht="15" hidden="0" customHeight="1">
      <x:c r="A656" s="18" t="str">
        <x:v>LN000655</x:v>
      </x:c>
      <x:c r="B656" s="18" t="str">
        <x:v>LOS-SYN-0000655</x:v>
      </x:c>
      <x:c r="C656" s="18" t="str">
        <x:v>EMP015</x:v>
      </x:c>
      <x:c r="D656" s="18" t="str">
        <x:v>CY2026Q1</x:v>
      </x:c>
      <x:c r="E656" s="18" t="str">
        <x:v>BR006</x:v>
      </x:c>
      <x:c r="F656" s="20" t="n">
        <x:v>46095.5</x:v>
      </x:c>
      <x:c r="G656" s="18" t="str">
        <x:v>Cancelled</x:v>
      </x:c>
      <x:c r="H656" s="23" t="n">
        <x:v>23000</x:v>
      </x:c>
      <x:c r="I656" s="18" t="str">
        <x:v>Personal loan</x:v>
      </x:c>
      <x:c r="J656" s="18" t="str">
        <x:v>New customer</x:v>
      </x:c>
      <x:c r="K656" s="20"/>
    </x:row>
    <x:row r="657" ht="15" hidden="0" customHeight="1">
      <x:c r="A657" s="18" t="str">
        <x:v>LN000656</x:v>
      </x:c>
      <x:c r="B657" s="18" t="str">
        <x:v>LOS-SYN-0000656</x:v>
      </x:c>
      <x:c r="C657" s="18" t="str">
        <x:v>EMP001</x:v>
      </x:c>
      <x:c r="D657" s="18" t="str">
        <x:v>CY2026Q2</x:v>
      </x:c>
      <x:c r="E657" s="18" t="str">
        <x:v>BR001</x:v>
      </x:c>
      <x:c r="F657" s="20" t="n">
        <x:v>46170.5</x:v>
      </x:c>
      <x:c r="G657" s="18" t="str">
        <x:v>Funded</x:v>
      </x:c>
      <x:c r="H657" s="23" t="n">
        <x:v>36000</x:v>
      </x:c>
      <x:c r="I657" s="18" t="str">
        <x:v>Debt consolidation loan</x:v>
      </x:c>
      <x:c r="J657" s="18" t="str">
        <x:v>Existing customer</x:v>
      </x:c>
      <x:c r="K657" s="20" t="n">
        <x:v>46173.5</x:v>
      </x:c>
    </x:row>
    <x:row r="658" ht="15" hidden="0" customHeight="1">
      <x:c r="A658" s="18" t="str">
        <x:v>LN000657</x:v>
      </x:c>
      <x:c r="B658" s="18" t="str">
        <x:v>LOS-SYN-0000657</x:v>
      </x:c>
      <x:c r="C658" s="18" t="str">
        <x:v>EMP001</x:v>
      </x:c>
      <x:c r="D658" s="18" t="str">
        <x:v>CY2026Q2</x:v>
      </x:c>
      <x:c r="E658" s="18" t="str">
        <x:v>BR001</x:v>
      </x:c>
      <x:c r="F658" s="20" t="n">
        <x:v>46136.5</x:v>
      </x:c>
      <x:c r="G658" s="18" t="str">
        <x:v>Funded</x:v>
      </x:c>
      <x:c r="H658" s="23" t="n">
        <x:v>38500</x:v>
      </x:c>
      <x:c r="I658" s="18" t="str">
        <x:v>Personal loan</x:v>
      </x:c>
      <x:c r="J658" s="18" t="str">
        <x:v>Referral</x:v>
      </x:c>
      <x:c r="K658" s="20" t="n">
        <x:v>46146.5</x:v>
      </x:c>
    </x:row>
    <x:row r="659" ht="15" hidden="0" customHeight="1">
      <x:c r="A659" s="18" t="str">
        <x:v>LN000658</x:v>
      </x:c>
      <x:c r="B659" s="18" t="str">
        <x:v>LOS-SYN-0000658</x:v>
      </x:c>
      <x:c r="C659" s="18" t="str">
        <x:v>EMP001</x:v>
      </x:c>
      <x:c r="D659" s="18" t="str">
        <x:v>CY2026Q2</x:v>
      </x:c>
      <x:c r="E659" s="18" t="str">
        <x:v>BR001</x:v>
      </x:c>
      <x:c r="F659" s="20" t="n">
        <x:v>46127.5</x:v>
      </x:c>
      <x:c r="G659" s="18" t="str">
        <x:v>Funded</x:v>
      </x:c>
      <x:c r="H659" s="23" t="n">
        <x:v>42000</x:v>
      </x:c>
      <x:c r="I659" s="18" t="str">
        <x:v>Personal loan</x:v>
      </x:c>
      <x:c r="J659" s="18" t="str">
        <x:v>New customer</x:v>
      </x:c>
      <x:c r="K659" s="20" t="n">
        <x:v>46131.5</x:v>
      </x:c>
    </x:row>
    <x:row r="660" ht="15" hidden="0" customHeight="1">
      <x:c r="A660" s="18" t="str">
        <x:v>LN000659</x:v>
      </x:c>
      <x:c r="B660" s="18" t="str">
        <x:v>LOS-SYN-0000659</x:v>
      </x:c>
      <x:c r="C660" s="18" t="str">
        <x:v>EMP001</x:v>
      </x:c>
      <x:c r="D660" s="18" t="str">
        <x:v>CY2026Q2</x:v>
      </x:c>
      <x:c r="E660" s="18" t="str">
        <x:v>BR001</x:v>
      </x:c>
      <x:c r="F660" s="20" t="n">
        <x:v>46131.5</x:v>
      </x:c>
      <x:c r="G660" s="18" t="str">
        <x:v>Funded</x:v>
      </x:c>
      <x:c r="H660" s="23" t="n">
        <x:v>51000</x:v>
      </x:c>
      <x:c r="I660" s="18" t="str">
        <x:v>Personal loan</x:v>
      </x:c>
      <x:c r="J660" s="18" t="str">
        <x:v>Referral</x:v>
      </x:c>
      <x:c r="K660" s="20" t="n">
        <x:v>46140.5</x:v>
      </x:c>
    </x:row>
    <x:row r="661" ht="15" hidden="0" customHeight="1">
      <x:c r="A661" s="18" t="str">
        <x:v>LN000660</x:v>
      </x:c>
      <x:c r="B661" s="18" t="str">
        <x:v>LOS-SYN-0000660</x:v>
      </x:c>
      <x:c r="C661" s="18" t="str">
        <x:v>EMP001</x:v>
      </x:c>
      <x:c r="D661" s="18" t="str">
        <x:v>CY2026Q2</x:v>
      </x:c>
      <x:c r="E661" s="18" t="str">
        <x:v>BR001</x:v>
      </x:c>
      <x:c r="F661" s="20" t="n">
        <x:v>46134.5</x:v>
      </x:c>
      <x:c r="G661" s="18" t="str">
        <x:v>Funded</x:v>
      </x:c>
      <x:c r="H661" s="23" t="n">
        <x:v>39500</x:v>
      </x:c>
      <x:c r="I661" s="18" t="str">
        <x:v>Home improvement loan</x:v>
      </x:c>
      <x:c r="J661" s="18" t="str">
        <x:v>Existing customer</x:v>
      </x:c>
      <x:c r="K661" s="20" t="n">
        <x:v>46146.5</x:v>
      </x:c>
    </x:row>
    <x:row r="662" ht="15" hidden="0" customHeight="1">
      <x:c r="A662" s="18" t="str">
        <x:v>LN000661</x:v>
      </x:c>
      <x:c r="B662" s="18" t="str">
        <x:v>LOS-SYN-0000661</x:v>
      </x:c>
      <x:c r="C662" s="18" t="str">
        <x:v>EMP001</x:v>
      </x:c>
      <x:c r="D662" s="18" t="str">
        <x:v>CY2026Q2</x:v>
      </x:c>
      <x:c r="E662" s="18" t="str">
        <x:v>BR001</x:v>
      </x:c>
      <x:c r="F662" s="20" t="n">
        <x:v>46128.5</x:v>
      </x:c>
      <x:c r="G662" s="18" t="str">
        <x:v>Funded</x:v>
      </x:c>
      <x:c r="H662" s="23" t="n">
        <x:v>34000</x:v>
      </x:c>
      <x:c r="I662" s="18" t="str">
        <x:v>Home improvement loan</x:v>
      </x:c>
      <x:c r="J662" s="18" t="str">
        <x:v>New customer</x:v>
      </x:c>
      <x:c r="K662" s="20" t="n">
        <x:v>46131.5</x:v>
      </x:c>
    </x:row>
    <x:row r="663" ht="15" hidden="0" customHeight="1">
      <x:c r="A663" s="18" t="str">
        <x:v>LN000662</x:v>
      </x:c>
      <x:c r="B663" s="18" t="str">
        <x:v>LOS-SYN-0000662</x:v>
      </x:c>
      <x:c r="C663" s="18" t="str">
        <x:v>EMP001</x:v>
      </x:c>
      <x:c r="D663" s="18" t="str">
        <x:v>CY2026Q2</x:v>
      </x:c>
      <x:c r="E663" s="18" t="str">
        <x:v>BR001</x:v>
      </x:c>
      <x:c r="F663" s="20" t="n">
        <x:v>46195.5</x:v>
      </x:c>
      <x:c r="G663" s="18" t="str">
        <x:v>Funded</x:v>
      </x:c>
      <x:c r="H663" s="23" t="n">
        <x:v>42000</x:v>
      </x:c>
      <x:c r="I663" s="18" t="str">
        <x:v>Home improvement loan</x:v>
      </x:c>
      <x:c r="J663" s="18" t="str">
        <x:v>New customer</x:v>
      </x:c>
      <x:c r="K663" s="20" t="n">
        <x:v>46199.5</x:v>
      </x:c>
    </x:row>
    <x:row r="664" ht="15" hidden="0" customHeight="1">
      <x:c r="A664" s="18" t="str">
        <x:v>LN000663</x:v>
      </x:c>
      <x:c r="B664" s="18" t="str">
        <x:v>LOS-SYN-0000663</x:v>
      </x:c>
      <x:c r="C664" s="18" t="str">
        <x:v>EMP001</x:v>
      </x:c>
      <x:c r="D664" s="18" t="str">
        <x:v>CY2026Q2</x:v>
      </x:c>
      <x:c r="E664" s="18" t="str">
        <x:v>BR001</x:v>
      </x:c>
      <x:c r="F664" s="20" t="n">
        <x:v>46135.5</x:v>
      </x:c>
      <x:c r="G664" s="18" t="str">
        <x:v>Funded</x:v>
      </x:c>
      <x:c r="H664" s="23" t="n">
        <x:v>38500</x:v>
      </x:c>
      <x:c r="I664" s="18" t="str">
        <x:v>Debt consolidation loan</x:v>
      </x:c>
      <x:c r="J664" s="18" t="str">
        <x:v>Existing customer</x:v>
      </x:c>
      <x:c r="K664" s="20" t="n">
        <x:v>46147.5</x:v>
      </x:c>
    </x:row>
    <x:row r="665" ht="15" hidden="0" customHeight="1">
      <x:c r="A665" s="18" t="str">
        <x:v>LN000664</x:v>
      </x:c>
      <x:c r="B665" s="18" t="str">
        <x:v>LOS-SYN-0000664</x:v>
      </x:c>
      <x:c r="C665" s="18" t="str">
        <x:v>EMP001</x:v>
      </x:c>
      <x:c r="D665" s="18" t="str">
        <x:v>CY2026Q2</x:v>
      </x:c>
      <x:c r="E665" s="18" t="str">
        <x:v>BR001</x:v>
      </x:c>
      <x:c r="F665" s="20" t="n">
        <x:v>46133.5</x:v>
      </x:c>
      <x:c r="G665" s="18" t="str">
        <x:v>Funded</x:v>
      </x:c>
      <x:c r="H665" s="23" t="n">
        <x:v>55000</x:v>
      </x:c>
      <x:c r="I665" s="18" t="str">
        <x:v>Personal loan</x:v>
      </x:c>
      <x:c r="J665" s="18" t="str">
        <x:v>Existing customer</x:v>
      </x:c>
      <x:c r="K665" s="20" t="n">
        <x:v>46140.5</x:v>
      </x:c>
    </x:row>
    <x:row r="666" ht="15" hidden="0" customHeight="1">
      <x:c r="A666" s="18" t="str">
        <x:v>LN000665</x:v>
      </x:c>
      <x:c r="B666" s="18" t="str">
        <x:v>LOS-SYN-0000665</x:v>
      </x:c>
      <x:c r="C666" s="18" t="str">
        <x:v>EMP001</x:v>
      </x:c>
      <x:c r="D666" s="18" t="str">
        <x:v>CY2026Q2</x:v>
      </x:c>
      <x:c r="E666" s="18" t="str">
        <x:v>BR001</x:v>
      </x:c>
      <x:c r="F666" s="20" t="n">
        <x:v>46170.5</x:v>
      </x:c>
      <x:c r="G666" s="18" t="str">
        <x:v>Funded</x:v>
      </x:c>
      <x:c r="H666" s="23" t="n">
        <x:v>47500</x:v>
      </x:c>
      <x:c r="I666" s="18" t="str">
        <x:v>Personal loan</x:v>
      </x:c>
      <x:c r="J666" s="18" t="str">
        <x:v>New customer</x:v>
      </x:c>
      <x:c r="K666" s="20" t="n">
        <x:v>46176.5</x:v>
      </x:c>
    </x:row>
    <x:row r="667" ht="15" hidden="0" customHeight="1">
      <x:c r="A667" s="18" t="str">
        <x:v>LN000666</x:v>
      </x:c>
      <x:c r="B667" s="18" t="str">
        <x:v>LOS-SYN-0000666</x:v>
      </x:c>
      <x:c r="C667" s="18" t="str">
        <x:v>EMP002</x:v>
      </x:c>
      <x:c r="D667" s="18" t="str">
        <x:v>CY2026Q2</x:v>
      </x:c>
      <x:c r="E667" s="18" t="str">
        <x:v>BR001</x:v>
      </x:c>
      <x:c r="F667" s="20" t="n">
        <x:v>46157.5</x:v>
      </x:c>
      <x:c r="G667" s="18" t="str">
        <x:v>Funded</x:v>
      </x:c>
      <x:c r="H667" s="23" t="n">
        <x:v>46000</x:v>
      </x:c>
      <x:c r="I667" s="18" t="str">
        <x:v>Auto loan</x:v>
      </x:c>
      <x:c r="J667" s="18" t="str">
        <x:v>New customer</x:v>
      </x:c>
      <x:c r="K667" s="20" t="n">
        <x:v>46160.5</x:v>
      </x:c>
    </x:row>
    <x:row r="668" ht="15" hidden="0" customHeight="1">
      <x:c r="A668" s="18" t="str">
        <x:v>LN000667</x:v>
      </x:c>
      <x:c r="B668" s="18" t="str">
        <x:v>LOS-SYN-0000667</x:v>
      </x:c>
      <x:c r="C668" s="18" t="str">
        <x:v>EMP002</x:v>
      </x:c>
      <x:c r="D668" s="18" t="str">
        <x:v>CY2026Q2</x:v>
      </x:c>
      <x:c r="E668" s="18" t="str">
        <x:v>BR001</x:v>
      </x:c>
      <x:c r="F668" s="20" t="n">
        <x:v>46140.5</x:v>
      </x:c>
      <x:c r="G668" s="18" t="str">
        <x:v>Funded</x:v>
      </x:c>
      <x:c r="H668" s="23" t="n">
        <x:v>36000</x:v>
      </x:c>
      <x:c r="I668" s="18" t="str">
        <x:v>Home improvement loan</x:v>
      </x:c>
      <x:c r="J668" s="18" t="str">
        <x:v>Existing customer</x:v>
      </x:c>
      <x:c r="K668" s="20" t="n">
        <x:v>46149.5</x:v>
      </x:c>
    </x:row>
    <x:row r="669" ht="15" hidden="0" customHeight="1">
      <x:c r="A669" s="18" t="str">
        <x:v>LN000668</x:v>
      </x:c>
      <x:c r="B669" s="18" t="str">
        <x:v>LOS-SYN-0000668</x:v>
      </x:c>
      <x:c r="C669" s="18" t="str">
        <x:v>EMP002</x:v>
      </x:c>
      <x:c r="D669" s="18" t="str">
        <x:v>CY2026Q2</x:v>
      </x:c>
      <x:c r="E669" s="18" t="str">
        <x:v>BR001</x:v>
      </x:c>
      <x:c r="F669" s="20" t="n">
        <x:v>46142.5</x:v>
      </x:c>
      <x:c r="G669" s="18" t="str">
        <x:v>Funded</x:v>
      </x:c>
      <x:c r="H669" s="23" t="n">
        <x:v>40500</x:v>
      </x:c>
      <x:c r="I669" s="18" t="str">
        <x:v>Debt consolidation loan</x:v>
      </x:c>
      <x:c r="J669" s="18" t="str">
        <x:v>Referral</x:v>
      </x:c>
      <x:c r="K669" s="20" t="n">
        <x:v>46153.5</x:v>
      </x:c>
    </x:row>
    <x:row r="670" ht="15" hidden="0" customHeight="1">
      <x:c r="A670" s="18" t="str">
        <x:v>LN000669</x:v>
      </x:c>
      <x:c r="B670" s="18" t="str">
        <x:v>LOS-SYN-0000669</x:v>
      </x:c>
      <x:c r="C670" s="18" t="str">
        <x:v>EMP002</x:v>
      </x:c>
      <x:c r="D670" s="18" t="str">
        <x:v>CY2026Q2</x:v>
      </x:c>
      <x:c r="E670" s="18" t="str">
        <x:v>BR001</x:v>
      </x:c>
      <x:c r="F670" s="20" t="n">
        <x:v>46170.5</x:v>
      </x:c>
      <x:c r="G670" s="18" t="str">
        <x:v>Funded</x:v>
      </x:c>
      <x:c r="H670" s="23" t="n">
        <x:v>45000</x:v>
      </x:c>
      <x:c r="I670" s="18" t="str">
        <x:v>Debt consolidation loan</x:v>
      </x:c>
      <x:c r="J670" s="18" t="str">
        <x:v>Existing customer</x:v>
      </x:c>
      <x:c r="K670" s="20" t="n">
        <x:v>46181.5</x:v>
      </x:c>
    </x:row>
    <x:row r="671" ht="15" hidden="0" customHeight="1">
      <x:c r="A671" s="18" t="str">
        <x:v>LN000670</x:v>
      </x:c>
      <x:c r="B671" s="18" t="str">
        <x:v>LOS-SYN-0000670</x:v>
      </x:c>
      <x:c r="C671" s="18" t="str">
        <x:v>EMP002</x:v>
      </x:c>
      <x:c r="D671" s="18" t="str">
        <x:v>CY2026Q2</x:v>
      </x:c>
      <x:c r="E671" s="18" t="str">
        <x:v>BR001</x:v>
      </x:c>
      <x:c r="F671" s="20" t="n">
        <x:v>46117.5</x:v>
      </x:c>
      <x:c r="G671" s="18" t="str">
        <x:v>Funded</x:v>
      </x:c>
      <x:c r="H671" s="23" t="n">
        <x:v>30500</x:v>
      </x:c>
      <x:c r="I671" s="18" t="str">
        <x:v>Auto loan</x:v>
      </x:c>
      <x:c r="J671" s="18" t="str">
        <x:v>New customer</x:v>
      </x:c>
      <x:c r="K671" s="20" t="n">
        <x:v>46129.5</x:v>
      </x:c>
    </x:row>
    <x:row r="672" ht="15" hidden="0" customHeight="1">
      <x:c r="A672" s="18" t="str">
        <x:v>LN000671</x:v>
      </x:c>
      <x:c r="B672" s="18" t="str">
        <x:v>LOS-SYN-0000671</x:v>
      </x:c>
      <x:c r="C672" s="18" t="str">
        <x:v>EMP002</x:v>
      </x:c>
      <x:c r="D672" s="18" t="str">
        <x:v>CY2026Q2</x:v>
      </x:c>
      <x:c r="E672" s="18" t="str">
        <x:v>BR001</x:v>
      </x:c>
      <x:c r="F672" s="20" t="n">
        <x:v>46161.5</x:v>
      </x:c>
      <x:c r="G672" s="18" t="str">
        <x:v>Funded</x:v>
      </x:c>
      <x:c r="H672" s="23" t="n">
        <x:v>47500</x:v>
      </x:c>
      <x:c r="I672" s="18" t="str">
        <x:v>Auto loan</x:v>
      </x:c>
      <x:c r="J672" s="18" t="str">
        <x:v>Referral</x:v>
      </x:c>
      <x:c r="K672" s="20" t="n">
        <x:v>46166.5</x:v>
      </x:c>
    </x:row>
    <x:row r="673" ht="15" hidden="0" customHeight="1">
      <x:c r="A673" s="18" t="str">
        <x:v>LN000672</x:v>
      </x:c>
      <x:c r="B673" s="18" t="str">
        <x:v>LOS-SYN-0000672</x:v>
      </x:c>
      <x:c r="C673" s="18" t="str">
        <x:v>EMP002</x:v>
      </x:c>
      <x:c r="D673" s="18" t="str">
        <x:v>CY2026Q2</x:v>
      </x:c>
      <x:c r="E673" s="18" t="str">
        <x:v>BR001</x:v>
      </x:c>
      <x:c r="F673" s="20" t="n">
        <x:v>46133.5</x:v>
      </x:c>
      <x:c r="G673" s="18" t="str">
        <x:v>Funded</x:v>
      </x:c>
      <x:c r="H673" s="23" t="n">
        <x:v>32000</x:v>
      </x:c>
      <x:c r="I673" s="18" t="str">
        <x:v>Auto loan</x:v>
      </x:c>
      <x:c r="J673" s="18" t="str">
        <x:v>New customer</x:v>
      </x:c>
      <x:c r="K673" s="20" t="n">
        <x:v>46137.5</x:v>
      </x:c>
    </x:row>
    <x:row r="674" ht="15" hidden="0" customHeight="1">
      <x:c r="A674" s="18" t="str">
        <x:v>LN000673</x:v>
      </x:c>
      <x:c r="B674" s="18" t="str">
        <x:v>LOS-SYN-0000673</x:v>
      </x:c>
      <x:c r="C674" s="18" t="str">
        <x:v>EMP002</x:v>
      </x:c>
      <x:c r="D674" s="18" t="str">
        <x:v>CY2026Q2</x:v>
      </x:c>
      <x:c r="E674" s="18" t="str">
        <x:v>BR001</x:v>
      </x:c>
      <x:c r="F674" s="20" t="n">
        <x:v>46175.5</x:v>
      </x:c>
      <x:c r="G674" s="18" t="str">
        <x:v>Funded</x:v>
      </x:c>
      <x:c r="H674" s="23" t="n">
        <x:v>40500</x:v>
      </x:c>
      <x:c r="I674" s="18" t="str">
        <x:v>Debt consolidation loan</x:v>
      </x:c>
      <x:c r="J674" s="18" t="str">
        <x:v>Existing customer</x:v>
      </x:c>
      <x:c r="K674" s="20" t="n">
        <x:v>46184.5</x:v>
      </x:c>
    </x:row>
    <x:row r="675" ht="15" hidden="0" customHeight="1">
      <x:c r="A675" s="18" t="str">
        <x:v>LN000674</x:v>
      </x:c>
      <x:c r="B675" s="18" t="str">
        <x:v>LOS-SYN-0000674</x:v>
      </x:c>
      <x:c r="C675" s="18" t="str">
        <x:v>EMP002</x:v>
      </x:c>
      <x:c r="D675" s="18" t="str">
        <x:v>CY2026Q2</x:v>
      </x:c>
      <x:c r="E675" s="18" t="str">
        <x:v>BR001</x:v>
      </x:c>
      <x:c r="F675" s="20" t="n">
        <x:v>46143.5</x:v>
      </x:c>
      <x:c r="G675" s="18" t="str">
        <x:v>Funded</x:v>
      </x:c>
      <x:c r="H675" s="23" t="n">
        <x:v>33500</x:v>
      </x:c>
      <x:c r="I675" s="18" t="str">
        <x:v>Home improvement loan</x:v>
      </x:c>
      <x:c r="J675" s="18" t="str">
        <x:v>Existing customer</x:v>
      </x:c>
      <x:c r="K675" s="20" t="n">
        <x:v>46148.5</x:v>
      </x:c>
    </x:row>
    <x:row r="676" ht="15" hidden="0" customHeight="1">
      <x:c r="A676" s="18" t="str">
        <x:v>LN000675</x:v>
      </x:c>
      <x:c r="B676" s="18" t="str">
        <x:v>LOS-SYN-0000675</x:v>
      </x:c>
      <x:c r="C676" s="18" t="str">
        <x:v>EMP002</x:v>
      </x:c>
      <x:c r="D676" s="18" t="str">
        <x:v>CY2026Q2</x:v>
      </x:c>
      <x:c r="E676" s="18" t="str">
        <x:v>BR001</x:v>
      </x:c>
      <x:c r="F676" s="20" t="n">
        <x:v>46192.5</x:v>
      </x:c>
      <x:c r="G676" s="18" t="str">
        <x:v>Funded</x:v>
      </x:c>
      <x:c r="H676" s="23" t="n">
        <x:v>44500</x:v>
      </x:c>
      <x:c r="I676" s="18" t="str">
        <x:v>Personal loan</x:v>
      </x:c>
      <x:c r="J676" s="18" t="str">
        <x:v>Existing customer</x:v>
      </x:c>
      <x:c r="K676" s="20" t="n">
        <x:v>46202.5</x:v>
      </x:c>
    </x:row>
    <x:row r="677" ht="15" hidden="0" customHeight="1">
      <x:c r="A677" s="18" t="str">
        <x:v>LN000676</x:v>
      </x:c>
      <x:c r="B677" s="18" t="str">
        <x:v>LOS-SYN-0000676</x:v>
      </x:c>
      <x:c r="C677" s="18" t="str">
        <x:v>EMP002</x:v>
      </x:c>
      <x:c r="D677" s="18" t="str">
        <x:v>CY2026Q2</x:v>
      </x:c>
      <x:c r="E677" s="18" t="str">
        <x:v>BR001</x:v>
      </x:c>
      <x:c r="F677" s="20" t="n">
        <x:v>46122.5</x:v>
      </x:c>
      <x:c r="G677" s="18" t="str">
        <x:v>Cancelled</x:v>
      </x:c>
      <x:c r="H677" s="23" t="n">
        <x:v>25000</x:v>
      </x:c>
      <x:c r="I677" s="18" t="str">
        <x:v>Personal loan</x:v>
      </x:c>
      <x:c r="J677" s="18" t="str">
        <x:v>New customer</x:v>
      </x:c>
      <x:c r="K677" s="20"/>
    </x:row>
    <x:row r="678" ht="15" hidden="0" customHeight="1">
      <x:c r="A678" s="18" t="str">
        <x:v>LN000677</x:v>
      </x:c>
      <x:c r="B678" s="18" t="str">
        <x:v>LOS-SYN-0000677</x:v>
      </x:c>
      <x:c r="C678" s="18" t="str">
        <x:v>EMP003</x:v>
      </x:c>
      <x:c r="D678" s="18" t="str">
        <x:v>CY2026Q2</x:v>
      </x:c>
      <x:c r="E678" s="18" t="str">
        <x:v>BR001</x:v>
      </x:c>
      <x:c r="F678" s="20" t="n">
        <x:v>46144.5</x:v>
      </x:c>
      <x:c r="G678" s="18" t="str">
        <x:v>Funded</x:v>
      </x:c>
      <x:c r="H678" s="23" t="n">
        <x:v>34000</x:v>
      </x:c>
      <x:c r="I678" s="18" t="str">
        <x:v>Home improvement loan</x:v>
      </x:c>
      <x:c r="J678" s="18" t="str">
        <x:v>Existing customer</x:v>
      </x:c>
      <x:c r="K678" s="20" t="n">
        <x:v>46153.5</x:v>
      </x:c>
    </x:row>
    <x:row r="679" ht="15" hidden="0" customHeight="1">
      <x:c r="A679" s="18" t="str">
        <x:v>LN000678</x:v>
      </x:c>
      <x:c r="B679" s="18" t="str">
        <x:v>LOS-SYN-0000678</x:v>
      </x:c>
      <x:c r="C679" s="18" t="str">
        <x:v>EMP003</x:v>
      </x:c>
      <x:c r="D679" s="18" t="str">
        <x:v>CY2026Q2</x:v>
      </x:c>
      <x:c r="E679" s="18" t="str">
        <x:v>BR001</x:v>
      </x:c>
      <x:c r="F679" s="20" t="n">
        <x:v>46148.5</x:v>
      </x:c>
      <x:c r="G679" s="18" t="str">
        <x:v>Funded</x:v>
      </x:c>
      <x:c r="H679" s="23" t="n">
        <x:v>30000</x:v>
      </x:c>
      <x:c r="I679" s="18" t="str">
        <x:v>Auto loan</x:v>
      </x:c>
      <x:c r="J679" s="18" t="str">
        <x:v>Existing customer</x:v>
      </x:c>
      <x:c r="K679" s="20" t="n">
        <x:v>46160.5</x:v>
      </x:c>
    </x:row>
    <x:row r="680" ht="15" hidden="0" customHeight="1">
      <x:c r="A680" s="18" t="str">
        <x:v>LN000679</x:v>
      </x:c>
      <x:c r="B680" s="18" t="str">
        <x:v>LOS-SYN-0000679</x:v>
      </x:c>
      <x:c r="C680" s="18" t="str">
        <x:v>EMP003</x:v>
      </x:c>
      <x:c r="D680" s="18" t="str">
        <x:v>CY2026Q2</x:v>
      </x:c>
      <x:c r="E680" s="18" t="str">
        <x:v>BR001</x:v>
      </x:c>
      <x:c r="F680" s="20" t="n">
        <x:v>46130.5</x:v>
      </x:c>
      <x:c r="G680" s="18" t="str">
        <x:v>Funded</x:v>
      </x:c>
      <x:c r="H680" s="23" t="n">
        <x:v>34500</x:v>
      </x:c>
      <x:c r="I680" s="18" t="str">
        <x:v>Home improvement loan</x:v>
      </x:c>
      <x:c r="J680" s="18" t="str">
        <x:v>Referral</x:v>
      </x:c>
      <x:c r="K680" s="20" t="n">
        <x:v>46142.5</x:v>
      </x:c>
    </x:row>
    <x:row r="681" ht="15" hidden="0" customHeight="1">
      <x:c r="A681" s="18" t="str">
        <x:v>LN000680</x:v>
      </x:c>
      <x:c r="B681" s="18" t="str">
        <x:v>LOS-SYN-0000680</x:v>
      </x:c>
      <x:c r="C681" s="18" t="str">
        <x:v>EMP003</x:v>
      </x:c>
      <x:c r="D681" s="18" t="str">
        <x:v>CY2026Q2</x:v>
      </x:c>
      <x:c r="E681" s="18" t="str">
        <x:v>BR001</x:v>
      </x:c>
      <x:c r="F681" s="20" t="n">
        <x:v>46150.5</x:v>
      </x:c>
      <x:c r="G681" s="18" t="str">
        <x:v>Funded</x:v>
      </x:c>
      <x:c r="H681" s="23" t="n">
        <x:v>34500</x:v>
      </x:c>
      <x:c r="I681" s="18" t="str">
        <x:v>Home improvement loan</x:v>
      </x:c>
      <x:c r="J681" s="18" t="str">
        <x:v>New customer</x:v>
      </x:c>
      <x:c r="K681" s="20" t="n">
        <x:v>46156.5</x:v>
      </x:c>
    </x:row>
    <x:row r="682" ht="15" hidden="0" customHeight="1">
      <x:c r="A682" s="18" t="str">
        <x:v>LN000681</x:v>
      </x:c>
      <x:c r="B682" s="18" t="str">
        <x:v>LOS-SYN-0000681</x:v>
      </x:c>
      <x:c r="C682" s="18" t="str">
        <x:v>EMP003</x:v>
      </x:c>
      <x:c r="D682" s="18" t="str">
        <x:v>CY2026Q2</x:v>
      </x:c>
      <x:c r="E682" s="18" t="str">
        <x:v>BR001</x:v>
      </x:c>
      <x:c r="F682" s="20" t="n">
        <x:v>46153.5</x:v>
      </x:c>
      <x:c r="G682" s="18" t="str">
        <x:v>Funded</x:v>
      </x:c>
      <x:c r="H682" s="23" t="n">
        <x:v>40000</x:v>
      </x:c>
      <x:c r="I682" s="18" t="str">
        <x:v>Personal loan</x:v>
      </x:c>
      <x:c r="J682" s="18" t="str">
        <x:v>New customer</x:v>
      </x:c>
      <x:c r="K682" s="20" t="n">
        <x:v>46156.5</x:v>
      </x:c>
    </x:row>
    <x:row r="683" ht="15" hidden="0" customHeight="1">
      <x:c r="A683" s="18" t="str">
        <x:v>LN000682</x:v>
      </x:c>
      <x:c r="B683" s="18" t="str">
        <x:v>LOS-SYN-0000682</x:v>
      </x:c>
      <x:c r="C683" s="18" t="str">
        <x:v>EMP003</x:v>
      </x:c>
      <x:c r="D683" s="18" t="str">
        <x:v>CY2026Q2</x:v>
      </x:c>
      <x:c r="E683" s="18" t="str">
        <x:v>BR001</x:v>
      </x:c>
      <x:c r="F683" s="20" t="n">
        <x:v>46152.5</x:v>
      </x:c>
      <x:c r="G683" s="18" t="str">
        <x:v>Funded</x:v>
      </x:c>
      <x:c r="H683" s="23" t="n">
        <x:v>34000</x:v>
      </x:c>
      <x:c r="I683" s="18" t="str">
        <x:v>Debt consolidation loan</x:v>
      </x:c>
      <x:c r="J683" s="18" t="str">
        <x:v>New customer</x:v>
      </x:c>
      <x:c r="K683" s="20" t="n">
        <x:v>46161.5</x:v>
      </x:c>
    </x:row>
    <x:row r="684" ht="15" hidden="0" customHeight="1">
      <x:c r="A684" s="18" t="str">
        <x:v>LN000683</x:v>
      </x:c>
      <x:c r="B684" s="18" t="str">
        <x:v>LOS-SYN-0000683</x:v>
      </x:c>
      <x:c r="C684" s="18" t="str">
        <x:v>EMP003</x:v>
      </x:c>
      <x:c r="D684" s="18" t="str">
        <x:v>CY2026Q2</x:v>
      </x:c>
      <x:c r="E684" s="18" t="str">
        <x:v>BR001</x:v>
      </x:c>
      <x:c r="F684" s="20" t="n">
        <x:v>46161.5</x:v>
      </x:c>
      <x:c r="G684" s="18" t="str">
        <x:v>Funded</x:v>
      </x:c>
      <x:c r="H684" s="23" t="n">
        <x:v>30000</x:v>
      </x:c>
      <x:c r="I684" s="18" t="str">
        <x:v>Home improvement loan</x:v>
      </x:c>
      <x:c r="J684" s="18" t="str">
        <x:v>Referral</x:v>
      </x:c>
      <x:c r="K684" s="20" t="n">
        <x:v>46171.5</x:v>
      </x:c>
    </x:row>
    <x:row r="685" ht="15" hidden="0" customHeight="1">
      <x:c r="A685" s="18" t="str">
        <x:v>LN000684</x:v>
      </x:c>
      <x:c r="B685" s="18" t="str">
        <x:v>LOS-SYN-0000684</x:v>
      </x:c>
      <x:c r="C685" s="18" t="str">
        <x:v>EMP003</x:v>
      </x:c>
      <x:c r="D685" s="18" t="str">
        <x:v>CY2026Q2</x:v>
      </x:c>
      <x:c r="E685" s="18" t="str">
        <x:v>BR001</x:v>
      </x:c>
      <x:c r="F685" s="20" t="n">
        <x:v>46175.5</x:v>
      </x:c>
      <x:c r="G685" s="18" t="str">
        <x:v>Funded</x:v>
      </x:c>
      <x:c r="H685" s="23" t="n">
        <x:v>53000</x:v>
      </x:c>
      <x:c r="I685" s="18" t="str">
        <x:v>Debt consolidation loan</x:v>
      </x:c>
      <x:c r="J685" s="18" t="str">
        <x:v>Referral</x:v>
      </x:c>
      <x:c r="K685" s="20" t="n">
        <x:v>46180.5</x:v>
      </x:c>
    </x:row>
    <x:row r="686" ht="15" hidden="0" customHeight="1">
      <x:c r="A686" s="18" t="str">
        <x:v>LN000685</x:v>
      </x:c>
      <x:c r="B686" s="18" t="str">
        <x:v>LOS-SYN-0000685</x:v>
      </x:c>
      <x:c r="C686" s="18" t="str">
        <x:v>EMP003</x:v>
      </x:c>
      <x:c r="D686" s="18" t="str">
        <x:v>CY2026Q2</x:v>
      </x:c>
      <x:c r="E686" s="18" t="str">
        <x:v>BR001</x:v>
      </x:c>
      <x:c r="F686" s="20" t="n">
        <x:v>46156.5</x:v>
      </x:c>
      <x:c r="G686" s="18" t="str">
        <x:v>Funded</x:v>
      </x:c>
      <x:c r="H686" s="23" t="n">
        <x:v>46500</x:v>
      </x:c>
      <x:c r="I686" s="18" t="str">
        <x:v>Debt consolidation loan</x:v>
      </x:c>
      <x:c r="J686" s="18" t="str">
        <x:v>New customer</x:v>
      </x:c>
      <x:c r="K686" s="20" t="n">
        <x:v>46166.5</x:v>
      </x:c>
    </x:row>
    <x:row r="687" ht="15" hidden="0" customHeight="1">
      <x:c r="A687" s="18" t="str">
        <x:v>LN000686</x:v>
      </x:c>
      <x:c r="B687" s="18" t="str">
        <x:v>LOS-SYN-0000686</x:v>
      </x:c>
      <x:c r="C687" s="18" t="str">
        <x:v>EMP003</x:v>
      </x:c>
      <x:c r="D687" s="18" t="str">
        <x:v>CY2026Q2</x:v>
      </x:c>
      <x:c r="E687" s="18" t="str">
        <x:v>BR001</x:v>
      </x:c>
      <x:c r="F687" s="20" t="n">
        <x:v>46124.5</x:v>
      </x:c>
      <x:c r="G687" s="18" t="str">
        <x:v>Funded</x:v>
      </x:c>
      <x:c r="H687" s="23" t="n">
        <x:v>31500</x:v>
      </x:c>
      <x:c r="I687" s="18" t="str">
        <x:v>Personal loan</x:v>
      </x:c>
      <x:c r="J687" s="18" t="str">
        <x:v>Existing customer</x:v>
      </x:c>
      <x:c r="K687" s="20" t="n">
        <x:v>46133.5</x:v>
      </x:c>
    </x:row>
    <x:row r="688" ht="15" hidden="0" customHeight="1">
      <x:c r="A688" s="18" t="str">
        <x:v>LN000687</x:v>
      </x:c>
      <x:c r="B688" s="18" t="str">
        <x:v>LOS-SYN-0000687</x:v>
      </x:c>
      <x:c r="C688" s="18" t="str">
        <x:v>EMP004</x:v>
      </x:c>
      <x:c r="D688" s="18" t="str">
        <x:v>CY2026Q2</x:v>
      </x:c>
      <x:c r="E688" s="18" t="str">
        <x:v>BR002</x:v>
      </x:c>
      <x:c r="F688" s="20" t="n">
        <x:v>46184.5</x:v>
      </x:c>
      <x:c r="G688" s="18" t="str">
        <x:v>Funded</x:v>
      </x:c>
      <x:c r="H688" s="23" t="n">
        <x:v>48000</x:v>
      </x:c>
      <x:c r="I688" s="18" t="str">
        <x:v>Auto loan</x:v>
      </x:c>
      <x:c r="J688" s="18" t="str">
        <x:v>Existing customer</x:v>
      </x:c>
      <x:c r="K688" s="20" t="n">
        <x:v>46195.5</x:v>
      </x:c>
    </x:row>
    <x:row r="689" ht="15" hidden="0" customHeight="1">
      <x:c r="A689" s="18" t="str">
        <x:v>LN000688</x:v>
      </x:c>
      <x:c r="B689" s="18" t="str">
        <x:v>LOS-SYN-0000688</x:v>
      </x:c>
      <x:c r="C689" s="18" t="str">
        <x:v>EMP004</x:v>
      </x:c>
      <x:c r="D689" s="18" t="str">
        <x:v>CY2026Q2</x:v>
      </x:c>
      <x:c r="E689" s="18" t="str">
        <x:v>BR002</x:v>
      </x:c>
      <x:c r="F689" s="20" t="n">
        <x:v>46139.5</x:v>
      </x:c>
      <x:c r="G689" s="18" t="str">
        <x:v>Funded</x:v>
      </x:c>
      <x:c r="H689" s="23" t="n">
        <x:v>49000</x:v>
      </x:c>
      <x:c r="I689" s="18" t="str">
        <x:v>Personal loan</x:v>
      </x:c>
      <x:c r="J689" s="18" t="str">
        <x:v>Existing customer</x:v>
      </x:c>
      <x:c r="K689" s="20" t="n">
        <x:v>46142.5</x:v>
      </x:c>
    </x:row>
    <x:row r="690" ht="15" hidden="0" customHeight="1">
      <x:c r="A690" s="18" t="str">
        <x:v>LN000689</x:v>
      </x:c>
      <x:c r="B690" s="18" t="str">
        <x:v>LOS-SYN-0000689</x:v>
      </x:c>
      <x:c r="C690" s="18" t="str">
        <x:v>EMP004</x:v>
      </x:c>
      <x:c r="D690" s="18" t="str">
        <x:v>CY2026Q2</x:v>
      </x:c>
      <x:c r="E690" s="18" t="str">
        <x:v>BR002</x:v>
      </x:c>
      <x:c r="F690" s="20" t="n">
        <x:v>46195.5</x:v>
      </x:c>
      <x:c r="G690" s="18" t="str">
        <x:v>Funded</x:v>
      </x:c>
      <x:c r="H690" s="23" t="n">
        <x:v>55000</x:v>
      </x:c>
      <x:c r="I690" s="18" t="str">
        <x:v>Home improvement loan</x:v>
      </x:c>
      <x:c r="J690" s="18" t="str">
        <x:v>New customer</x:v>
      </x:c>
      <x:c r="K690" s="20" t="n">
        <x:v>46204.5</x:v>
      </x:c>
    </x:row>
    <x:row r="691" ht="15" hidden="0" customHeight="1">
      <x:c r="A691" s="18" t="str">
        <x:v>LN000690</x:v>
      </x:c>
      <x:c r="B691" s="18" t="str">
        <x:v>LOS-SYN-0000690</x:v>
      </x:c>
      <x:c r="C691" s="18" t="str">
        <x:v>EMP004</x:v>
      </x:c>
      <x:c r="D691" s="18" t="str">
        <x:v>CY2026Q2</x:v>
      </x:c>
      <x:c r="E691" s="18" t="str">
        <x:v>BR002</x:v>
      </x:c>
      <x:c r="F691" s="20" t="n">
        <x:v>46138.5</x:v>
      </x:c>
      <x:c r="G691" s="18" t="str">
        <x:v>Funded</x:v>
      </x:c>
      <x:c r="H691" s="23" t="n">
        <x:v>49500</x:v>
      </x:c>
      <x:c r="I691" s="18" t="str">
        <x:v>Home improvement loan</x:v>
      </x:c>
      <x:c r="J691" s="18" t="str">
        <x:v>New customer</x:v>
      </x:c>
      <x:c r="K691" s="20" t="n">
        <x:v>46145.5</x:v>
      </x:c>
    </x:row>
    <x:row r="692" ht="15" hidden="0" customHeight="1">
      <x:c r="A692" s="18" t="str">
        <x:v>LN000691</x:v>
      </x:c>
      <x:c r="B692" s="18" t="str">
        <x:v>LOS-SYN-0000691</x:v>
      </x:c>
      <x:c r="C692" s="18" t="str">
        <x:v>EMP004</x:v>
      </x:c>
      <x:c r="D692" s="18" t="str">
        <x:v>CY2026Q2</x:v>
      </x:c>
      <x:c r="E692" s="18" t="str">
        <x:v>BR002</x:v>
      </x:c>
      <x:c r="F692" s="20" t="n">
        <x:v>46130.5</x:v>
      </x:c>
      <x:c r="G692" s="18" t="str">
        <x:v>Funded</x:v>
      </x:c>
      <x:c r="H692" s="23" t="n">
        <x:v>52500</x:v>
      </x:c>
      <x:c r="I692" s="18" t="str">
        <x:v>Personal loan</x:v>
      </x:c>
      <x:c r="J692" s="18" t="str">
        <x:v>Referral</x:v>
      </x:c>
      <x:c r="K692" s="20" t="n">
        <x:v>46137.5</x:v>
      </x:c>
    </x:row>
    <x:row r="693" ht="15" hidden="0" customHeight="1">
      <x:c r="A693" s="18" t="str">
        <x:v>LN000692</x:v>
      </x:c>
      <x:c r="B693" s="18" t="str">
        <x:v>LOS-SYN-0000692</x:v>
      </x:c>
      <x:c r="C693" s="18" t="str">
        <x:v>EMP004</x:v>
      </x:c>
      <x:c r="D693" s="18" t="str">
        <x:v>CY2026Q2</x:v>
      </x:c>
      <x:c r="E693" s="18" t="str">
        <x:v>BR002</x:v>
      </x:c>
      <x:c r="F693" s="20" t="n">
        <x:v>46143.5</x:v>
      </x:c>
      <x:c r="G693" s="18" t="str">
        <x:v>Funded</x:v>
      </x:c>
      <x:c r="H693" s="23" t="n">
        <x:v>35000</x:v>
      </x:c>
      <x:c r="I693" s="18" t="str">
        <x:v>Personal loan</x:v>
      </x:c>
      <x:c r="J693" s="18" t="str">
        <x:v>New customer</x:v>
      </x:c>
      <x:c r="K693" s="20" t="n">
        <x:v>46149.5</x:v>
      </x:c>
    </x:row>
    <x:row r="694" ht="15" hidden="0" customHeight="1">
      <x:c r="A694" s="18" t="str">
        <x:v>LN000693</x:v>
      </x:c>
      <x:c r="B694" s="18" t="str">
        <x:v>LOS-SYN-0000693</x:v>
      </x:c>
      <x:c r="C694" s="18" t="str">
        <x:v>EMP005</x:v>
      </x:c>
      <x:c r="D694" s="18" t="str">
        <x:v>CY2026Q2</x:v>
      </x:c>
      <x:c r="E694" s="18" t="str">
        <x:v>BR002</x:v>
      </x:c>
      <x:c r="F694" s="20" t="n">
        <x:v>46187.5</x:v>
      </x:c>
      <x:c r="G694" s="18" t="str">
        <x:v>Funded</x:v>
      </x:c>
      <x:c r="H694" s="23" t="n">
        <x:v>52500</x:v>
      </x:c>
      <x:c r="I694" s="18" t="str">
        <x:v>Home improvement loan</x:v>
      </x:c>
      <x:c r="J694" s="18" t="str">
        <x:v>New customer</x:v>
      </x:c>
      <x:c r="K694" s="20" t="n">
        <x:v>46198.5</x:v>
      </x:c>
    </x:row>
    <x:row r="695" ht="15" hidden="0" customHeight="1">
      <x:c r="A695" s="18" t="str">
        <x:v>LN000694</x:v>
      </x:c>
      <x:c r="B695" s="18" t="str">
        <x:v>LOS-SYN-0000694</x:v>
      </x:c>
      <x:c r="C695" s="18" t="str">
        <x:v>EMP005</x:v>
      </x:c>
      <x:c r="D695" s="18" t="str">
        <x:v>CY2026Q2</x:v>
      </x:c>
      <x:c r="E695" s="18" t="str">
        <x:v>BR002</x:v>
      </x:c>
      <x:c r="F695" s="20" t="n">
        <x:v>46179.5</x:v>
      </x:c>
      <x:c r="G695" s="18" t="str">
        <x:v>Funded</x:v>
      </x:c>
      <x:c r="H695" s="23" t="n">
        <x:v>50500</x:v>
      </x:c>
      <x:c r="I695" s="18" t="str">
        <x:v>Home improvement loan</x:v>
      </x:c>
      <x:c r="J695" s="18" t="str">
        <x:v>New customer</x:v>
      </x:c>
      <x:c r="K695" s="20" t="n">
        <x:v>46191.5</x:v>
      </x:c>
    </x:row>
    <x:row r="696" ht="15" hidden="0" customHeight="1">
      <x:c r="A696" s="18" t="str">
        <x:v>LN000695</x:v>
      </x:c>
      <x:c r="B696" s="18" t="str">
        <x:v>LOS-SYN-0000695</x:v>
      </x:c>
      <x:c r="C696" s="18" t="str">
        <x:v>EMP005</x:v>
      </x:c>
      <x:c r="D696" s="18" t="str">
        <x:v>CY2026Q2</x:v>
      </x:c>
      <x:c r="E696" s="18" t="str">
        <x:v>BR002</x:v>
      </x:c>
      <x:c r="F696" s="20" t="n">
        <x:v>46114.5</x:v>
      </x:c>
      <x:c r="G696" s="18" t="str">
        <x:v>Funded</x:v>
      </x:c>
      <x:c r="H696" s="23" t="n">
        <x:v>51000</x:v>
      </x:c>
      <x:c r="I696" s="18" t="str">
        <x:v>Home improvement loan</x:v>
      </x:c>
      <x:c r="J696" s="18" t="str">
        <x:v>Referral</x:v>
      </x:c>
      <x:c r="K696" s="20" t="n">
        <x:v>46118.5</x:v>
      </x:c>
    </x:row>
    <x:row r="697" ht="15" hidden="0" customHeight="1">
      <x:c r="A697" s="18" t="str">
        <x:v>LN000696</x:v>
      </x:c>
      <x:c r="B697" s="18" t="str">
        <x:v>LOS-SYN-0000696</x:v>
      </x:c>
      <x:c r="C697" s="18" t="str">
        <x:v>EMP005</x:v>
      </x:c>
      <x:c r="D697" s="18" t="str">
        <x:v>CY2026Q2</x:v>
      </x:c>
      <x:c r="E697" s="18" t="str">
        <x:v>BR002</x:v>
      </x:c>
      <x:c r="F697" s="20" t="n">
        <x:v>46118.5</x:v>
      </x:c>
      <x:c r="G697" s="18" t="str">
        <x:v>Funded</x:v>
      </x:c>
      <x:c r="H697" s="23" t="n">
        <x:v>48000</x:v>
      </x:c>
      <x:c r="I697" s="18" t="str">
        <x:v>Debt consolidation loan</x:v>
      </x:c>
      <x:c r="J697" s="18" t="str">
        <x:v>Referral</x:v>
      </x:c>
      <x:c r="K697" s="20" t="n">
        <x:v>46126.5</x:v>
      </x:c>
    </x:row>
    <x:row r="698" ht="15" hidden="0" customHeight="1">
      <x:c r="A698" s="18" t="str">
        <x:v>LN000697</x:v>
      </x:c>
      <x:c r="B698" s="18" t="str">
        <x:v>LOS-SYN-0000697</x:v>
      </x:c>
      <x:c r="C698" s="18" t="str">
        <x:v>EMP005</x:v>
      </x:c>
      <x:c r="D698" s="18" t="str">
        <x:v>CY2026Q2</x:v>
      </x:c>
      <x:c r="E698" s="18" t="str">
        <x:v>BR002</x:v>
      </x:c>
      <x:c r="F698" s="20" t="n">
        <x:v>46184.5</x:v>
      </x:c>
      <x:c r="G698" s="18" t="str">
        <x:v>Funded</x:v>
      </x:c>
      <x:c r="H698" s="23" t="n">
        <x:v>49500</x:v>
      </x:c>
      <x:c r="I698" s="18" t="str">
        <x:v>Home improvement loan</x:v>
      </x:c>
      <x:c r="J698" s="18" t="str">
        <x:v>New customer</x:v>
      </x:c>
      <x:c r="K698" s="20" t="n">
        <x:v>46189.5</x:v>
      </x:c>
    </x:row>
    <x:row r="699" ht="15" hidden="0" customHeight="1">
      <x:c r="A699" s="18" t="str">
        <x:v>LN000698</x:v>
      </x:c>
      <x:c r="B699" s="18" t="str">
        <x:v>LOS-SYN-0000698</x:v>
      </x:c>
      <x:c r="C699" s="18" t="str">
        <x:v>EMP005</x:v>
      </x:c>
      <x:c r="D699" s="18" t="str">
        <x:v>CY2026Q2</x:v>
      </x:c>
      <x:c r="E699" s="18" t="str">
        <x:v>BR002</x:v>
      </x:c>
      <x:c r="F699" s="20" t="n">
        <x:v>46172.5</x:v>
      </x:c>
      <x:c r="G699" s="18" t="str">
        <x:v>Funded</x:v>
      </x:c>
      <x:c r="H699" s="23" t="n">
        <x:v>49000</x:v>
      </x:c>
      <x:c r="I699" s="18" t="str">
        <x:v>Debt consolidation loan</x:v>
      </x:c>
      <x:c r="J699" s="18" t="str">
        <x:v>New customer</x:v>
      </x:c>
      <x:c r="K699" s="20" t="n">
        <x:v>46179.5</x:v>
      </x:c>
    </x:row>
    <x:row r="700" ht="15" hidden="0" customHeight="1">
      <x:c r="A700" s="18" t="str">
        <x:v>LN000699</x:v>
      </x:c>
      <x:c r="B700" s="18" t="str">
        <x:v>LOS-SYN-0000699</x:v>
      </x:c>
      <x:c r="C700" s="18" t="str">
        <x:v>EMP005</x:v>
      </x:c>
      <x:c r="D700" s="18" t="str">
        <x:v>CY2026Q2</x:v>
      </x:c>
      <x:c r="E700" s="18" t="str">
        <x:v>BR002</x:v>
      </x:c>
      <x:c r="F700" s="20" t="n">
        <x:v>46130.5</x:v>
      </x:c>
      <x:c r="G700" s="18" t="str">
        <x:v>Funded</x:v>
      </x:c>
      <x:c r="H700" s="23" t="n">
        <x:v>43500</x:v>
      </x:c>
      <x:c r="I700" s="18" t="str">
        <x:v>Home improvement loan</x:v>
      </x:c>
      <x:c r="J700" s="18" t="str">
        <x:v>New customer</x:v>
      </x:c>
      <x:c r="K700" s="20" t="n">
        <x:v>46140.5</x:v>
      </x:c>
    </x:row>
    <x:row r="701" ht="15" hidden="0" customHeight="1">
      <x:c r="A701" s="18" t="str">
        <x:v>LN000700</x:v>
      </x:c>
      <x:c r="B701" s="18" t="str">
        <x:v>LOS-SYN-0000700</x:v>
      </x:c>
      <x:c r="C701" s="18" t="str">
        <x:v>EMP005</x:v>
      </x:c>
      <x:c r="D701" s="18" t="str">
        <x:v>CY2026Q2</x:v>
      </x:c>
      <x:c r="E701" s="18" t="str">
        <x:v>BR002</x:v>
      </x:c>
      <x:c r="F701" s="20" t="n">
        <x:v>46177.5</x:v>
      </x:c>
      <x:c r="G701" s="18" t="str">
        <x:v>Funded</x:v>
      </x:c>
      <x:c r="H701" s="23" t="n">
        <x:v>35000</x:v>
      </x:c>
      <x:c r="I701" s="18" t="str">
        <x:v>Debt consolidation loan</x:v>
      </x:c>
      <x:c r="J701" s="18" t="str">
        <x:v>Referral</x:v>
      </x:c>
      <x:c r="K701" s="20" t="n">
        <x:v>46184.5</x:v>
      </x:c>
    </x:row>
    <x:row r="702" ht="15" hidden="0" customHeight="1">
      <x:c r="A702" s="18" t="str">
        <x:v>LN000701</x:v>
      </x:c>
      <x:c r="B702" s="18" t="str">
        <x:v>LOS-SYN-0000701</x:v>
      </x:c>
      <x:c r="C702" s="18" t="str">
        <x:v>EMP005</x:v>
      </x:c>
      <x:c r="D702" s="18" t="str">
        <x:v>CY2026Q2</x:v>
      </x:c>
      <x:c r="E702" s="18" t="str">
        <x:v>BR002</x:v>
      </x:c>
      <x:c r="F702" s="20" t="n">
        <x:v>46195.5</x:v>
      </x:c>
      <x:c r="G702" s="18" t="str">
        <x:v>Funded</x:v>
      </x:c>
      <x:c r="H702" s="23" t="n">
        <x:v>32000</x:v>
      </x:c>
      <x:c r="I702" s="18" t="str">
        <x:v>Personal loan</x:v>
      </x:c>
      <x:c r="J702" s="18" t="str">
        <x:v>New customer</x:v>
      </x:c>
      <x:c r="K702" s="20" t="n">
        <x:v>46207.5</x:v>
      </x:c>
    </x:row>
    <x:row r="703" ht="15" hidden="0" customHeight="1">
      <x:c r="A703" s="18" t="str">
        <x:v>LN000702</x:v>
      </x:c>
      <x:c r="B703" s="18" t="str">
        <x:v>LOS-SYN-0000702</x:v>
      </x:c>
      <x:c r="C703" s="18" t="str">
        <x:v>EMP005</x:v>
      </x:c>
      <x:c r="D703" s="18" t="str">
        <x:v>CY2026Q2</x:v>
      </x:c>
      <x:c r="E703" s="18" t="str">
        <x:v>BR002</x:v>
      </x:c>
      <x:c r="F703" s="20" t="n">
        <x:v>46192.5</x:v>
      </x:c>
      <x:c r="G703" s="18" t="str">
        <x:v>Cancelled</x:v>
      </x:c>
      <x:c r="H703" s="23" t="n">
        <x:v>20000</x:v>
      </x:c>
      <x:c r="I703" s="18" t="str">
        <x:v>Personal loan</x:v>
      </x:c>
      <x:c r="J703" s="18" t="str">
        <x:v>New customer</x:v>
      </x:c>
      <x:c r="K703" s="20"/>
    </x:row>
    <x:row r="704" ht="15" hidden="0" customHeight="1">
      <x:c r="A704" s="18" t="str">
        <x:v>LN000703</x:v>
      </x:c>
      <x:c r="B704" s="18" t="str">
        <x:v>LOS-SYN-0000703</x:v>
      </x:c>
      <x:c r="C704" s="18" t="str">
        <x:v>EMP006</x:v>
      </x:c>
      <x:c r="D704" s="18" t="str">
        <x:v>CY2026Q2</x:v>
      </x:c>
      <x:c r="E704" s="18" t="str">
        <x:v>BR002</x:v>
      </x:c>
      <x:c r="F704" s="20" t="n">
        <x:v>46178.5</x:v>
      </x:c>
      <x:c r="G704" s="18" t="str">
        <x:v>Funded</x:v>
      </x:c>
      <x:c r="H704" s="23" t="n">
        <x:v>40500</x:v>
      </x:c>
      <x:c r="I704" s="18" t="str">
        <x:v>Home improvement loan</x:v>
      </x:c>
      <x:c r="J704" s="18" t="str">
        <x:v>New customer</x:v>
      </x:c>
      <x:c r="K704" s="20" t="n">
        <x:v>46183.5</x:v>
      </x:c>
    </x:row>
    <x:row r="705" ht="15" hidden="0" customHeight="1">
      <x:c r="A705" s="18" t="str">
        <x:v>LN000704</x:v>
      </x:c>
      <x:c r="B705" s="18" t="str">
        <x:v>LOS-SYN-0000704</x:v>
      </x:c>
      <x:c r="C705" s="18" t="str">
        <x:v>EMP006</x:v>
      </x:c>
      <x:c r="D705" s="18" t="str">
        <x:v>CY2026Q2</x:v>
      </x:c>
      <x:c r="E705" s="18" t="str">
        <x:v>BR002</x:v>
      </x:c>
      <x:c r="F705" s="20" t="n">
        <x:v>46178.5</x:v>
      </x:c>
      <x:c r="G705" s="18" t="str">
        <x:v>Funded</x:v>
      </x:c>
      <x:c r="H705" s="23" t="n">
        <x:v>37000</x:v>
      </x:c>
      <x:c r="I705" s="18" t="str">
        <x:v>Debt consolidation loan</x:v>
      </x:c>
      <x:c r="J705" s="18" t="str">
        <x:v>Existing customer</x:v>
      </x:c>
      <x:c r="K705" s="20" t="n">
        <x:v>46183.5</x:v>
      </x:c>
    </x:row>
    <x:row r="706" ht="15" hidden="0" customHeight="1">
      <x:c r="A706" s="18" t="str">
        <x:v>LN000705</x:v>
      </x:c>
      <x:c r="B706" s="18" t="str">
        <x:v>LOS-SYN-0000705</x:v>
      </x:c>
      <x:c r="C706" s="18" t="str">
        <x:v>EMP006</x:v>
      </x:c>
      <x:c r="D706" s="18" t="str">
        <x:v>CY2026Q2</x:v>
      </x:c>
      <x:c r="E706" s="18" t="str">
        <x:v>BR002</x:v>
      </x:c>
      <x:c r="F706" s="20" t="n">
        <x:v>46131.5</x:v>
      </x:c>
      <x:c r="G706" s="18" t="str">
        <x:v>Funded</x:v>
      </x:c>
      <x:c r="H706" s="23" t="n">
        <x:v>52000</x:v>
      </x:c>
      <x:c r="I706" s="18" t="str">
        <x:v>Debt consolidation loan</x:v>
      </x:c>
      <x:c r="J706" s="18" t="str">
        <x:v>Existing customer</x:v>
      </x:c>
      <x:c r="K706" s="20" t="n">
        <x:v>46134.5</x:v>
      </x:c>
    </x:row>
    <x:row r="707" ht="15" hidden="0" customHeight="1">
      <x:c r="A707" s="18" t="str">
        <x:v>LN000706</x:v>
      </x:c>
      <x:c r="B707" s="18" t="str">
        <x:v>LOS-SYN-0000706</x:v>
      </x:c>
      <x:c r="C707" s="18" t="str">
        <x:v>EMP006</x:v>
      </x:c>
      <x:c r="D707" s="18" t="str">
        <x:v>CY2026Q2</x:v>
      </x:c>
      <x:c r="E707" s="18" t="str">
        <x:v>BR002</x:v>
      </x:c>
      <x:c r="F707" s="20" t="n">
        <x:v>46164.5</x:v>
      </x:c>
      <x:c r="G707" s="18" t="str">
        <x:v>Funded</x:v>
      </x:c>
      <x:c r="H707" s="23" t="n">
        <x:v>44000</x:v>
      </x:c>
      <x:c r="I707" s="18" t="str">
        <x:v>Home improvement loan</x:v>
      </x:c>
      <x:c r="J707" s="18" t="str">
        <x:v>Referral</x:v>
      </x:c>
      <x:c r="K707" s="20" t="n">
        <x:v>46174.5</x:v>
      </x:c>
    </x:row>
    <x:row r="708" ht="15" hidden="0" customHeight="1">
      <x:c r="A708" s="18" t="str">
        <x:v>LN000707</x:v>
      </x:c>
      <x:c r="B708" s="18" t="str">
        <x:v>LOS-SYN-0000707</x:v>
      </x:c>
      <x:c r="C708" s="18" t="str">
        <x:v>EMP006</x:v>
      </x:c>
      <x:c r="D708" s="18" t="str">
        <x:v>CY2026Q2</x:v>
      </x:c>
      <x:c r="E708" s="18" t="str">
        <x:v>BR002</x:v>
      </x:c>
      <x:c r="F708" s="20" t="n">
        <x:v>46140.5</x:v>
      </x:c>
      <x:c r="G708" s="18" t="str">
        <x:v>Funded</x:v>
      </x:c>
      <x:c r="H708" s="23" t="n">
        <x:v>38000</x:v>
      </x:c>
      <x:c r="I708" s="18" t="str">
        <x:v>Personal loan</x:v>
      </x:c>
      <x:c r="J708" s="18" t="str">
        <x:v>Referral</x:v>
      </x:c>
      <x:c r="K708" s="20" t="n">
        <x:v>46151.5</x:v>
      </x:c>
    </x:row>
    <x:row r="709" ht="15" hidden="0" customHeight="1">
      <x:c r="A709" s="18" t="str">
        <x:v>LN000708</x:v>
      </x:c>
      <x:c r="B709" s="18" t="str">
        <x:v>LOS-SYN-0000708</x:v>
      </x:c>
      <x:c r="C709" s="18" t="str">
        <x:v>EMP006</x:v>
      </x:c>
      <x:c r="D709" s="18" t="str">
        <x:v>CY2026Q2</x:v>
      </x:c>
      <x:c r="E709" s="18" t="str">
        <x:v>BR002</x:v>
      </x:c>
      <x:c r="F709" s="20" t="n">
        <x:v>46179.5</x:v>
      </x:c>
      <x:c r="G709" s="18" t="str">
        <x:v>Funded</x:v>
      </x:c>
      <x:c r="H709" s="23" t="n">
        <x:v>53000</x:v>
      </x:c>
      <x:c r="I709" s="18" t="str">
        <x:v>Debt consolidation loan</x:v>
      </x:c>
      <x:c r="J709" s="18" t="str">
        <x:v>Referral</x:v>
      </x:c>
      <x:c r="K709" s="20" t="n">
        <x:v>46184.5</x:v>
      </x:c>
    </x:row>
    <x:row r="710" ht="15" hidden="0" customHeight="1">
      <x:c r="A710" s="18" t="str">
        <x:v>LN000709</x:v>
      </x:c>
      <x:c r="B710" s="18" t="str">
        <x:v>LOS-SYN-0000709</x:v>
      </x:c>
      <x:c r="C710" s="18" t="str">
        <x:v>EMP006</x:v>
      </x:c>
      <x:c r="D710" s="18" t="str">
        <x:v>CY2026Q2</x:v>
      </x:c>
      <x:c r="E710" s="18" t="str">
        <x:v>BR002</x:v>
      </x:c>
      <x:c r="F710" s="20" t="n">
        <x:v>46165.5</x:v>
      </x:c>
      <x:c r="G710" s="18" t="str">
        <x:v>Funded</x:v>
      </x:c>
      <x:c r="H710" s="23" t="n">
        <x:v>52500</x:v>
      </x:c>
      <x:c r="I710" s="18" t="str">
        <x:v>Debt consolidation loan</x:v>
      </x:c>
      <x:c r="J710" s="18" t="str">
        <x:v>Referral</x:v>
      </x:c>
      <x:c r="K710" s="20" t="n">
        <x:v>46174.5</x:v>
      </x:c>
    </x:row>
    <x:row r="711" ht="15" hidden="0" customHeight="1">
      <x:c r="A711" s="18" t="str">
        <x:v>LN000710</x:v>
      </x:c>
      <x:c r="B711" s="18" t="str">
        <x:v>LOS-SYN-0000710</x:v>
      </x:c>
      <x:c r="C711" s="18" t="str">
        <x:v>EMP006</x:v>
      </x:c>
      <x:c r="D711" s="18" t="str">
        <x:v>CY2026Q2</x:v>
      </x:c>
      <x:c r="E711" s="18" t="str">
        <x:v>BR002</x:v>
      </x:c>
      <x:c r="F711" s="20" t="n">
        <x:v>46166.5</x:v>
      </x:c>
      <x:c r="G711" s="18" t="str">
        <x:v>Funded</x:v>
      </x:c>
      <x:c r="H711" s="23" t="n">
        <x:v>46500</x:v>
      </x:c>
      <x:c r="I711" s="18" t="str">
        <x:v>Personal loan</x:v>
      </x:c>
      <x:c r="J711" s="18" t="str">
        <x:v>Existing customer</x:v>
      </x:c>
      <x:c r="K711" s="20" t="n">
        <x:v>46171.5</x:v>
      </x:c>
    </x:row>
    <x:row r="712" ht="15" hidden="0" customHeight="1">
      <x:c r="A712" s="18" t="str">
        <x:v>LN000711</x:v>
      </x:c>
      <x:c r="B712" s="18" t="str">
        <x:v>LOS-SYN-0000711</x:v>
      </x:c>
      <x:c r="C712" s="18" t="str">
        <x:v>EMP006</x:v>
      </x:c>
      <x:c r="D712" s="18" t="str">
        <x:v>CY2026Q2</x:v>
      </x:c>
      <x:c r="E712" s="18" t="str">
        <x:v>BR002</x:v>
      </x:c>
      <x:c r="F712" s="20" t="n">
        <x:v>46146.5</x:v>
      </x:c>
      <x:c r="G712" s="18" t="str">
        <x:v>Funded</x:v>
      </x:c>
      <x:c r="H712" s="23" t="n">
        <x:v>29500</x:v>
      </x:c>
      <x:c r="I712" s="18" t="str">
        <x:v>Debt consolidation loan</x:v>
      </x:c>
      <x:c r="J712" s="18" t="str">
        <x:v>Existing customer</x:v>
      </x:c>
      <x:c r="K712" s="20" t="n">
        <x:v>46156.5</x:v>
      </x:c>
    </x:row>
    <x:row r="713" ht="15" hidden="0" customHeight="1">
      <x:c r="A713" s="18" t="str">
        <x:v>LN000712</x:v>
      </x:c>
      <x:c r="B713" s="18" t="str">
        <x:v>LOS-SYN-0000712</x:v>
      </x:c>
      <x:c r="C713" s="18" t="str">
        <x:v>EMP007</x:v>
      </x:c>
      <x:c r="D713" s="18" t="str">
        <x:v>CY2026Q2</x:v>
      </x:c>
      <x:c r="E713" s="18" t="str">
        <x:v>BR003</x:v>
      </x:c>
      <x:c r="F713" s="20" t="n">
        <x:v>46158.5</x:v>
      </x:c>
      <x:c r="G713" s="18" t="str">
        <x:v>Funded</x:v>
      </x:c>
      <x:c r="H713" s="23" t="n">
        <x:v>50000</x:v>
      </x:c>
      <x:c r="I713" s="18" t="str">
        <x:v>Auto loan</x:v>
      </x:c>
      <x:c r="J713" s="18" t="str">
        <x:v>Referral</x:v>
      </x:c>
      <x:c r="K713" s="20" t="n">
        <x:v>46161.5</x:v>
      </x:c>
    </x:row>
    <x:row r="714" ht="15" hidden="0" customHeight="1">
      <x:c r="A714" s="18" t="str">
        <x:v>LN000713</x:v>
      </x:c>
      <x:c r="B714" s="18" t="str">
        <x:v>LOS-SYN-0000713</x:v>
      </x:c>
      <x:c r="C714" s="18" t="str">
        <x:v>EMP007</x:v>
      </x:c>
      <x:c r="D714" s="18" t="str">
        <x:v>CY2026Q2</x:v>
      </x:c>
      <x:c r="E714" s="18" t="str">
        <x:v>BR003</x:v>
      </x:c>
      <x:c r="F714" s="20" t="n">
        <x:v>46146.5</x:v>
      </x:c>
      <x:c r="G714" s="18" t="str">
        <x:v>Funded</x:v>
      </x:c>
      <x:c r="H714" s="23" t="n">
        <x:v>41500</x:v>
      </x:c>
      <x:c r="I714" s="18" t="str">
        <x:v>Personal loan</x:v>
      </x:c>
      <x:c r="J714" s="18" t="str">
        <x:v>New customer</x:v>
      </x:c>
      <x:c r="K714" s="20" t="n">
        <x:v>46153.5</x:v>
      </x:c>
    </x:row>
    <x:row r="715" ht="15" hidden="0" customHeight="1">
      <x:c r="A715" s="18" t="str">
        <x:v>LN000714</x:v>
      </x:c>
      <x:c r="B715" s="18" t="str">
        <x:v>LOS-SYN-0000714</x:v>
      </x:c>
      <x:c r="C715" s="18" t="str">
        <x:v>EMP007</x:v>
      </x:c>
      <x:c r="D715" s="18" t="str">
        <x:v>CY2026Q2</x:v>
      </x:c>
      <x:c r="E715" s="18" t="str">
        <x:v>BR003</x:v>
      </x:c>
      <x:c r="F715" s="20" t="n">
        <x:v>46152.5</x:v>
      </x:c>
      <x:c r="G715" s="18" t="str">
        <x:v>Funded</x:v>
      </x:c>
      <x:c r="H715" s="23" t="n">
        <x:v>54000</x:v>
      </x:c>
      <x:c r="I715" s="18" t="str">
        <x:v>Auto loan</x:v>
      </x:c>
      <x:c r="J715" s="18" t="str">
        <x:v>Referral</x:v>
      </x:c>
      <x:c r="K715" s="20" t="n">
        <x:v>46155.5</x:v>
      </x:c>
    </x:row>
    <x:row r="716" ht="15" hidden="0" customHeight="1">
      <x:c r="A716" s="18" t="str">
        <x:v>LN000715</x:v>
      </x:c>
      <x:c r="B716" s="18" t="str">
        <x:v>LOS-SYN-0000715</x:v>
      </x:c>
      <x:c r="C716" s="18" t="str">
        <x:v>EMP007</x:v>
      </x:c>
      <x:c r="D716" s="18" t="str">
        <x:v>CY2026Q2</x:v>
      </x:c>
      <x:c r="E716" s="18" t="str">
        <x:v>BR003</x:v>
      </x:c>
      <x:c r="F716" s="20" t="n">
        <x:v>46152.5</x:v>
      </x:c>
      <x:c r="G716" s="18" t="str">
        <x:v>Funded</x:v>
      </x:c>
      <x:c r="H716" s="23" t="n">
        <x:v>44500</x:v>
      </x:c>
      <x:c r="I716" s="18" t="str">
        <x:v>Debt consolidation loan</x:v>
      </x:c>
      <x:c r="J716" s="18" t="str">
        <x:v>New customer</x:v>
      </x:c>
      <x:c r="K716" s="20" t="n">
        <x:v>46160.5</x:v>
      </x:c>
    </x:row>
    <x:row r="717" ht="15" hidden="0" customHeight="1">
      <x:c r="A717" s="18" t="str">
        <x:v>LN000716</x:v>
      </x:c>
      <x:c r="B717" s="18" t="str">
        <x:v>LOS-SYN-0000716</x:v>
      </x:c>
      <x:c r="C717" s="18" t="str">
        <x:v>EMP007</x:v>
      </x:c>
      <x:c r="D717" s="18" t="str">
        <x:v>CY2026Q2</x:v>
      </x:c>
      <x:c r="E717" s="18" t="str">
        <x:v>BR003</x:v>
      </x:c>
      <x:c r="F717" s="20" t="n">
        <x:v>46136.5</x:v>
      </x:c>
      <x:c r="G717" s="18" t="str">
        <x:v>Funded</x:v>
      </x:c>
      <x:c r="H717" s="23" t="n">
        <x:v>39000</x:v>
      </x:c>
      <x:c r="I717" s="18" t="str">
        <x:v>Personal loan</x:v>
      </x:c>
      <x:c r="J717" s="18" t="str">
        <x:v>New customer</x:v>
      </x:c>
      <x:c r="K717" s="20" t="n">
        <x:v>46142.5</x:v>
      </x:c>
    </x:row>
    <x:row r="718" ht="15" hidden="0" customHeight="1">
      <x:c r="A718" s="18" t="str">
        <x:v>LN000717</x:v>
      </x:c>
      <x:c r="B718" s="18" t="str">
        <x:v>LOS-SYN-0000717</x:v>
      </x:c>
      <x:c r="C718" s="18" t="str">
        <x:v>EMP007</x:v>
      </x:c>
      <x:c r="D718" s="18" t="str">
        <x:v>CY2026Q2</x:v>
      </x:c>
      <x:c r="E718" s="18" t="str">
        <x:v>BR003</x:v>
      </x:c>
      <x:c r="F718" s="20" t="n">
        <x:v>46175.5</x:v>
      </x:c>
      <x:c r="G718" s="18" t="str">
        <x:v>Funded</x:v>
      </x:c>
      <x:c r="H718" s="23" t="n">
        <x:v>43000</x:v>
      </x:c>
      <x:c r="I718" s="18" t="str">
        <x:v>Auto loan</x:v>
      </x:c>
      <x:c r="J718" s="18" t="str">
        <x:v>Referral</x:v>
      </x:c>
      <x:c r="K718" s="20" t="n">
        <x:v>46182.5</x:v>
      </x:c>
    </x:row>
    <x:row r="719" ht="15" hidden="0" customHeight="1">
      <x:c r="A719" s="18" t="str">
        <x:v>LN000718</x:v>
      </x:c>
      <x:c r="B719" s="18" t="str">
        <x:v>LOS-SYN-0000718</x:v>
      </x:c>
      <x:c r="C719" s="18" t="str">
        <x:v>EMP007</x:v>
      </x:c>
      <x:c r="D719" s="18" t="str">
        <x:v>CY2026Q2</x:v>
      </x:c>
      <x:c r="E719" s="18" t="str">
        <x:v>BR003</x:v>
      </x:c>
      <x:c r="F719" s="20" t="n">
        <x:v>46141.5</x:v>
      </x:c>
      <x:c r="G719" s="18" t="str">
        <x:v>Funded</x:v>
      </x:c>
      <x:c r="H719" s="23" t="n">
        <x:v>61500</x:v>
      </x:c>
      <x:c r="I719" s="18" t="str">
        <x:v>Home improvement loan</x:v>
      </x:c>
      <x:c r="J719" s="18" t="str">
        <x:v>Referral</x:v>
      </x:c>
      <x:c r="K719" s="20" t="n">
        <x:v>46144.5</x:v>
      </x:c>
    </x:row>
    <x:row r="720" ht="15" hidden="0" customHeight="1">
      <x:c r="A720" s="18" t="str">
        <x:v>LN000719</x:v>
      </x:c>
      <x:c r="B720" s="18" t="str">
        <x:v>LOS-SYN-0000719</x:v>
      </x:c>
      <x:c r="C720" s="18" t="str">
        <x:v>EMP007</x:v>
      </x:c>
      <x:c r="D720" s="18" t="str">
        <x:v>CY2026Q2</x:v>
      </x:c>
      <x:c r="E720" s="18" t="str">
        <x:v>BR003</x:v>
      </x:c>
      <x:c r="F720" s="20" t="n">
        <x:v>46172.5</x:v>
      </x:c>
      <x:c r="G720" s="18" t="str">
        <x:v>Funded</x:v>
      </x:c>
      <x:c r="H720" s="23" t="n">
        <x:v>50500</x:v>
      </x:c>
      <x:c r="I720" s="18" t="str">
        <x:v>Auto loan</x:v>
      </x:c>
      <x:c r="J720" s="18" t="str">
        <x:v>Referral</x:v>
      </x:c>
      <x:c r="K720" s="20" t="n">
        <x:v>46177.5</x:v>
      </x:c>
    </x:row>
    <x:row r="721" ht="15" hidden="0" customHeight="1">
      <x:c r="A721" s="18" t="str">
        <x:v>LN000720</x:v>
      </x:c>
      <x:c r="B721" s="18" t="str">
        <x:v>LOS-SYN-0000720</x:v>
      </x:c>
      <x:c r="C721" s="18" t="str">
        <x:v>EMP008</x:v>
      </x:c>
      <x:c r="D721" s="18" t="str">
        <x:v>CY2026Q2</x:v>
      </x:c>
      <x:c r="E721" s="18" t="str">
        <x:v>BR003</x:v>
      </x:c>
      <x:c r="F721" s="20" t="n">
        <x:v>46119.5</x:v>
      </x:c>
      <x:c r="G721" s="18" t="str">
        <x:v>Funded</x:v>
      </x:c>
      <x:c r="H721" s="23" t="n">
        <x:v>40000</x:v>
      </x:c>
      <x:c r="I721" s="18" t="str">
        <x:v>Debt consolidation loan</x:v>
      </x:c>
      <x:c r="J721" s="18" t="str">
        <x:v>New customer</x:v>
      </x:c>
      <x:c r="K721" s="20" t="n">
        <x:v>46124.5</x:v>
      </x:c>
    </x:row>
    <x:row r="722" ht="15" hidden="0" customHeight="1">
      <x:c r="A722" s="18" t="str">
        <x:v>LN000721</x:v>
      </x:c>
      <x:c r="B722" s="18" t="str">
        <x:v>LOS-SYN-0000721</x:v>
      </x:c>
      <x:c r="C722" s="18" t="str">
        <x:v>EMP008</x:v>
      </x:c>
      <x:c r="D722" s="18" t="str">
        <x:v>CY2026Q2</x:v>
      </x:c>
      <x:c r="E722" s="18" t="str">
        <x:v>BR003</x:v>
      </x:c>
      <x:c r="F722" s="20" t="n">
        <x:v>46130.5</x:v>
      </x:c>
      <x:c r="G722" s="18" t="str">
        <x:v>Funded</x:v>
      </x:c>
      <x:c r="H722" s="23" t="n">
        <x:v>38000</x:v>
      </x:c>
      <x:c r="I722" s="18" t="str">
        <x:v>Auto loan</x:v>
      </x:c>
      <x:c r="J722" s="18" t="str">
        <x:v>Referral</x:v>
      </x:c>
      <x:c r="K722" s="20" t="n">
        <x:v>46142.5</x:v>
      </x:c>
    </x:row>
    <x:row r="723" ht="15" hidden="0" customHeight="1">
      <x:c r="A723" s="18" t="str">
        <x:v>LN000722</x:v>
      </x:c>
      <x:c r="B723" s="18" t="str">
        <x:v>LOS-SYN-0000722</x:v>
      </x:c>
      <x:c r="C723" s="18" t="str">
        <x:v>EMP008</x:v>
      </x:c>
      <x:c r="D723" s="18" t="str">
        <x:v>CY2026Q2</x:v>
      </x:c>
      <x:c r="E723" s="18" t="str">
        <x:v>BR003</x:v>
      </x:c>
      <x:c r="F723" s="20" t="n">
        <x:v>46149.5</x:v>
      </x:c>
      <x:c r="G723" s="18" t="str">
        <x:v>Funded</x:v>
      </x:c>
      <x:c r="H723" s="23" t="n">
        <x:v>30500</x:v>
      </x:c>
      <x:c r="I723" s="18" t="str">
        <x:v>Auto loan</x:v>
      </x:c>
      <x:c r="J723" s="18" t="str">
        <x:v>Existing customer</x:v>
      </x:c>
      <x:c r="K723" s="20" t="n">
        <x:v>46159.5</x:v>
      </x:c>
    </x:row>
    <x:row r="724" ht="15" hidden="0" customHeight="1">
      <x:c r="A724" s="18" t="str">
        <x:v>LN000723</x:v>
      </x:c>
      <x:c r="B724" s="18" t="str">
        <x:v>LOS-SYN-0000723</x:v>
      </x:c>
      <x:c r="C724" s="18" t="str">
        <x:v>EMP008</x:v>
      </x:c>
      <x:c r="D724" s="18" t="str">
        <x:v>CY2026Q2</x:v>
      </x:c>
      <x:c r="E724" s="18" t="str">
        <x:v>BR003</x:v>
      </x:c>
      <x:c r="F724" s="20" t="n">
        <x:v>46138.5</x:v>
      </x:c>
      <x:c r="G724" s="18" t="str">
        <x:v>Funded</x:v>
      </x:c>
      <x:c r="H724" s="23" t="n">
        <x:v>46500</x:v>
      </x:c>
      <x:c r="I724" s="18" t="str">
        <x:v>Home improvement loan</x:v>
      </x:c>
      <x:c r="J724" s="18" t="str">
        <x:v>New customer</x:v>
      </x:c>
      <x:c r="K724" s="20" t="n">
        <x:v>46145.5</x:v>
      </x:c>
    </x:row>
    <x:row r="725" ht="15" hidden="0" customHeight="1">
      <x:c r="A725" s="18" t="str">
        <x:v>LN000724</x:v>
      </x:c>
      <x:c r="B725" s="18" t="str">
        <x:v>LOS-SYN-0000724</x:v>
      </x:c>
      <x:c r="C725" s="18" t="str">
        <x:v>EMP008</x:v>
      </x:c>
      <x:c r="D725" s="18" t="str">
        <x:v>CY2026Q2</x:v>
      </x:c>
      <x:c r="E725" s="18" t="str">
        <x:v>BR003</x:v>
      </x:c>
      <x:c r="F725" s="20" t="n">
        <x:v>46194.5</x:v>
      </x:c>
      <x:c r="G725" s="18" t="str">
        <x:v>Funded</x:v>
      </x:c>
      <x:c r="H725" s="23" t="n">
        <x:v>39000</x:v>
      </x:c>
      <x:c r="I725" s="18" t="str">
        <x:v>Debt consolidation loan</x:v>
      </x:c>
      <x:c r="J725" s="18" t="str">
        <x:v>New customer</x:v>
      </x:c>
      <x:c r="K725" s="20" t="n">
        <x:v>46200.5</x:v>
      </x:c>
    </x:row>
    <x:row r="726" ht="15" hidden="0" customHeight="1">
      <x:c r="A726" s="18" t="str">
        <x:v>LN000725</x:v>
      </x:c>
      <x:c r="B726" s="18" t="str">
        <x:v>LOS-SYN-0000725</x:v>
      </x:c>
      <x:c r="C726" s="18" t="str">
        <x:v>EMP008</x:v>
      </x:c>
      <x:c r="D726" s="18" t="str">
        <x:v>CY2026Q2</x:v>
      </x:c>
      <x:c r="E726" s="18" t="str">
        <x:v>BR003</x:v>
      </x:c>
      <x:c r="F726" s="20" t="n">
        <x:v>46140.5</x:v>
      </x:c>
      <x:c r="G726" s="18" t="str">
        <x:v>Funded</x:v>
      </x:c>
      <x:c r="H726" s="23" t="n">
        <x:v>37000</x:v>
      </x:c>
      <x:c r="I726" s="18" t="str">
        <x:v>Debt consolidation loan</x:v>
      </x:c>
      <x:c r="J726" s="18" t="str">
        <x:v>New customer</x:v>
      </x:c>
      <x:c r="K726" s="20" t="n">
        <x:v>46152.5</x:v>
      </x:c>
    </x:row>
    <x:row r="727" ht="15" hidden="0" customHeight="1">
      <x:c r="A727" s="18" t="str">
        <x:v>LN000726</x:v>
      </x:c>
      <x:c r="B727" s="18" t="str">
        <x:v>LOS-SYN-0000726</x:v>
      </x:c>
      <x:c r="C727" s="18" t="str">
        <x:v>EMP008</x:v>
      </x:c>
      <x:c r="D727" s="18" t="str">
        <x:v>CY2026Q2</x:v>
      </x:c>
      <x:c r="E727" s="18" t="str">
        <x:v>BR003</x:v>
      </x:c>
      <x:c r="F727" s="20" t="n">
        <x:v>46124.5</x:v>
      </x:c>
      <x:c r="G727" s="18" t="str">
        <x:v>Cancelled</x:v>
      </x:c>
      <x:c r="H727" s="23" t="n">
        <x:v>46000</x:v>
      </x:c>
      <x:c r="I727" s="18" t="str">
        <x:v>Personal loan</x:v>
      </x:c>
      <x:c r="J727" s="18" t="str">
        <x:v>New customer</x:v>
      </x:c>
      <x:c r="K727" s="20"/>
    </x:row>
    <x:row r="728" ht="15" hidden="0" customHeight="1">
      <x:c r="A728" s="18" t="str">
        <x:v>LN000727</x:v>
      </x:c>
      <x:c r="B728" s="18" t="str">
        <x:v>LOS-SYN-0000727</x:v>
      </x:c>
      <x:c r="C728" s="18" t="str">
        <x:v>EMP009</x:v>
      </x:c>
      <x:c r="D728" s="18" t="str">
        <x:v>CY2026Q2</x:v>
      </x:c>
      <x:c r="E728" s="18" t="str">
        <x:v>BR004</x:v>
      </x:c>
      <x:c r="F728" s="20" t="n">
        <x:v>46157.5</x:v>
      </x:c>
      <x:c r="G728" s="18" t="str">
        <x:v>Funded</x:v>
      </x:c>
      <x:c r="H728" s="23" t="n">
        <x:v>37000</x:v>
      </x:c>
      <x:c r="I728" s="18" t="str">
        <x:v>Home improvement loan</x:v>
      </x:c>
      <x:c r="J728" s="18" t="str">
        <x:v>Existing customer</x:v>
      </x:c>
      <x:c r="K728" s="20" t="n">
        <x:v>46164.5</x:v>
      </x:c>
    </x:row>
    <x:row r="729" ht="15" hidden="0" customHeight="1">
      <x:c r="A729" s="18" t="str">
        <x:v>LN000728</x:v>
      </x:c>
      <x:c r="B729" s="18" t="str">
        <x:v>LOS-SYN-0000728</x:v>
      </x:c>
      <x:c r="C729" s="18" t="str">
        <x:v>EMP009</x:v>
      </x:c>
      <x:c r="D729" s="18" t="str">
        <x:v>CY2026Q2</x:v>
      </x:c>
      <x:c r="E729" s="18" t="str">
        <x:v>BR004</x:v>
      </x:c>
      <x:c r="F729" s="20" t="n">
        <x:v>46162.5</x:v>
      </x:c>
      <x:c r="G729" s="18" t="str">
        <x:v>Funded</x:v>
      </x:c>
      <x:c r="H729" s="23" t="n">
        <x:v>35000</x:v>
      </x:c>
      <x:c r="I729" s="18" t="str">
        <x:v>Home improvement loan</x:v>
      </x:c>
      <x:c r="J729" s="18" t="str">
        <x:v>New customer</x:v>
      </x:c>
      <x:c r="K729" s="20" t="n">
        <x:v>46168.5</x:v>
      </x:c>
    </x:row>
    <x:row r="730" ht="15" hidden="0" customHeight="1">
      <x:c r="A730" s="18" t="str">
        <x:v>LN000729</x:v>
      </x:c>
      <x:c r="B730" s="18" t="str">
        <x:v>LOS-SYN-0000729</x:v>
      </x:c>
      <x:c r="C730" s="18" t="str">
        <x:v>EMP009</x:v>
      </x:c>
      <x:c r="D730" s="18" t="str">
        <x:v>CY2026Q2</x:v>
      </x:c>
      <x:c r="E730" s="18" t="str">
        <x:v>BR004</x:v>
      </x:c>
      <x:c r="F730" s="20" t="n">
        <x:v>46146.5</x:v>
      </x:c>
      <x:c r="G730" s="18" t="str">
        <x:v>Funded</x:v>
      </x:c>
      <x:c r="H730" s="23" t="n">
        <x:v>29500</x:v>
      </x:c>
      <x:c r="I730" s="18" t="str">
        <x:v>Home improvement loan</x:v>
      </x:c>
      <x:c r="J730" s="18" t="str">
        <x:v>Referral</x:v>
      </x:c>
      <x:c r="K730" s="20" t="n">
        <x:v>46155.5</x:v>
      </x:c>
    </x:row>
    <x:row r="731" ht="15" hidden="0" customHeight="1">
      <x:c r="A731" s="18" t="str">
        <x:v>LN000730</x:v>
      </x:c>
      <x:c r="B731" s="18" t="str">
        <x:v>LOS-SYN-0000730</x:v>
      </x:c>
      <x:c r="C731" s="18" t="str">
        <x:v>EMP009</x:v>
      </x:c>
      <x:c r="D731" s="18" t="str">
        <x:v>CY2026Q2</x:v>
      </x:c>
      <x:c r="E731" s="18" t="str">
        <x:v>BR004</x:v>
      </x:c>
      <x:c r="F731" s="20" t="n">
        <x:v>46166.5</x:v>
      </x:c>
      <x:c r="G731" s="18" t="str">
        <x:v>Funded</x:v>
      </x:c>
      <x:c r="H731" s="23" t="n">
        <x:v>33500</x:v>
      </x:c>
      <x:c r="I731" s="18" t="str">
        <x:v>Auto loan</x:v>
      </x:c>
      <x:c r="J731" s="18" t="str">
        <x:v>Existing customer</x:v>
      </x:c>
      <x:c r="K731" s="20" t="n">
        <x:v>46174.5</x:v>
      </x:c>
    </x:row>
    <x:row r="732" ht="15" hidden="0" customHeight="1">
      <x:c r="A732" s="18" t="str">
        <x:v>LN000731</x:v>
      </x:c>
      <x:c r="B732" s="18" t="str">
        <x:v>LOS-SYN-0000731</x:v>
      </x:c>
      <x:c r="C732" s="18" t="str">
        <x:v>EMP009</x:v>
      </x:c>
      <x:c r="D732" s="18" t="str">
        <x:v>CY2026Q2</x:v>
      </x:c>
      <x:c r="E732" s="18" t="str">
        <x:v>BR004</x:v>
      </x:c>
      <x:c r="F732" s="20" t="n">
        <x:v>46125.5</x:v>
      </x:c>
      <x:c r="G732" s="18" t="str">
        <x:v>Funded</x:v>
      </x:c>
      <x:c r="H732" s="23" t="n">
        <x:v>33500</x:v>
      </x:c>
      <x:c r="I732" s="18" t="str">
        <x:v>Home improvement loan</x:v>
      </x:c>
      <x:c r="J732" s="18" t="str">
        <x:v>Existing customer</x:v>
      </x:c>
      <x:c r="K732" s="20" t="n">
        <x:v>46131.5</x:v>
      </x:c>
    </x:row>
    <x:row r="733" ht="15" hidden="0" customHeight="1">
      <x:c r="A733" s="18" t="str">
        <x:v>LN000732</x:v>
      </x:c>
      <x:c r="B733" s="18" t="str">
        <x:v>LOS-SYN-0000732</x:v>
      </x:c>
      <x:c r="C733" s="18" t="str">
        <x:v>EMP009</x:v>
      </x:c>
      <x:c r="D733" s="18" t="str">
        <x:v>CY2026Q2</x:v>
      </x:c>
      <x:c r="E733" s="18" t="str">
        <x:v>BR004</x:v>
      </x:c>
      <x:c r="F733" s="20" t="n">
        <x:v>46119.5</x:v>
      </x:c>
      <x:c r="G733" s="18" t="str">
        <x:v>Funded</x:v>
      </x:c>
      <x:c r="H733" s="23" t="n">
        <x:v>44000</x:v>
      </x:c>
      <x:c r="I733" s="18" t="str">
        <x:v>Personal loan</x:v>
      </x:c>
      <x:c r="J733" s="18" t="str">
        <x:v>New customer</x:v>
      </x:c>
      <x:c r="K733" s="20" t="n">
        <x:v>46129.5</x:v>
      </x:c>
    </x:row>
    <x:row r="734" ht="15" hidden="0" customHeight="1">
      <x:c r="A734" s="18" t="str">
        <x:v>LN000733</x:v>
      </x:c>
      <x:c r="B734" s="18" t="str">
        <x:v>LOS-SYN-0000733</x:v>
      </x:c>
      <x:c r="C734" s="18" t="str">
        <x:v>EMP009</x:v>
      </x:c>
      <x:c r="D734" s="18" t="str">
        <x:v>CY2026Q2</x:v>
      </x:c>
      <x:c r="E734" s="18" t="str">
        <x:v>BR004</x:v>
      </x:c>
      <x:c r="F734" s="20" t="n">
        <x:v>46195.5</x:v>
      </x:c>
      <x:c r="G734" s="18" t="str">
        <x:v>Funded</x:v>
      </x:c>
      <x:c r="H734" s="23" t="n">
        <x:v>48000</x:v>
      </x:c>
      <x:c r="I734" s="18" t="str">
        <x:v>Debt consolidation loan</x:v>
      </x:c>
      <x:c r="J734" s="18" t="str">
        <x:v>Referral</x:v>
      </x:c>
      <x:c r="K734" s="20" t="n">
        <x:v>46205.5</x:v>
      </x:c>
    </x:row>
    <x:row r="735" ht="15" hidden="0" customHeight="1">
      <x:c r="A735" s="18" t="str">
        <x:v>LN000734</x:v>
      </x:c>
      <x:c r="B735" s="18" t="str">
        <x:v>LOS-SYN-0000734</x:v>
      </x:c>
      <x:c r="C735" s="18" t="str">
        <x:v>EMP009</x:v>
      </x:c>
      <x:c r="D735" s="18" t="str">
        <x:v>CY2026Q2</x:v>
      </x:c>
      <x:c r="E735" s="18" t="str">
        <x:v>BR004</x:v>
      </x:c>
      <x:c r="F735" s="20" t="n">
        <x:v>46181.5</x:v>
      </x:c>
      <x:c r="G735" s="18" t="str">
        <x:v>Funded</x:v>
      </x:c>
      <x:c r="H735" s="23" t="n">
        <x:v>48000</x:v>
      </x:c>
      <x:c r="I735" s="18" t="str">
        <x:v>Home improvement loan</x:v>
      </x:c>
      <x:c r="J735" s="18" t="str">
        <x:v>Existing customer</x:v>
      </x:c>
      <x:c r="K735" s="20" t="n">
        <x:v>46192.5</x:v>
      </x:c>
    </x:row>
    <x:row r="736" ht="15" hidden="0" customHeight="1">
      <x:c r="A736" s="18" t="str">
        <x:v>LN000735</x:v>
      </x:c>
      <x:c r="B736" s="18" t="str">
        <x:v>LOS-SYN-0000735</x:v>
      </x:c>
      <x:c r="C736" s="18" t="str">
        <x:v>EMP009</x:v>
      </x:c>
      <x:c r="D736" s="18" t="str">
        <x:v>CY2026Q2</x:v>
      </x:c>
      <x:c r="E736" s="18" t="str">
        <x:v>BR004</x:v>
      </x:c>
      <x:c r="F736" s="20" t="n">
        <x:v>46120.5</x:v>
      </x:c>
      <x:c r="G736" s="18" t="str">
        <x:v>Funded</x:v>
      </x:c>
      <x:c r="H736" s="23" t="n">
        <x:v>38000</x:v>
      </x:c>
      <x:c r="I736" s="18" t="str">
        <x:v>Home improvement loan</x:v>
      </x:c>
      <x:c r="J736" s="18" t="str">
        <x:v>New customer</x:v>
      </x:c>
      <x:c r="K736" s="20" t="n">
        <x:v>46127.5</x:v>
      </x:c>
    </x:row>
    <x:row r="737" ht="15" hidden="0" customHeight="1">
      <x:c r="A737" s="18" t="str">
        <x:v>LN000736</x:v>
      </x:c>
      <x:c r="B737" s="18" t="str">
        <x:v>LOS-SYN-0000736</x:v>
      </x:c>
      <x:c r="C737" s="18" t="str">
        <x:v>EMP009</x:v>
      </x:c>
      <x:c r="D737" s="18" t="str">
        <x:v>CY2026Q2</x:v>
      </x:c>
      <x:c r="E737" s="18" t="str">
        <x:v>BR004</x:v>
      </x:c>
      <x:c r="F737" s="20" t="n">
        <x:v>46189.5</x:v>
      </x:c>
      <x:c r="G737" s="18" t="str">
        <x:v>Funded</x:v>
      </x:c>
      <x:c r="H737" s="23" t="n">
        <x:v>40500</x:v>
      </x:c>
      <x:c r="I737" s="18" t="str">
        <x:v>Home improvement loan</x:v>
      </x:c>
      <x:c r="J737" s="18" t="str">
        <x:v>New customer</x:v>
      </x:c>
      <x:c r="K737" s="20" t="n">
        <x:v>46193.5</x:v>
      </x:c>
    </x:row>
    <x:row r="738" ht="15" hidden="0" customHeight="1">
      <x:c r="A738" s="18" t="str">
        <x:v>LN000737</x:v>
      </x:c>
      <x:c r="B738" s="18" t="str">
        <x:v>LOS-SYN-0000737</x:v>
      </x:c>
      <x:c r="C738" s="18" t="str">
        <x:v>EMP009</x:v>
      </x:c>
      <x:c r="D738" s="18" t="str">
        <x:v>CY2026Q2</x:v>
      </x:c>
      <x:c r="E738" s="18" t="str">
        <x:v>BR004</x:v>
      </x:c>
      <x:c r="F738" s="20" t="n">
        <x:v>46151.5</x:v>
      </x:c>
      <x:c r="G738" s="18" t="str">
        <x:v>Funded</x:v>
      </x:c>
      <x:c r="H738" s="23" t="n">
        <x:v>43000</x:v>
      </x:c>
      <x:c r="I738" s="18" t="str">
        <x:v>Auto loan</x:v>
      </x:c>
      <x:c r="J738" s="18" t="str">
        <x:v>Existing customer</x:v>
      </x:c>
      <x:c r="K738" s="20" t="n">
        <x:v>46156.5</x:v>
      </x:c>
    </x:row>
    <x:row r="739" ht="15" hidden="0" customHeight="1">
      <x:c r="A739" s="18" t="str">
        <x:v>LN000738</x:v>
      </x:c>
      <x:c r="B739" s="18" t="str">
        <x:v>LOS-SYN-0000738</x:v>
      </x:c>
      <x:c r="C739" s="18" t="str">
        <x:v>EMP009</x:v>
      </x:c>
      <x:c r="D739" s="18" t="str">
        <x:v>CY2026Q2</x:v>
      </x:c>
      <x:c r="E739" s="18" t="str">
        <x:v>BR004</x:v>
      </x:c>
      <x:c r="F739" s="20" t="n">
        <x:v>46171.5</x:v>
      </x:c>
      <x:c r="G739" s="18" t="str">
        <x:v>Funded</x:v>
      </x:c>
      <x:c r="H739" s="23" t="n">
        <x:v>38500</x:v>
      </x:c>
      <x:c r="I739" s="18" t="str">
        <x:v>Auto loan</x:v>
      </x:c>
      <x:c r="J739" s="18" t="str">
        <x:v>Referral</x:v>
      </x:c>
      <x:c r="K739" s="20" t="n">
        <x:v>46183.5</x:v>
      </x:c>
    </x:row>
    <x:row r="740" ht="15" hidden="0" customHeight="1">
      <x:c r="A740" s="18" t="str">
        <x:v>LN000739</x:v>
      </x:c>
      <x:c r="B740" s="18" t="str">
        <x:v>LOS-SYN-0000739</x:v>
      </x:c>
      <x:c r="C740" s="18" t="str">
        <x:v>EMP009</x:v>
      </x:c>
      <x:c r="D740" s="18" t="str">
        <x:v>CY2026Q2</x:v>
      </x:c>
      <x:c r="E740" s="18" t="str">
        <x:v>BR004</x:v>
      </x:c>
      <x:c r="F740" s="20" t="n">
        <x:v>46118.5</x:v>
      </x:c>
      <x:c r="G740" s="18" t="str">
        <x:v>Funded</x:v>
      </x:c>
      <x:c r="H740" s="23" t="n">
        <x:v>29500</x:v>
      </x:c>
      <x:c r="I740" s="18" t="str">
        <x:v>Home improvement loan</x:v>
      </x:c>
      <x:c r="J740" s="18" t="str">
        <x:v>New customer</x:v>
      </x:c>
      <x:c r="K740" s="20" t="n">
        <x:v>46121.5</x:v>
      </x:c>
    </x:row>
    <x:row r="741" ht="15" hidden="0" customHeight="1">
      <x:c r="A741" s="18" t="str">
        <x:v>LN000740</x:v>
      </x:c>
      <x:c r="B741" s="18" t="str">
        <x:v>LOS-SYN-0000740</x:v>
      </x:c>
      <x:c r="C741" s="18" t="str">
        <x:v>EMP009</x:v>
      </x:c>
      <x:c r="D741" s="18" t="str">
        <x:v>CY2026Q2</x:v>
      </x:c>
      <x:c r="E741" s="18" t="str">
        <x:v>BR004</x:v>
      </x:c>
      <x:c r="F741" s="20" t="n">
        <x:v>46185.5</x:v>
      </x:c>
      <x:c r="G741" s="18" t="str">
        <x:v>Funded</x:v>
      </x:c>
      <x:c r="H741" s="23" t="n">
        <x:v>35000</x:v>
      </x:c>
      <x:c r="I741" s="18" t="str">
        <x:v>Debt consolidation loan</x:v>
      </x:c>
      <x:c r="J741" s="18" t="str">
        <x:v>New customer</x:v>
      </x:c>
      <x:c r="K741" s="20" t="n">
        <x:v>46197.5</x:v>
      </x:c>
    </x:row>
    <x:row r="742" ht="15" hidden="0" customHeight="1">
      <x:c r="A742" s="18" t="str">
        <x:v>LN000741</x:v>
      </x:c>
      <x:c r="B742" s="18" t="str">
        <x:v>LOS-SYN-0000741</x:v>
      </x:c>
      <x:c r="C742" s="18" t="str">
        <x:v>EMP009</x:v>
      </x:c>
      <x:c r="D742" s="18" t="str">
        <x:v>CY2026Q2</x:v>
      </x:c>
      <x:c r="E742" s="18" t="str">
        <x:v>BR004</x:v>
      </x:c>
      <x:c r="F742" s="20" t="n">
        <x:v>46176.5</x:v>
      </x:c>
      <x:c r="G742" s="18" t="str">
        <x:v>Funded</x:v>
      </x:c>
      <x:c r="H742" s="23" t="n">
        <x:v>50000</x:v>
      </x:c>
      <x:c r="I742" s="18" t="str">
        <x:v>Personal loan</x:v>
      </x:c>
      <x:c r="J742" s="18" t="str">
        <x:v>Existing customer</x:v>
      </x:c>
      <x:c r="K742" s="20" t="n">
        <x:v>46180.5</x:v>
      </x:c>
    </x:row>
    <x:row r="743" ht="15" hidden="0" customHeight="1">
      <x:c r="A743" s="18" t="str">
        <x:v>LN000742</x:v>
      </x:c>
      <x:c r="B743" s="18" t="str">
        <x:v>LOS-SYN-0000742</x:v>
      </x:c>
      <x:c r="C743" s="18" t="str">
        <x:v>EMP010</x:v>
      </x:c>
      <x:c r="D743" s="18" t="str">
        <x:v>CY2026Q2</x:v>
      </x:c>
      <x:c r="E743" s="18" t="str">
        <x:v>BR004</x:v>
      </x:c>
      <x:c r="F743" s="20" t="n">
        <x:v>46145.5</x:v>
      </x:c>
      <x:c r="G743" s="18" t="str">
        <x:v>Funded</x:v>
      </x:c>
      <x:c r="H743" s="23" t="n">
        <x:v>38500</x:v>
      </x:c>
      <x:c r="I743" s="18" t="str">
        <x:v>Home improvement loan</x:v>
      </x:c>
      <x:c r="J743" s="18" t="str">
        <x:v>New customer</x:v>
      </x:c>
      <x:c r="K743" s="20" t="n">
        <x:v>46152.5</x:v>
      </x:c>
    </x:row>
    <x:row r="744" ht="15" hidden="0" customHeight="1">
      <x:c r="A744" s="18" t="str">
        <x:v>LN000743</x:v>
      </x:c>
      <x:c r="B744" s="18" t="str">
        <x:v>LOS-SYN-0000743</x:v>
      </x:c>
      <x:c r="C744" s="18" t="str">
        <x:v>EMP010</x:v>
      </x:c>
      <x:c r="D744" s="18" t="str">
        <x:v>CY2026Q2</x:v>
      </x:c>
      <x:c r="E744" s="18" t="str">
        <x:v>BR004</x:v>
      </x:c>
      <x:c r="F744" s="20" t="n">
        <x:v>46164.5</x:v>
      </x:c>
      <x:c r="G744" s="18" t="str">
        <x:v>Funded</x:v>
      </x:c>
      <x:c r="H744" s="23" t="n">
        <x:v>62500</x:v>
      </x:c>
      <x:c r="I744" s="18" t="str">
        <x:v>Debt consolidation loan</x:v>
      </x:c>
      <x:c r="J744" s="18" t="str">
        <x:v>Existing customer</x:v>
      </x:c>
      <x:c r="K744" s="20" t="n">
        <x:v>46175.5</x:v>
      </x:c>
    </x:row>
    <x:row r="745" ht="15" hidden="0" customHeight="1">
      <x:c r="A745" s="18" t="str">
        <x:v>LN000744</x:v>
      </x:c>
      <x:c r="B745" s="18" t="str">
        <x:v>LOS-SYN-0000744</x:v>
      </x:c>
      <x:c r="C745" s="18" t="str">
        <x:v>EMP010</x:v>
      </x:c>
      <x:c r="D745" s="18" t="str">
        <x:v>CY2026Q2</x:v>
      </x:c>
      <x:c r="E745" s="18" t="str">
        <x:v>BR004</x:v>
      </x:c>
      <x:c r="F745" s="20" t="n">
        <x:v>46134.5</x:v>
      </x:c>
      <x:c r="G745" s="18" t="str">
        <x:v>Funded</x:v>
      </x:c>
      <x:c r="H745" s="23" t="n">
        <x:v>55000</x:v>
      </x:c>
      <x:c r="I745" s="18" t="str">
        <x:v>Home improvement loan</x:v>
      </x:c>
      <x:c r="J745" s="18" t="str">
        <x:v>Existing customer</x:v>
      </x:c>
      <x:c r="K745" s="20" t="n">
        <x:v>46137.5</x:v>
      </x:c>
    </x:row>
    <x:row r="746" ht="15" hidden="0" customHeight="1">
      <x:c r="A746" s="18" t="str">
        <x:v>LN000745</x:v>
      </x:c>
      <x:c r="B746" s="18" t="str">
        <x:v>LOS-SYN-0000745</x:v>
      </x:c>
      <x:c r="C746" s="18" t="str">
        <x:v>EMP010</x:v>
      </x:c>
      <x:c r="D746" s="18" t="str">
        <x:v>CY2026Q2</x:v>
      </x:c>
      <x:c r="E746" s="18" t="str">
        <x:v>BR004</x:v>
      </x:c>
      <x:c r="F746" s="20" t="n">
        <x:v>46173.5</x:v>
      </x:c>
      <x:c r="G746" s="18" t="str">
        <x:v>Funded</x:v>
      </x:c>
      <x:c r="H746" s="23" t="n">
        <x:v>54500</x:v>
      </x:c>
      <x:c r="I746" s="18" t="str">
        <x:v>Personal loan</x:v>
      </x:c>
      <x:c r="J746" s="18" t="str">
        <x:v>New customer</x:v>
      </x:c>
      <x:c r="K746" s="20" t="n">
        <x:v>46179.5</x:v>
      </x:c>
    </x:row>
    <x:row r="747" ht="15" hidden="0" customHeight="1">
      <x:c r="A747" s="18" t="str">
        <x:v>LN000746</x:v>
      </x:c>
      <x:c r="B747" s="18" t="str">
        <x:v>LOS-SYN-0000746</x:v>
      </x:c>
      <x:c r="C747" s="18" t="str">
        <x:v>EMP010</x:v>
      </x:c>
      <x:c r="D747" s="18" t="str">
        <x:v>CY2026Q2</x:v>
      </x:c>
      <x:c r="E747" s="18" t="str">
        <x:v>BR004</x:v>
      </x:c>
      <x:c r="F747" s="20" t="n">
        <x:v>46180.5</x:v>
      </x:c>
      <x:c r="G747" s="18" t="str">
        <x:v>Funded</x:v>
      </x:c>
      <x:c r="H747" s="23" t="n">
        <x:v>39000</x:v>
      </x:c>
      <x:c r="I747" s="18" t="str">
        <x:v>Auto loan</x:v>
      </x:c>
      <x:c r="J747" s="18" t="str">
        <x:v>Referral</x:v>
      </x:c>
      <x:c r="K747" s="20" t="n">
        <x:v>46192.5</x:v>
      </x:c>
    </x:row>
    <x:row r="748" ht="15" hidden="0" customHeight="1">
      <x:c r="A748" s="18" t="str">
        <x:v>LN000747</x:v>
      </x:c>
      <x:c r="B748" s="18" t="str">
        <x:v>LOS-SYN-0000747</x:v>
      </x:c>
      <x:c r="C748" s="18" t="str">
        <x:v>EMP010</x:v>
      </x:c>
      <x:c r="D748" s="18" t="str">
        <x:v>CY2026Q2</x:v>
      </x:c>
      <x:c r="E748" s="18" t="str">
        <x:v>BR004</x:v>
      </x:c>
      <x:c r="F748" s="20" t="n">
        <x:v>46179.5</x:v>
      </x:c>
      <x:c r="G748" s="18" t="str">
        <x:v>Funded</x:v>
      </x:c>
      <x:c r="H748" s="23" t="n">
        <x:v>41500</x:v>
      </x:c>
      <x:c r="I748" s="18" t="str">
        <x:v>Debt consolidation loan</x:v>
      </x:c>
      <x:c r="J748" s="18" t="str">
        <x:v>Existing customer</x:v>
      </x:c>
      <x:c r="K748" s="20" t="n">
        <x:v>46189.5</x:v>
      </x:c>
    </x:row>
    <x:row r="749" ht="15" hidden="0" customHeight="1">
      <x:c r="A749" s="18" t="str">
        <x:v>LN000748</x:v>
      </x:c>
      <x:c r="B749" s="18" t="str">
        <x:v>LOS-SYN-0000748</x:v>
      </x:c>
      <x:c r="C749" s="18" t="str">
        <x:v>EMP010</x:v>
      </x:c>
      <x:c r="D749" s="18" t="str">
        <x:v>CY2026Q2</x:v>
      </x:c>
      <x:c r="E749" s="18" t="str">
        <x:v>BR004</x:v>
      </x:c>
      <x:c r="F749" s="20" t="n">
        <x:v>46123.5</x:v>
      </x:c>
      <x:c r="G749" s="18" t="str">
        <x:v>Funded</x:v>
      </x:c>
      <x:c r="H749" s="23" t="n">
        <x:v>46000</x:v>
      </x:c>
      <x:c r="I749" s="18" t="str">
        <x:v>Auto loan</x:v>
      </x:c>
      <x:c r="J749" s="18" t="str">
        <x:v>New customer</x:v>
      </x:c>
      <x:c r="K749" s="20" t="n">
        <x:v>46134.5</x:v>
      </x:c>
    </x:row>
    <x:row r="750" ht="15" hidden="0" customHeight="1">
      <x:c r="A750" s="18" t="str">
        <x:v>LN000749</x:v>
      </x:c>
      <x:c r="B750" s="18" t="str">
        <x:v>LOS-SYN-0000749</x:v>
      </x:c>
      <x:c r="C750" s="18" t="str">
        <x:v>EMP010</x:v>
      </x:c>
      <x:c r="D750" s="18" t="str">
        <x:v>CY2026Q2</x:v>
      </x:c>
      <x:c r="E750" s="18" t="str">
        <x:v>BR004</x:v>
      </x:c>
      <x:c r="F750" s="20" t="n">
        <x:v>46196.5</x:v>
      </x:c>
      <x:c r="G750" s="18" t="str">
        <x:v>Funded</x:v>
      </x:c>
      <x:c r="H750" s="23" t="n">
        <x:v>57000</x:v>
      </x:c>
      <x:c r="I750" s="18" t="str">
        <x:v>Home improvement loan</x:v>
      </x:c>
      <x:c r="J750" s="18" t="str">
        <x:v>New customer</x:v>
      </x:c>
      <x:c r="K750" s="20" t="n">
        <x:v>46202.5</x:v>
      </x:c>
    </x:row>
    <x:row r="751" ht="15" hidden="0" customHeight="1">
      <x:c r="A751" s="18" t="str">
        <x:v>LN000750</x:v>
      </x:c>
      <x:c r="B751" s="18" t="str">
        <x:v>LOS-SYN-0000750</x:v>
      </x:c>
      <x:c r="C751" s="18" t="str">
        <x:v>EMP010</x:v>
      </x:c>
      <x:c r="D751" s="18" t="str">
        <x:v>CY2026Q2</x:v>
      </x:c>
      <x:c r="E751" s="18" t="str">
        <x:v>BR004</x:v>
      </x:c>
      <x:c r="F751" s="20" t="n">
        <x:v>46137.5</x:v>
      </x:c>
      <x:c r="G751" s="18" t="str">
        <x:v>Funded</x:v>
      </x:c>
      <x:c r="H751" s="23" t="n">
        <x:v>48000</x:v>
      </x:c>
      <x:c r="I751" s="18" t="str">
        <x:v>Debt consolidation loan</x:v>
      </x:c>
      <x:c r="J751" s="18" t="str">
        <x:v>New customer</x:v>
      </x:c>
      <x:c r="K751" s="20" t="n">
        <x:v>46149.5</x:v>
      </x:c>
    </x:row>
    <x:row r="752" ht="15" hidden="0" customHeight="1">
      <x:c r="A752" s="18" t="str">
        <x:v>LN000751</x:v>
      </x:c>
      <x:c r="B752" s="18" t="str">
        <x:v>LOS-SYN-0000751</x:v>
      </x:c>
      <x:c r="C752" s="18" t="str">
        <x:v>EMP011</x:v>
      </x:c>
      <x:c r="D752" s="18" t="str">
        <x:v>CY2026Q2</x:v>
      </x:c>
      <x:c r="E752" s="18" t="str">
        <x:v>BR004</x:v>
      </x:c>
      <x:c r="F752" s="20" t="n">
        <x:v>46133.5</x:v>
      </x:c>
      <x:c r="G752" s="18" t="str">
        <x:v>Funded</x:v>
      </x:c>
      <x:c r="H752" s="23" t="n">
        <x:v>48500</x:v>
      </x:c>
      <x:c r="I752" s="18" t="str">
        <x:v>Personal loan</x:v>
      </x:c>
      <x:c r="J752" s="18" t="str">
        <x:v>New customer</x:v>
      </x:c>
      <x:c r="K752" s="20" t="n">
        <x:v>46140.5</x:v>
      </x:c>
    </x:row>
    <x:row r="753" ht="15" hidden="0" customHeight="1">
      <x:c r="A753" s="18" t="str">
        <x:v>LN000752</x:v>
      </x:c>
      <x:c r="B753" s="18" t="str">
        <x:v>LOS-SYN-0000752</x:v>
      </x:c>
      <x:c r="C753" s="18" t="str">
        <x:v>EMP011</x:v>
      </x:c>
      <x:c r="D753" s="18" t="str">
        <x:v>CY2026Q2</x:v>
      </x:c>
      <x:c r="E753" s="18" t="str">
        <x:v>BR004</x:v>
      </x:c>
      <x:c r="F753" s="20" t="n">
        <x:v>46134.5</x:v>
      </x:c>
      <x:c r="G753" s="18" t="str">
        <x:v>Funded</x:v>
      </x:c>
      <x:c r="H753" s="23" t="n">
        <x:v>39500</x:v>
      </x:c>
      <x:c r="I753" s="18" t="str">
        <x:v>Personal loan</x:v>
      </x:c>
      <x:c r="J753" s="18" t="str">
        <x:v>Referral</x:v>
      </x:c>
      <x:c r="K753" s="20" t="n">
        <x:v>46143.5</x:v>
      </x:c>
    </x:row>
    <x:row r="754" ht="15" hidden="0" customHeight="1">
      <x:c r="A754" s="18" t="str">
        <x:v>LN000753</x:v>
      </x:c>
      <x:c r="B754" s="18" t="str">
        <x:v>LOS-SYN-0000753</x:v>
      </x:c>
      <x:c r="C754" s="18" t="str">
        <x:v>EMP011</x:v>
      </x:c>
      <x:c r="D754" s="18" t="str">
        <x:v>CY2026Q2</x:v>
      </x:c>
      <x:c r="E754" s="18" t="str">
        <x:v>BR004</x:v>
      </x:c>
      <x:c r="F754" s="20" t="n">
        <x:v>46125.5</x:v>
      </x:c>
      <x:c r="G754" s="18" t="str">
        <x:v>Funded</x:v>
      </x:c>
      <x:c r="H754" s="23" t="n">
        <x:v>38500</x:v>
      </x:c>
      <x:c r="I754" s="18" t="str">
        <x:v>Personal loan</x:v>
      </x:c>
      <x:c r="J754" s="18" t="str">
        <x:v>New customer</x:v>
      </x:c>
      <x:c r="K754" s="20" t="n">
        <x:v>46137.5</x:v>
      </x:c>
    </x:row>
    <x:row r="755" ht="15" hidden="0" customHeight="1">
      <x:c r="A755" s="18" t="str">
        <x:v>LN000754</x:v>
      </x:c>
      <x:c r="B755" s="18" t="str">
        <x:v>LOS-SYN-0000754</x:v>
      </x:c>
      <x:c r="C755" s="18" t="str">
        <x:v>EMP011</x:v>
      </x:c>
      <x:c r="D755" s="18" t="str">
        <x:v>CY2026Q2</x:v>
      </x:c>
      <x:c r="E755" s="18" t="str">
        <x:v>BR004</x:v>
      </x:c>
      <x:c r="F755" s="20" t="n">
        <x:v>46158.5</x:v>
      </x:c>
      <x:c r="G755" s="18" t="str">
        <x:v>Funded</x:v>
      </x:c>
      <x:c r="H755" s="23" t="n">
        <x:v>39500</x:v>
      </x:c>
      <x:c r="I755" s="18" t="str">
        <x:v>Auto loan</x:v>
      </x:c>
      <x:c r="J755" s="18" t="str">
        <x:v>Referral</x:v>
      </x:c>
      <x:c r="K755" s="20" t="n">
        <x:v>46170.5</x:v>
      </x:c>
    </x:row>
    <x:row r="756" ht="15" hidden="0" customHeight="1">
      <x:c r="A756" s="18" t="str">
        <x:v>LN000755</x:v>
      </x:c>
      <x:c r="B756" s="18" t="str">
        <x:v>LOS-SYN-0000755</x:v>
      </x:c>
      <x:c r="C756" s="18" t="str">
        <x:v>EMP011</x:v>
      </x:c>
      <x:c r="D756" s="18" t="str">
        <x:v>CY2026Q2</x:v>
      </x:c>
      <x:c r="E756" s="18" t="str">
        <x:v>BR004</x:v>
      </x:c>
      <x:c r="F756" s="20" t="n">
        <x:v>46180.5</x:v>
      </x:c>
      <x:c r="G756" s="18" t="str">
        <x:v>Funded</x:v>
      </x:c>
      <x:c r="H756" s="23" t="n">
        <x:v>48000</x:v>
      </x:c>
      <x:c r="I756" s="18" t="str">
        <x:v>Auto loan</x:v>
      </x:c>
      <x:c r="J756" s="18" t="str">
        <x:v>Referral</x:v>
      </x:c>
      <x:c r="K756" s="20" t="n">
        <x:v>46184.5</x:v>
      </x:c>
    </x:row>
    <x:row r="757" ht="15" hidden="0" customHeight="1">
      <x:c r="A757" s="18" t="str">
        <x:v>LN000756</x:v>
      </x:c>
      <x:c r="B757" s="18" t="str">
        <x:v>LOS-SYN-0000756</x:v>
      </x:c>
      <x:c r="C757" s="18" t="str">
        <x:v>EMP011</x:v>
      </x:c>
      <x:c r="D757" s="18" t="str">
        <x:v>CY2026Q2</x:v>
      </x:c>
      <x:c r="E757" s="18" t="str">
        <x:v>BR004</x:v>
      </x:c>
      <x:c r="F757" s="20" t="n">
        <x:v>46152.5</x:v>
      </x:c>
      <x:c r="G757" s="18" t="str">
        <x:v>Funded</x:v>
      </x:c>
      <x:c r="H757" s="23" t="n">
        <x:v>50500</x:v>
      </x:c>
      <x:c r="I757" s="18" t="str">
        <x:v>Auto loan</x:v>
      </x:c>
      <x:c r="J757" s="18" t="str">
        <x:v>Existing customer</x:v>
      </x:c>
      <x:c r="K757" s="20" t="n">
        <x:v>46156.5</x:v>
      </x:c>
    </x:row>
    <x:row r="758" ht="15" hidden="0" customHeight="1">
      <x:c r="A758" s="18" t="str">
        <x:v>LN000757</x:v>
      </x:c>
      <x:c r="B758" s="18" t="str">
        <x:v>LOS-SYN-0000757</x:v>
      </x:c>
      <x:c r="C758" s="18" t="str">
        <x:v>EMP011</x:v>
      </x:c>
      <x:c r="D758" s="18" t="str">
        <x:v>CY2026Q2</x:v>
      </x:c>
      <x:c r="E758" s="18" t="str">
        <x:v>BR004</x:v>
      </x:c>
      <x:c r="F758" s="20" t="n">
        <x:v>46177.5</x:v>
      </x:c>
      <x:c r="G758" s="18" t="str">
        <x:v>Funded</x:v>
      </x:c>
      <x:c r="H758" s="23" t="n">
        <x:v>59500</x:v>
      </x:c>
      <x:c r="I758" s="18" t="str">
        <x:v>Auto loan</x:v>
      </x:c>
      <x:c r="J758" s="18" t="str">
        <x:v>Referral</x:v>
      </x:c>
      <x:c r="K758" s="20" t="n">
        <x:v>46186.5</x:v>
      </x:c>
    </x:row>
    <x:row r="759" ht="15" hidden="0" customHeight="1">
      <x:c r="A759" s="18" t="str">
        <x:v>LN000758</x:v>
      </x:c>
      <x:c r="B759" s="18" t="str">
        <x:v>LOS-SYN-0000758</x:v>
      </x:c>
      <x:c r="C759" s="18" t="str">
        <x:v>EMP011</x:v>
      </x:c>
      <x:c r="D759" s="18" t="str">
        <x:v>CY2026Q2</x:v>
      </x:c>
      <x:c r="E759" s="18" t="str">
        <x:v>BR004</x:v>
      </x:c>
      <x:c r="F759" s="20" t="n">
        <x:v>46189.5</x:v>
      </x:c>
      <x:c r="G759" s="18" t="str">
        <x:v>Funded</x:v>
      </x:c>
      <x:c r="H759" s="23" t="n">
        <x:v>46500</x:v>
      </x:c>
      <x:c r="I759" s="18" t="str">
        <x:v>Personal loan</x:v>
      </x:c>
      <x:c r="J759" s="18" t="str">
        <x:v>Referral</x:v>
      </x:c>
      <x:c r="K759" s="20" t="n">
        <x:v>46195.5</x:v>
      </x:c>
    </x:row>
    <x:row r="760" ht="15" hidden="0" customHeight="1">
      <x:c r="A760" s="18" t="str">
        <x:v>LN000759</x:v>
      </x:c>
      <x:c r="B760" s="18" t="str">
        <x:v>LOS-SYN-0000759</x:v>
      </x:c>
      <x:c r="C760" s="18" t="str">
        <x:v>EMP011</x:v>
      </x:c>
      <x:c r="D760" s="18" t="str">
        <x:v>CY2026Q2</x:v>
      </x:c>
      <x:c r="E760" s="18" t="str">
        <x:v>BR004</x:v>
      </x:c>
      <x:c r="F760" s="20" t="n">
        <x:v>46144.5</x:v>
      </x:c>
      <x:c r="G760" s="18" t="str">
        <x:v>Funded</x:v>
      </x:c>
      <x:c r="H760" s="23" t="n">
        <x:v>42500</x:v>
      </x:c>
      <x:c r="I760" s="18" t="str">
        <x:v>Debt consolidation loan</x:v>
      </x:c>
      <x:c r="J760" s="18" t="str">
        <x:v>Referral</x:v>
      </x:c>
      <x:c r="K760" s="20" t="n">
        <x:v>46152.5</x:v>
      </x:c>
    </x:row>
    <x:row r="761" ht="15" hidden="0" customHeight="1">
      <x:c r="A761" s="18" t="str">
        <x:v>LN000760</x:v>
      </x:c>
      <x:c r="B761" s="18" t="str">
        <x:v>LOS-SYN-0000760</x:v>
      </x:c>
      <x:c r="C761" s="18" t="str">
        <x:v>EMP011</x:v>
      </x:c>
      <x:c r="D761" s="18" t="str">
        <x:v>CY2026Q2</x:v>
      </x:c>
      <x:c r="E761" s="18" t="str">
        <x:v>BR004</x:v>
      </x:c>
      <x:c r="F761" s="20" t="n">
        <x:v>46160.5</x:v>
      </x:c>
      <x:c r="G761" s="18" t="str">
        <x:v>Cancelled</x:v>
      </x:c>
      <x:c r="H761" s="23" t="n">
        <x:v>52000</x:v>
      </x:c>
      <x:c r="I761" s="18" t="str">
        <x:v>Personal loan</x:v>
      </x:c>
      <x:c r="J761" s="18" t="str">
        <x:v>New customer</x:v>
      </x:c>
      <x:c r="K761" s="20"/>
    </x:row>
    <x:row r="762" ht="15" hidden="0" customHeight="1">
      <x:c r="A762" s="18" t="str">
        <x:v>LN000761</x:v>
      </x:c>
      <x:c r="B762" s="18" t="str">
        <x:v>LOS-SYN-0000761</x:v>
      </x:c>
      <x:c r="C762" s="18" t="str">
        <x:v>EMP012</x:v>
      </x:c>
      <x:c r="D762" s="18" t="str">
        <x:v>CY2026Q2</x:v>
      </x:c>
      <x:c r="E762" s="18" t="str">
        <x:v>BR005</x:v>
      </x:c>
      <x:c r="F762" s="20" t="n">
        <x:v>46192.5</x:v>
      </x:c>
      <x:c r="G762" s="18" t="str">
        <x:v>Funded</x:v>
      </x:c>
      <x:c r="H762" s="23" t="n">
        <x:v>37500</x:v>
      </x:c>
      <x:c r="I762" s="18" t="str">
        <x:v>Auto loan</x:v>
      </x:c>
      <x:c r="J762" s="18" t="str">
        <x:v>Existing customer</x:v>
      </x:c>
      <x:c r="K762" s="20" t="n">
        <x:v>46199.5</x:v>
      </x:c>
    </x:row>
    <x:row r="763" ht="15" hidden="0" customHeight="1">
      <x:c r="A763" s="18" t="str">
        <x:v>LN000762</x:v>
      </x:c>
      <x:c r="B763" s="18" t="str">
        <x:v>LOS-SYN-0000762</x:v>
      </x:c>
      <x:c r="C763" s="18" t="str">
        <x:v>EMP012</x:v>
      </x:c>
      <x:c r="D763" s="18" t="str">
        <x:v>CY2026Q2</x:v>
      </x:c>
      <x:c r="E763" s="18" t="str">
        <x:v>BR005</x:v>
      </x:c>
      <x:c r="F763" s="20" t="n">
        <x:v>46179.5</x:v>
      </x:c>
      <x:c r="G763" s="18" t="str">
        <x:v>Funded</x:v>
      </x:c>
      <x:c r="H763" s="23" t="n">
        <x:v>31500</x:v>
      </x:c>
      <x:c r="I763" s="18" t="str">
        <x:v>Debt consolidation loan</x:v>
      </x:c>
      <x:c r="J763" s="18" t="str">
        <x:v>New customer</x:v>
      </x:c>
      <x:c r="K763" s="20" t="n">
        <x:v>46186.5</x:v>
      </x:c>
    </x:row>
    <x:row r="764" ht="15" hidden="0" customHeight="1">
      <x:c r="A764" s="18" t="str">
        <x:v>LN000763</x:v>
      </x:c>
      <x:c r="B764" s="18" t="str">
        <x:v>LOS-SYN-0000763</x:v>
      </x:c>
      <x:c r="C764" s="18" t="str">
        <x:v>EMP012</x:v>
      </x:c>
      <x:c r="D764" s="18" t="str">
        <x:v>CY2026Q2</x:v>
      </x:c>
      <x:c r="E764" s="18" t="str">
        <x:v>BR005</x:v>
      </x:c>
      <x:c r="F764" s="20" t="n">
        <x:v>46185.5</x:v>
      </x:c>
      <x:c r="G764" s="18" t="str">
        <x:v>Funded</x:v>
      </x:c>
      <x:c r="H764" s="23" t="n">
        <x:v>49500</x:v>
      </x:c>
      <x:c r="I764" s="18" t="str">
        <x:v>Personal loan</x:v>
      </x:c>
      <x:c r="J764" s="18" t="str">
        <x:v>Existing customer</x:v>
      </x:c>
      <x:c r="K764" s="20" t="n">
        <x:v>46195.5</x:v>
      </x:c>
    </x:row>
    <x:row r="765" ht="15" hidden="0" customHeight="1">
      <x:c r="A765" s="18" t="str">
        <x:v>LN000764</x:v>
      </x:c>
      <x:c r="B765" s="18" t="str">
        <x:v>LOS-SYN-0000764</x:v>
      </x:c>
      <x:c r="C765" s="18" t="str">
        <x:v>EMP012</x:v>
      </x:c>
      <x:c r="D765" s="18" t="str">
        <x:v>CY2026Q2</x:v>
      </x:c>
      <x:c r="E765" s="18" t="str">
        <x:v>BR005</x:v>
      </x:c>
      <x:c r="F765" s="20" t="n">
        <x:v>46143.5</x:v>
      </x:c>
      <x:c r="G765" s="18" t="str">
        <x:v>Funded</x:v>
      </x:c>
      <x:c r="H765" s="23" t="n">
        <x:v>43500</x:v>
      </x:c>
      <x:c r="I765" s="18" t="str">
        <x:v>Personal loan</x:v>
      </x:c>
      <x:c r="J765" s="18" t="str">
        <x:v>Existing customer</x:v>
      </x:c>
      <x:c r="K765" s="20" t="n">
        <x:v>46151.5</x:v>
      </x:c>
    </x:row>
    <x:row r="766" ht="15" hidden="0" customHeight="1">
      <x:c r="A766" s="18" t="str">
        <x:v>LN000765</x:v>
      </x:c>
      <x:c r="B766" s="18" t="str">
        <x:v>LOS-SYN-0000765</x:v>
      </x:c>
      <x:c r="C766" s="18" t="str">
        <x:v>EMP012</x:v>
      </x:c>
      <x:c r="D766" s="18" t="str">
        <x:v>CY2026Q2</x:v>
      </x:c>
      <x:c r="E766" s="18" t="str">
        <x:v>BR005</x:v>
      </x:c>
      <x:c r="F766" s="20" t="n">
        <x:v>46130.5</x:v>
      </x:c>
      <x:c r="G766" s="18" t="str">
        <x:v>Funded</x:v>
      </x:c>
      <x:c r="H766" s="23" t="n">
        <x:v>33500</x:v>
      </x:c>
      <x:c r="I766" s="18" t="str">
        <x:v>Home improvement loan</x:v>
      </x:c>
      <x:c r="J766" s="18" t="str">
        <x:v>Existing customer</x:v>
      </x:c>
      <x:c r="K766" s="20" t="n">
        <x:v>46141.5</x:v>
      </x:c>
    </x:row>
    <x:row r="767" ht="15" hidden="0" customHeight="1">
      <x:c r="A767" s="18" t="str">
        <x:v>LN000766</x:v>
      </x:c>
      <x:c r="B767" s="18" t="str">
        <x:v>LOS-SYN-0000766</x:v>
      </x:c>
      <x:c r="C767" s="18" t="str">
        <x:v>EMP012</x:v>
      </x:c>
      <x:c r="D767" s="18" t="str">
        <x:v>CY2026Q2</x:v>
      </x:c>
      <x:c r="E767" s="18" t="str">
        <x:v>BR005</x:v>
      </x:c>
      <x:c r="F767" s="20" t="n">
        <x:v>46145.5</x:v>
      </x:c>
      <x:c r="G767" s="18" t="str">
        <x:v>Funded</x:v>
      </x:c>
      <x:c r="H767" s="23" t="n">
        <x:v>44000</x:v>
      </x:c>
      <x:c r="I767" s="18" t="str">
        <x:v>Auto loan</x:v>
      </x:c>
      <x:c r="J767" s="18" t="str">
        <x:v>Existing customer</x:v>
      </x:c>
      <x:c r="K767" s="20" t="n">
        <x:v>46152.5</x:v>
      </x:c>
    </x:row>
    <x:row r="768" ht="15" hidden="0" customHeight="1">
      <x:c r="A768" s="18" t="str">
        <x:v>LN000767</x:v>
      </x:c>
      <x:c r="B768" s="18" t="str">
        <x:v>LOS-SYN-0000767</x:v>
      </x:c>
      <x:c r="C768" s="18" t="str">
        <x:v>EMP012</x:v>
      </x:c>
      <x:c r="D768" s="18" t="str">
        <x:v>CY2026Q2</x:v>
      </x:c>
      <x:c r="E768" s="18" t="str">
        <x:v>BR005</x:v>
      </x:c>
      <x:c r="F768" s="20" t="n">
        <x:v>46172.5</x:v>
      </x:c>
      <x:c r="G768" s="18" t="str">
        <x:v>Funded</x:v>
      </x:c>
      <x:c r="H768" s="23" t="n">
        <x:v>37500</x:v>
      </x:c>
      <x:c r="I768" s="18" t="str">
        <x:v>Personal loan</x:v>
      </x:c>
      <x:c r="J768" s="18" t="str">
        <x:v>Referral</x:v>
      </x:c>
      <x:c r="K768" s="20" t="n">
        <x:v>46176.5</x:v>
      </x:c>
    </x:row>
    <x:row r="769" ht="15" hidden="0" customHeight="1">
      <x:c r="A769" s="18" t="str">
        <x:v>LN000768</x:v>
      </x:c>
      <x:c r="B769" s="18" t="str">
        <x:v>LOS-SYN-0000768</x:v>
      </x:c>
      <x:c r="C769" s="18" t="str">
        <x:v>EMP012</x:v>
      </x:c>
      <x:c r="D769" s="18" t="str">
        <x:v>CY2026Q2</x:v>
      </x:c>
      <x:c r="E769" s="18" t="str">
        <x:v>BR005</x:v>
      </x:c>
      <x:c r="F769" s="20" t="n">
        <x:v>46119.5</x:v>
      </x:c>
      <x:c r="G769" s="18" t="str">
        <x:v>Funded</x:v>
      </x:c>
      <x:c r="H769" s="23" t="n">
        <x:v>30500</x:v>
      </x:c>
      <x:c r="I769" s="18" t="str">
        <x:v>Auto loan</x:v>
      </x:c>
      <x:c r="J769" s="18" t="str">
        <x:v>New customer</x:v>
      </x:c>
      <x:c r="K769" s="20" t="n">
        <x:v>46129.5</x:v>
      </x:c>
    </x:row>
    <x:row r="770" ht="15" hidden="0" customHeight="1">
      <x:c r="A770" s="18" t="str">
        <x:v>LN000769</x:v>
      </x:c>
      <x:c r="B770" s="18" t="str">
        <x:v>LOS-SYN-0000769</x:v>
      </x:c>
      <x:c r="C770" s="18" t="str">
        <x:v>EMP012</x:v>
      </x:c>
      <x:c r="D770" s="18" t="str">
        <x:v>CY2026Q2</x:v>
      </x:c>
      <x:c r="E770" s="18" t="str">
        <x:v>BR005</x:v>
      </x:c>
      <x:c r="F770" s="20" t="n">
        <x:v>46137.5</x:v>
      </x:c>
      <x:c r="G770" s="18" t="str">
        <x:v>Funded</x:v>
      </x:c>
      <x:c r="H770" s="23" t="n">
        <x:v>45500</x:v>
      </x:c>
      <x:c r="I770" s="18" t="str">
        <x:v>Debt consolidation loan</x:v>
      </x:c>
      <x:c r="J770" s="18" t="str">
        <x:v>New customer</x:v>
      </x:c>
      <x:c r="K770" s="20" t="n">
        <x:v>46145.5</x:v>
      </x:c>
    </x:row>
    <x:row r="771" ht="15" hidden="0" customHeight="1">
      <x:c r="A771" s="18" t="str">
        <x:v>LN000770</x:v>
      </x:c>
      <x:c r="B771" s="18" t="str">
        <x:v>LOS-SYN-0000770</x:v>
      </x:c>
      <x:c r="C771" s="18" t="str">
        <x:v>EMP013</x:v>
      </x:c>
      <x:c r="D771" s="18" t="str">
        <x:v>CY2026Q2</x:v>
      </x:c>
      <x:c r="E771" s="18" t="str">
        <x:v>BR005</x:v>
      </x:c>
      <x:c r="F771" s="20" t="n">
        <x:v>46182.5</x:v>
      </x:c>
      <x:c r="G771" s="18" t="str">
        <x:v>Funded</x:v>
      </x:c>
      <x:c r="H771" s="23" t="n">
        <x:v>44500</x:v>
      </x:c>
      <x:c r="I771" s="18" t="str">
        <x:v>Personal loan</x:v>
      </x:c>
      <x:c r="J771" s="18" t="str">
        <x:v>Existing customer</x:v>
      </x:c>
      <x:c r="K771" s="20" t="n">
        <x:v>46190.5</x:v>
      </x:c>
    </x:row>
    <x:row r="772" ht="15" hidden="0" customHeight="1">
      <x:c r="A772" s="18" t="str">
        <x:v>LN000771</x:v>
      </x:c>
      <x:c r="B772" s="18" t="str">
        <x:v>LOS-SYN-0000771</x:v>
      </x:c>
      <x:c r="C772" s="18" t="str">
        <x:v>EMP013</x:v>
      </x:c>
      <x:c r="D772" s="18" t="str">
        <x:v>CY2026Q2</x:v>
      </x:c>
      <x:c r="E772" s="18" t="str">
        <x:v>BR005</x:v>
      </x:c>
      <x:c r="F772" s="20" t="n">
        <x:v>46158.5</x:v>
      </x:c>
      <x:c r="G772" s="18" t="str">
        <x:v>Funded</x:v>
      </x:c>
      <x:c r="H772" s="23" t="n">
        <x:v>37500</x:v>
      </x:c>
      <x:c r="I772" s="18" t="str">
        <x:v>Home improvement loan</x:v>
      </x:c>
      <x:c r="J772" s="18" t="str">
        <x:v>Referral</x:v>
      </x:c>
      <x:c r="K772" s="20" t="n">
        <x:v>46163.5</x:v>
      </x:c>
    </x:row>
    <x:row r="773" ht="15" hidden="0" customHeight="1">
      <x:c r="A773" s="18" t="str">
        <x:v>LN000772</x:v>
      </x:c>
      <x:c r="B773" s="18" t="str">
        <x:v>LOS-SYN-0000772</x:v>
      </x:c>
      <x:c r="C773" s="18" t="str">
        <x:v>EMP013</x:v>
      </x:c>
      <x:c r="D773" s="18" t="str">
        <x:v>CY2026Q2</x:v>
      </x:c>
      <x:c r="E773" s="18" t="str">
        <x:v>BR005</x:v>
      </x:c>
      <x:c r="F773" s="20" t="n">
        <x:v>46180.5</x:v>
      </x:c>
      <x:c r="G773" s="18" t="str">
        <x:v>Funded</x:v>
      </x:c>
      <x:c r="H773" s="23" t="n">
        <x:v>46500</x:v>
      </x:c>
      <x:c r="I773" s="18" t="str">
        <x:v>Debt consolidation loan</x:v>
      </x:c>
      <x:c r="J773" s="18" t="str">
        <x:v>Existing customer</x:v>
      </x:c>
      <x:c r="K773" s="20" t="n">
        <x:v>46184.5</x:v>
      </x:c>
    </x:row>
    <x:row r="774" ht="15" hidden="0" customHeight="1">
      <x:c r="A774" s="18" t="str">
        <x:v>LN000773</x:v>
      </x:c>
      <x:c r="B774" s="18" t="str">
        <x:v>LOS-SYN-0000773</x:v>
      </x:c>
      <x:c r="C774" s="18" t="str">
        <x:v>EMP013</x:v>
      </x:c>
      <x:c r="D774" s="18" t="str">
        <x:v>CY2026Q2</x:v>
      </x:c>
      <x:c r="E774" s="18" t="str">
        <x:v>BR005</x:v>
      </x:c>
      <x:c r="F774" s="20" t="n">
        <x:v>46137.5</x:v>
      </x:c>
      <x:c r="G774" s="18" t="str">
        <x:v>Funded</x:v>
      </x:c>
      <x:c r="H774" s="23" t="n">
        <x:v>54500</x:v>
      </x:c>
      <x:c r="I774" s="18" t="str">
        <x:v>Auto loan</x:v>
      </x:c>
      <x:c r="J774" s="18" t="str">
        <x:v>Existing customer</x:v>
      </x:c>
      <x:c r="K774" s="20" t="n">
        <x:v>46149.5</x:v>
      </x:c>
    </x:row>
    <x:row r="775" ht="15" hidden="0" customHeight="1">
      <x:c r="A775" s="18" t="str">
        <x:v>LN000774</x:v>
      </x:c>
      <x:c r="B775" s="18" t="str">
        <x:v>LOS-SYN-0000774</x:v>
      </x:c>
      <x:c r="C775" s="18" t="str">
        <x:v>EMP013</x:v>
      </x:c>
      <x:c r="D775" s="18" t="str">
        <x:v>CY2026Q2</x:v>
      </x:c>
      <x:c r="E775" s="18" t="str">
        <x:v>BR005</x:v>
      </x:c>
      <x:c r="F775" s="20" t="n">
        <x:v>46157.5</x:v>
      </x:c>
      <x:c r="G775" s="18" t="str">
        <x:v>Funded</x:v>
      </x:c>
      <x:c r="H775" s="23" t="n">
        <x:v>54000</x:v>
      </x:c>
      <x:c r="I775" s="18" t="str">
        <x:v>Debt consolidation loan</x:v>
      </x:c>
      <x:c r="J775" s="18" t="str">
        <x:v>New customer</x:v>
      </x:c>
      <x:c r="K775" s="20" t="n">
        <x:v>46169.5</x:v>
      </x:c>
    </x:row>
    <x:row r="776" ht="15" hidden="0" customHeight="1">
      <x:c r="A776" s="18" t="str">
        <x:v>LN000775</x:v>
      </x:c>
      <x:c r="B776" s="18" t="str">
        <x:v>LOS-SYN-0000775</x:v>
      </x:c>
      <x:c r="C776" s="18" t="str">
        <x:v>EMP013</x:v>
      </x:c>
      <x:c r="D776" s="18" t="str">
        <x:v>CY2026Q2</x:v>
      </x:c>
      <x:c r="E776" s="18" t="str">
        <x:v>BR005</x:v>
      </x:c>
      <x:c r="F776" s="20" t="n">
        <x:v>46133.5</x:v>
      </x:c>
      <x:c r="G776" s="18" t="str">
        <x:v>Funded</x:v>
      </x:c>
      <x:c r="H776" s="23" t="n">
        <x:v>44500</x:v>
      </x:c>
      <x:c r="I776" s="18" t="str">
        <x:v>Auto loan</x:v>
      </x:c>
      <x:c r="J776" s="18" t="str">
        <x:v>Existing customer</x:v>
      </x:c>
      <x:c r="K776" s="20" t="n">
        <x:v>46136.5</x:v>
      </x:c>
    </x:row>
    <x:row r="777" ht="15" hidden="0" customHeight="1">
      <x:c r="A777" s="18" t="str">
        <x:v>LN000776</x:v>
      </x:c>
      <x:c r="B777" s="18" t="str">
        <x:v>LOS-SYN-0000776</x:v>
      </x:c>
      <x:c r="C777" s="18" t="str">
        <x:v>EMP013</x:v>
      </x:c>
      <x:c r="D777" s="18" t="str">
        <x:v>CY2026Q2</x:v>
      </x:c>
      <x:c r="E777" s="18" t="str">
        <x:v>BR005</x:v>
      </x:c>
      <x:c r="F777" s="20" t="n">
        <x:v>46125.5</x:v>
      </x:c>
      <x:c r="G777" s="18" t="str">
        <x:v>Funded</x:v>
      </x:c>
      <x:c r="H777" s="23" t="n">
        <x:v>46500</x:v>
      </x:c>
      <x:c r="I777" s="18" t="str">
        <x:v>Home improvement loan</x:v>
      </x:c>
      <x:c r="J777" s="18" t="str">
        <x:v>Existing customer</x:v>
      </x:c>
      <x:c r="K777" s="20" t="n">
        <x:v>46136.5</x:v>
      </x:c>
    </x:row>
    <x:row r="778" ht="15" hidden="0" customHeight="1">
      <x:c r="A778" s="18" t="str">
        <x:v>LN000777</x:v>
      </x:c>
      <x:c r="B778" s="18" t="str">
        <x:v>LOS-SYN-0000777</x:v>
      </x:c>
      <x:c r="C778" s="18" t="str">
        <x:v>EMP013</x:v>
      </x:c>
      <x:c r="D778" s="18" t="str">
        <x:v>CY2026Q2</x:v>
      </x:c>
      <x:c r="E778" s="18" t="str">
        <x:v>BR005</x:v>
      </x:c>
      <x:c r="F778" s="20" t="n">
        <x:v>46159.5</x:v>
      </x:c>
      <x:c r="G778" s="18" t="str">
        <x:v>Funded</x:v>
      </x:c>
      <x:c r="H778" s="23" t="n">
        <x:v>53000</x:v>
      </x:c>
      <x:c r="I778" s="18" t="str">
        <x:v>Auto loan</x:v>
      </x:c>
      <x:c r="J778" s="18" t="str">
        <x:v>New customer</x:v>
      </x:c>
      <x:c r="K778" s="20" t="n">
        <x:v>46170.5</x:v>
      </x:c>
    </x:row>
    <x:row r="779" ht="15" hidden="0" customHeight="1">
      <x:c r="A779" s="18" t="str">
        <x:v>LN000778</x:v>
      </x:c>
      <x:c r="B779" s="18" t="str">
        <x:v>LOS-SYN-0000778</x:v>
      </x:c>
      <x:c r="C779" s="18" t="str">
        <x:v>EMP013</x:v>
      </x:c>
      <x:c r="D779" s="18" t="str">
        <x:v>CY2026Q2</x:v>
      </x:c>
      <x:c r="E779" s="18" t="str">
        <x:v>BR005</x:v>
      </x:c>
      <x:c r="F779" s="20" t="n">
        <x:v>46121.5</x:v>
      </x:c>
      <x:c r="G779" s="18" t="str">
        <x:v>Funded</x:v>
      </x:c>
      <x:c r="H779" s="23" t="n">
        <x:v>48500</x:v>
      </x:c>
      <x:c r="I779" s="18" t="str">
        <x:v>Auto loan</x:v>
      </x:c>
      <x:c r="J779" s="18" t="str">
        <x:v>Existing customer</x:v>
      </x:c>
      <x:c r="K779" s="20" t="n">
        <x:v>46127.5</x:v>
      </x:c>
    </x:row>
    <x:row r="780" ht="15" hidden="0" customHeight="1">
      <x:c r="A780" s="18" t="str">
        <x:v>LN000779</x:v>
      </x:c>
      <x:c r="B780" s="18" t="str">
        <x:v>LOS-SYN-0000779</x:v>
      </x:c>
      <x:c r="C780" s="18" t="str">
        <x:v>EMP013</x:v>
      </x:c>
      <x:c r="D780" s="18" t="str">
        <x:v>CY2026Q2</x:v>
      </x:c>
      <x:c r="E780" s="18" t="str">
        <x:v>BR005</x:v>
      </x:c>
      <x:c r="F780" s="20" t="n">
        <x:v>46189.5</x:v>
      </x:c>
      <x:c r="G780" s="18" t="str">
        <x:v>Funded</x:v>
      </x:c>
      <x:c r="H780" s="23" t="n">
        <x:v>57500</x:v>
      </x:c>
      <x:c r="I780" s="18" t="str">
        <x:v>Home improvement loan</x:v>
      </x:c>
      <x:c r="J780" s="18" t="str">
        <x:v>Referral</x:v>
      </x:c>
      <x:c r="K780" s="20" t="n">
        <x:v>46195.5</x:v>
      </x:c>
    </x:row>
    <x:row r="781" ht="15" hidden="0" customHeight="1">
      <x:c r="A781" s="18" t="str">
        <x:v>LN000780</x:v>
      </x:c>
      <x:c r="B781" s="18" t="str">
        <x:v>LOS-SYN-0000780</x:v>
      </x:c>
      <x:c r="C781" s="18" t="str">
        <x:v>EMP014</x:v>
      </x:c>
      <x:c r="D781" s="18" t="str">
        <x:v>CY2026Q2</x:v>
      </x:c>
      <x:c r="E781" s="18" t="str">
        <x:v>BR006</x:v>
      </x:c>
      <x:c r="F781" s="20" t="n">
        <x:v>46185.5</x:v>
      </x:c>
      <x:c r="G781" s="18" t="str">
        <x:v>Funded</x:v>
      </x:c>
      <x:c r="H781" s="23" t="n">
        <x:v>51000</x:v>
      </x:c>
      <x:c r="I781" s="18" t="str">
        <x:v>Debt consolidation loan</x:v>
      </x:c>
      <x:c r="J781" s="18" t="str">
        <x:v>Existing customer</x:v>
      </x:c>
      <x:c r="K781" s="20" t="n">
        <x:v>46189.5</x:v>
      </x:c>
    </x:row>
    <x:row r="782" ht="15" hidden="0" customHeight="1">
      <x:c r="A782" s="18" t="str">
        <x:v>LN000781</x:v>
      </x:c>
      <x:c r="B782" s="18" t="str">
        <x:v>LOS-SYN-0000781</x:v>
      </x:c>
      <x:c r="C782" s="18" t="str">
        <x:v>EMP014</x:v>
      </x:c>
      <x:c r="D782" s="18" t="str">
        <x:v>CY2026Q2</x:v>
      </x:c>
      <x:c r="E782" s="18" t="str">
        <x:v>BR006</x:v>
      </x:c>
      <x:c r="F782" s="20" t="n">
        <x:v>46168.5</x:v>
      </x:c>
      <x:c r="G782" s="18" t="str">
        <x:v>Funded</x:v>
      </x:c>
      <x:c r="H782" s="23" t="n">
        <x:v>45000</x:v>
      </x:c>
      <x:c r="I782" s="18" t="str">
        <x:v>Home improvement loan</x:v>
      </x:c>
      <x:c r="J782" s="18" t="str">
        <x:v>New customer</x:v>
      </x:c>
      <x:c r="K782" s="20" t="n">
        <x:v>46173.5</x:v>
      </x:c>
    </x:row>
    <x:row r="783" ht="15" hidden="0" customHeight="1">
      <x:c r="A783" s="18" t="str">
        <x:v>LN000782</x:v>
      </x:c>
      <x:c r="B783" s="18" t="str">
        <x:v>LOS-SYN-0000782</x:v>
      </x:c>
      <x:c r="C783" s="18" t="str">
        <x:v>EMP014</x:v>
      </x:c>
      <x:c r="D783" s="18" t="str">
        <x:v>CY2026Q2</x:v>
      </x:c>
      <x:c r="E783" s="18" t="str">
        <x:v>BR006</x:v>
      </x:c>
      <x:c r="F783" s="20" t="n">
        <x:v>46139.5</x:v>
      </x:c>
      <x:c r="G783" s="18" t="str">
        <x:v>Funded</x:v>
      </x:c>
      <x:c r="H783" s="23" t="n">
        <x:v>45500</x:v>
      </x:c>
      <x:c r="I783" s="18" t="str">
        <x:v>Auto loan</x:v>
      </x:c>
      <x:c r="J783" s="18" t="str">
        <x:v>New customer</x:v>
      </x:c>
      <x:c r="K783" s="20" t="n">
        <x:v>46148.5</x:v>
      </x:c>
    </x:row>
    <x:row r="784" ht="15" hidden="0" customHeight="1">
      <x:c r="A784" s="18" t="str">
        <x:v>LN000783</x:v>
      </x:c>
      <x:c r="B784" s="18" t="str">
        <x:v>LOS-SYN-0000783</x:v>
      </x:c>
      <x:c r="C784" s="18" t="str">
        <x:v>EMP014</x:v>
      </x:c>
      <x:c r="D784" s="18" t="str">
        <x:v>CY2026Q2</x:v>
      </x:c>
      <x:c r="E784" s="18" t="str">
        <x:v>BR006</x:v>
      </x:c>
      <x:c r="F784" s="20" t="n">
        <x:v>46196.5</x:v>
      </x:c>
      <x:c r="G784" s="18" t="str">
        <x:v>Funded</x:v>
      </x:c>
      <x:c r="H784" s="23" t="n">
        <x:v>43000</x:v>
      </x:c>
      <x:c r="I784" s="18" t="str">
        <x:v>Home improvement loan</x:v>
      </x:c>
      <x:c r="J784" s="18" t="str">
        <x:v>New customer</x:v>
      </x:c>
      <x:c r="K784" s="20" t="n">
        <x:v>46204.5</x:v>
      </x:c>
    </x:row>
    <x:row r="785" ht="15" hidden="0" customHeight="1">
      <x:c r="A785" s="18" t="str">
        <x:v>LN000784</x:v>
      </x:c>
      <x:c r="B785" s="18" t="str">
        <x:v>LOS-SYN-0000784</x:v>
      </x:c>
      <x:c r="C785" s="18" t="str">
        <x:v>EMP014</x:v>
      </x:c>
      <x:c r="D785" s="18" t="str">
        <x:v>CY2026Q2</x:v>
      </x:c>
      <x:c r="E785" s="18" t="str">
        <x:v>BR006</x:v>
      </x:c>
      <x:c r="F785" s="20" t="n">
        <x:v>46191.5</x:v>
      </x:c>
      <x:c r="G785" s="18" t="str">
        <x:v>Funded</x:v>
      </x:c>
      <x:c r="H785" s="23" t="n">
        <x:v>48500</x:v>
      </x:c>
      <x:c r="I785" s="18" t="str">
        <x:v>Auto loan</x:v>
      </x:c>
      <x:c r="J785" s="18" t="str">
        <x:v>New customer</x:v>
      </x:c>
      <x:c r="K785" s="20" t="n">
        <x:v>46200.5</x:v>
      </x:c>
    </x:row>
    <x:row r="786" ht="15" hidden="0" customHeight="1">
      <x:c r="A786" s="18" t="str">
        <x:v>LN000785</x:v>
      </x:c>
      <x:c r="B786" s="18" t="str">
        <x:v>LOS-SYN-0000785</x:v>
      </x:c>
      <x:c r="C786" s="18" t="str">
        <x:v>EMP014</x:v>
      </x:c>
      <x:c r="D786" s="18" t="str">
        <x:v>CY2026Q2</x:v>
      </x:c>
      <x:c r="E786" s="18" t="str">
        <x:v>BR006</x:v>
      </x:c>
      <x:c r="F786" s="20" t="n">
        <x:v>46140.5</x:v>
      </x:c>
      <x:c r="G786" s="18" t="str">
        <x:v>Funded</x:v>
      </x:c>
      <x:c r="H786" s="23" t="n">
        <x:v>45000</x:v>
      </x:c>
      <x:c r="I786" s="18" t="str">
        <x:v>Personal loan</x:v>
      </x:c>
      <x:c r="J786" s="18" t="str">
        <x:v>Referral</x:v>
      </x:c>
      <x:c r="K786" s="20" t="n">
        <x:v>46146.5</x:v>
      </x:c>
    </x:row>
    <x:row r="787" ht="15" hidden="0" customHeight="1">
      <x:c r="A787" s="18" t="str">
        <x:v>LN000786</x:v>
      </x:c>
      <x:c r="B787" s="18" t="str">
        <x:v>LOS-SYN-0000786</x:v>
      </x:c>
      <x:c r="C787" s="18" t="str">
        <x:v>EMP014</x:v>
      </x:c>
      <x:c r="D787" s="18" t="str">
        <x:v>CY2026Q2</x:v>
      </x:c>
      <x:c r="E787" s="18" t="str">
        <x:v>BR006</x:v>
      </x:c>
      <x:c r="F787" s="20" t="n">
        <x:v>46155.5</x:v>
      </x:c>
      <x:c r="G787" s="18" t="str">
        <x:v>Funded</x:v>
      </x:c>
      <x:c r="H787" s="23" t="n">
        <x:v>38000</x:v>
      </x:c>
      <x:c r="I787" s="18" t="str">
        <x:v>Debt consolidation loan</x:v>
      </x:c>
      <x:c r="J787" s="18" t="str">
        <x:v>Existing customer</x:v>
      </x:c>
      <x:c r="K787" s="20" t="n">
        <x:v>46160.5</x:v>
      </x:c>
    </x:row>
    <x:row r="788" ht="15" hidden="0" customHeight="1">
      <x:c r="A788" s="18" t="str">
        <x:v>LN000787</x:v>
      </x:c>
      <x:c r="B788" s="18" t="str">
        <x:v>LOS-SYN-0000787</x:v>
      </x:c>
      <x:c r="C788" s="18" t="str">
        <x:v>EMP014</x:v>
      </x:c>
      <x:c r="D788" s="18" t="str">
        <x:v>CY2026Q2</x:v>
      </x:c>
      <x:c r="E788" s="18" t="str">
        <x:v>BR006</x:v>
      </x:c>
      <x:c r="F788" s="20" t="n">
        <x:v>46137.5</x:v>
      </x:c>
      <x:c r="G788" s="18" t="str">
        <x:v>Funded</x:v>
      </x:c>
      <x:c r="H788" s="23" t="n">
        <x:v>32500</x:v>
      </x:c>
      <x:c r="I788" s="18" t="str">
        <x:v>Home improvement loan</x:v>
      </x:c>
      <x:c r="J788" s="18" t="str">
        <x:v>Referral</x:v>
      </x:c>
      <x:c r="K788" s="20" t="n">
        <x:v>46141.5</x:v>
      </x:c>
    </x:row>
    <x:row r="789" ht="15" hidden="0" customHeight="1">
      <x:c r="A789" s="18" t="str">
        <x:v>LN000788</x:v>
      </x:c>
      <x:c r="B789" s="18" t="str">
        <x:v>LOS-SYN-0000788</x:v>
      </x:c>
      <x:c r="C789" s="18" t="str">
        <x:v>EMP014</x:v>
      </x:c>
      <x:c r="D789" s="18" t="str">
        <x:v>CY2026Q2</x:v>
      </x:c>
      <x:c r="E789" s="18" t="str">
        <x:v>BR006</x:v>
      </x:c>
      <x:c r="F789" s="20" t="n">
        <x:v>46157.5</x:v>
      </x:c>
      <x:c r="G789" s="18" t="str">
        <x:v>Funded</x:v>
      </x:c>
      <x:c r="H789" s="23" t="n">
        <x:v>45500</x:v>
      </x:c>
      <x:c r="I789" s="18" t="str">
        <x:v>Personal loan</x:v>
      </x:c>
      <x:c r="J789" s="18" t="str">
        <x:v>Referral</x:v>
      </x:c>
      <x:c r="K789" s="20" t="n">
        <x:v>46167.5</x:v>
      </x:c>
    </x:row>
    <x:row r="790" ht="15" hidden="0" customHeight="1">
      <x:c r="A790" s="18" t="str">
        <x:v>LN000789</x:v>
      </x:c>
      <x:c r="B790" s="18" t="str">
        <x:v>LOS-SYN-0000789</x:v>
      </x:c>
      <x:c r="C790" s="18" t="str">
        <x:v>EMP014</x:v>
      </x:c>
      <x:c r="D790" s="18" t="str">
        <x:v>CY2026Q2</x:v>
      </x:c>
      <x:c r="E790" s="18" t="str">
        <x:v>BR006</x:v>
      </x:c>
      <x:c r="F790" s="20" t="n">
        <x:v>46135.5</x:v>
      </x:c>
      <x:c r="G790" s="18" t="str">
        <x:v>Funded</x:v>
      </x:c>
      <x:c r="H790" s="23" t="n">
        <x:v>37000</x:v>
      </x:c>
      <x:c r="I790" s="18" t="str">
        <x:v>Home improvement loan</x:v>
      </x:c>
      <x:c r="J790" s="18" t="str">
        <x:v>Existing customer</x:v>
      </x:c>
      <x:c r="K790" s="20" t="n">
        <x:v>46139.5</x:v>
      </x:c>
    </x:row>
    <x:row r="791" ht="15" hidden="0" customHeight="1">
      <x:c r="A791" s="18" t="str">
        <x:v>LN000790</x:v>
      </x:c>
      <x:c r="B791" s="18" t="str">
        <x:v>LOS-SYN-0000790</x:v>
      </x:c>
      <x:c r="C791" s="18" t="str">
        <x:v>EMP014</x:v>
      </x:c>
      <x:c r="D791" s="18" t="str">
        <x:v>CY2026Q2</x:v>
      </x:c>
      <x:c r="E791" s="18" t="str">
        <x:v>BR006</x:v>
      </x:c>
      <x:c r="F791" s="20" t="n">
        <x:v>46120.5</x:v>
      </x:c>
      <x:c r="G791" s="18" t="str">
        <x:v>Cancelled</x:v>
      </x:c>
      <x:c r="H791" s="23" t="n">
        <x:v>41000</x:v>
      </x:c>
      <x:c r="I791" s="18" t="str">
        <x:v>Personal loan</x:v>
      </x:c>
      <x:c r="J791" s="18" t="str">
        <x:v>New customer</x:v>
      </x:c>
      <x:c r="K791" s="20"/>
    </x:row>
    <x:row r="792" ht="15" hidden="0" customHeight="1">
      <x:c r="A792" s="18" t="str">
        <x:v>LN000791</x:v>
      </x:c>
      <x:c r="B792" s="18" t="str">
        <x:v>LOS-SYN-0000791</x:v>
      </x:c>
      <x:c r="C792" s="18" t="str">
        <x:v>EMP015</x:v>
      </x:c>
      <x:c r="D792" s="18" t="str">
        <x:v>CY2026Q2</x:v>
      </x:c>
      <x:c r="E792" s="18" t="str">
        <x:v>BR006</x:v>
      </x:c>
      <x:c r="F792" s="20" t="n">
        <x:v>46187.5</x:v>
      </x:c>
      <x:c r="G792" s="18" t="str">
        <x:v>Funded</x:v>
      </x:c>
      <x:c r="H792" s="23" t="n">
        <x:v>43000</x:v>
      </x:c>
      <x:c r="I792" s="18" t="str">
        <x:v>Debt consolidation loan</x:v>
      </x:c>
      <x:c r="J792" s="18" t="str">
        <x:v>Existing customer</x:v>
      </x:c>
      <x:c r="K792" s="20" t="n">
        <x:v>46193.5</x:v>
      </x:c>
    </x:row>
    <x:row r="793" ht="15" hidden="0" customHeight="1">
      <x:c r="A793" s="18" t="str">
        <x:v>LN000792</x:v>
      </x:c>
      <x:c r="B793" s="18" t="str">
        <x:v>LOS-SYN-0000792</x:v>
      </x:c>
      <x:c r="C793" s="18" t="str">
        <x:v>EMP015</x:v>
      </x:c>
      <x:c r="D793" s="18" t="str">
        <x:v>CY2026Q2</x:v>
      </x:c>
      <x:c r="E793" s="18" t="str">
        <x:v>BR006</x:v>
      </x:c>
      <x:c r="F793" s="20" t="n">
        <x:v>46186.5</x:v>
      </x:c>
      <x:c r="G793" s="18" t="str">
        <x:v>Funded</x:v>
      </x:c>
      <x:c r="H793" s="23" t="n">
        <x:v>30500</x:v>
      </x:c>
      <x:c r="I793" s="18" t="str">
        <x:v>Personal loan</x:v>
      </x:c>
      <x:c r="J793" s="18" t="str">
        <x:v>Referral</x:v>
      </x:c>
      <x:c r="K793" s="20" t="n">
        <x:v>46195.5</x:v>
      </x:c>
    </x:row>
    <x:row r="794" ht="15" hidden="0" customHeight="1">
      <x:c r="A794" s="18" t="str">
        <x:v>LN000793</x:v>
      </x:c>
      <x:c r="B794" s="18" t="str">
        <x:v>LOS-SYN-0000793</x:v>
      </x:c>
      <x:c r="C794" s="18" t="str">
        <x:v>EMP015</x:v>
      </x:c>
      <x:c r="D794" s="18" t="str">
        <x:v>CY2026Q2</x:v>
      </x:c>
      <x:c r="E794" s="18" t="str">
        <x:v>BR006</x:v>
      </x:c>
      <x:c r="F794" s="20" t="n">
        <x:v>46134.5</x:v>
      </x:c>
      <x:c r="G794" s="18" t="str">
        <x:v>Funded</x:v>
      </x:c>
      <x:c r="H794" s="23" t="n">
        <x:v>29500</x:v>
      </x:c>
      <x:c r="I794" s="18" t="str">
        <x:v>Debt consolidation loan</x:v>
      </x:c>
      <x:c r="J794" s="18" t="str">
        <x:v>New customer</x:v>
      </x:c>
      <x:c r="K794" s="20" t="n">
        <x:v>46137.5</x:v>
      </x:c>
    </x:row>
    <x:row r="795" ht="15" hidden="0" customHeight="1">
      <x:c r="A795" s="18" t="str">
        <x:v>LN000794</x:v>
      </x:c>
      <x:c r="B795" s="18" t="str">
        <x:v>LOS-SYN-0000794</x:v>
      </x:c>
      <x:c r="C795" s="18" t="str">
        <x:v>EMP015</x:v>
      </x:c>
      <x:c r="D795" s="18" t="str">
        <x:v>CY2026Q2</x:v>
      </x:c>
      <x:c r="E795" s="18" t="str">
        <x:v>BR006</x:v>
      </x:c>
      <x:c r="F795" s="20" t="n">
        <x:v>46192.5</x:v>
      </x:c>
      <x:c r="G795" s="18" t="str">
        <x:v>Funded</x:v>
      </x:c>
      <x:c r="H795" s="23" t="n">
        <x:v>39000</x:v>
      </x:c>
      <x:c r="I795" s="18" t="str">
        <x:v>Home improvement loan</x:v>
      </x:c>
      <x:c r="J795" s="18" t="str">
        <x:v>New customer</x:v>
      </x:c>
      <x:c r="K795" s="20" t="n">
        <x:v>46197.5</x:v>
      </x:c>
    </x:row>
    <x:row r="796" ht="15" hidden="0" customHeight="1">
      <x:c r="A796" s="18" t="str">
        <x:v>LN000795</x:v>
      </x:c>
      <x:c r="B796" s="18" t="str">
        <x:v>LOS-SYN-0000795</x:v>
      </x:c>
      <x:c r="C796" s="18" t="str">
        <x:v>EMP015</x:v>
      </x:c>
      <x:c r="D796" s="18" t="str">
        <x:v>CY2026Q2</x:v>
      </x:c>
      <x:c r="E796" s="18" t="str">
        <x:v>BR006</x:v>
      </x:c>
      <x:c r="F796" s="20" t="n">
        <x:v>46132.5</x:v>
      </x:c>
      <x:c r="G796" s="18" t="str">
        <x:v>Funded</x:v>
      </x:c>
      <x:c r="H796" s="23" t="n">
        <x:v>30500</x:v>
      </x:c>
      <x:c r="I796" s="18" t="str">
        <x:v>Personal loan</x:v>
      </x:c>
      <x:c r="J796" s="18" t="str">
        <x:v>Existing customer</x:v>
      </x:c>
      <x:c r="K796" s="20" t="n">
        <x:v>46135.5</x:v>
      </x:c>
    </x:row>
    <x:row r="797" ht="15" hidden="0" customHeight="1">
      <x:c r="A797" s="18" t="str">
        <x:v>LN000796</x:v>
      </x:c>
      <x:c r="B797" s="18" t="str">
        <x:v>LOS-SYN-0000796</x:v>
      </x:c>
      <x:c r="C797" s="18" t="str">
        <x:v>EMP015</x:v>
      </x:c>
      <x:c r="D797" s="18" t="str">
        <x:v>CY2026Q2</x:v>
      </x:c>
      <x:c r="E797" s="18" t="str">
        <x:v>BR006</x:v>
      </x:c>
      <x:c r="F797" s="20" t="n">
        <x:v>46113.5</x:v>
      </x:c>
      <x:c r="G797" s="18" t="str">
        <x:v>Funded</x:v>
      </x:c>
      <x:c r="H797" s="23" t="n">
        <x:v>41500</x:v>
      </x:c>
      <x:c r="I797" s="18" t="str">
        <x:v>Auto loan</x:v>
      </x:c>
      <x:c r="J797" s="18" t="str">
        <x:v>Referral</x:v>
      </x:c>
      <x:c r="K797" s="20" t="n">
        <x:v>46116.5</x:v>
      </x:c>
    </x:row>
    <x:row r="798" ht="15" hidden="0" customHeight="1">
      <x:c r="A798" s="18" t="str">
        <x:v>LN000797</x:v>
      </x:c>
      <x:c r="B798" s="18" t="str">
        <x:v>LOS-SYN-0000797</x:v>
      </x:c>
      <x:c r="C798" s="18" t="str">
        <x:v>EMP015</x:v>
      </x:c>
      <x:c r="D798" s="18" t="str">
        <x:v>CY2026Q2</x:v>
      </x:c>
      <x:c r="E798" s="18" t="str">
        <x:v>BR006</x:v>
      </x:c>
      <x:c r="F798" s="20" t="n">
        <x:v>46182.5</x:v>
      </x:c>
      <x:c r="G798" s="18" t="str">
        <x:v>Funded</x:v>
      </x:c>
      <x:c r="H798" s="23" t="n">
        <x:v>26000</x:v>
      </x:c>
      <x:c r="I798" s="18" t="str">
        <x:v>Auto loan</x:v>
      </x:c>
      <x:c r="J798" s="18" t="str">
        <x:v>Referral</x:v>
      </x:c>
      <x:c r="K798" s="20" t="n">
        <x:v>46188.5</x:v>
      </x:c>
    </x:row>
    <x:row r="799" ht="15" hidden="0" customHeight="1">
      <x:c r="A799" s="18" t="str">
        <x:v>LN000798</x:v>
      </x:c>
      <x:c r="B799" s="18" t="str">
        <x:v>LOS-SYN-0000798</x:v>
      </x:c>
      <x:c r="C799" s="18" t="str">
        <x:v>EMP001</x:v>
      </x:c>
      <x:c r="D799" s="18" t="str">
        <x:v>CY2026Q3</x:v>
      </x:c>
      <x:c r="E799" s="18" t="str">
        <x:v>BR001</x:v>
      </x:c>
      <x:c r="F799" s="20" t="n">
        <x:v>46253.5</x:v>
      </x:c>
      <x:c r="G799" s="18" t="str">
        <x:v>Funded</x:v>
      </x:c>
      <x:c r="H799" s="23" t="n">
        <x:v>40000</x:v>
      </x:c>
      <x:c r="I799" s="18" t="str">
        <x:v>Debt consolidation loan</x:v>
      </x:c>
      <x:c r="J799" s="18" t="str">
        <x:v>Referral</x:v>
      </x:c>
      <x:c r="K799" s="20" t="n">
        <x:v>46265.5</x:v>
      </x:c>
    </x:row>
    <x:row r="800" ht="15" hidden="0" customHeight="1">
      <x:c r="A800" s="18" t="str">
        <x:v>LN000799</x:v>
      </x:c>
      <x:c r="B800" s="18" t="str">
        <x:v>LOS-SYN-0000799</x:v>
      </x:c>
      <x:c r="C800" s="18" t="str">
        <x:v>EMP001</x:v>
      </x:c>
      <x:c r="D800" s="18" t="str">
        <x:v>CY2026Q3</x:v>
      </x:c>
      <x:c r="E800" s="18" t="str">
        <x:v>BR001</x:v>
      </x:c>
      <x:c r="F800" s="20" t="n">
        <x:v>46268.5</x:v>
      </x:c>
      <x:c r="G800" s="18" t="str">
        <x:v>Funded</x:v>
      </x:c>
      <x:c r="H800" s="23" t="n">
        <x:v>32500</x:v>
      </x:c>
      <x:c r="I800" s="18" t="str">
        <x:v>Debt consolidation loan</x:v>
      </x:c>
      <x:c r="J800" s="18" t="str">
        <x:v>Referral</x:v>
      </x:c>
      <x:c r="K800" s="20" t="n">
        <x:v>46276.5</x:v>
      </x:c>
    </x:row>
    <x:row r="801" ht="15" hidden="0" customHeight="1">
      <x:c r="A801" s="18" t="str">
        <x:v>LN000800</x:v>
      </x:c>
      <x:c r="B801" s="18" t="str">
        <x:v>LOS-SYN-0000800</x:v>
      </x:c>
      <x:c r="C801" s="18" t="str">
        <x:v>EMP001</x:v>
      </x:c>
      <x:c r="D801" s="18" t="str">
        <x:v>CY2026Q3</x:v>
      </x:c>
      <x:c r="E801" s="18" t="str">
        <x:v>BR001</x:v>
      </x:c>
      <x:c r="F801" s="20" t="n">
        <x:v>46256.5</x:v>
      </x:c>
      <x:c r="G801" s="18" t="str">
        <x:v>Funded</x:v>
      </x:c>
      <x:c r="H801" s="23" t="n">
        <x:v>44500</x:v>
      </x:c>
      <x:c r="I801" s="18" t="str">
        <x:v>Home improvement loan</x:v>
      </x:c>
      <x:c r="J801" s="18" t="str">
        <x:v>New customer</x:v>
      </x:c>
      <x:c r="K801" s="20" t="n">
        <x:v>46263.5</x:v>
      </x:c>
    </x:row>
    <x:row r="802" ht="15" hidden="0" customHeight="1">
      <x:c r="A802" s="18" t="str">
        <x:v>LN000801</x:v>
      </x:c>
      <x:c r="B802" s="18" t="str">
        <x:v>LOS-SYN-0000801</x:v>
      </x:c>
      <x:c r="C802" s="18" t="str">
        <x:v>EMP001</x:v>
      </x:c>
      <x:c r="D802" s="18" t="str">
        <x:v>CY2026Q3</x:v>
      </x:c>
      <x:c r="E802" s="18" t="str">
        <x:v>BR001</x:v>
      </x:c>
      <x:c r="F802" s="20" t="n">
        <x:v>46232.5</x:v>
      </x:c>
      <x:c r="G802" s="18" t="str">
        <x:v>Funded</x:v>
      </x:c>
      <x:c r="H802" s="23" t="n">
        <x:v>47500</x:v>
      </x:c>
      <x:c r="I802" s="18" t="str">
        <x:v>Auto loan</x:v>
      </x:c>
      <x:c r="J802" s="18" t="str">
        <x:v>Referral</x:v>
      </x:c>
      <x:c r="K802" s="20" t="n">
        <x:v>46235.5</x:v>
      </x:c>
    </x:row>
    <x:row r="803" ht="15" hidden="0" customHeight="1">
      <x:c r="A803" s="18" t="str">
        <x:v>LN000802</x:v>
      </x:c>
      <x:c r="B803" s="18" t="str">
        <x:v>LOS-SYN-0000802</x:v>
      </x:c>
      <x:c r="C803" s="18" t="str">
        <x:v>EMP001</x:v>
      </x:c>
      <x:c r="D803" s="18" t="str">
        <x:v>CY2026Q3</x:v>
      </x:c>
      <x:c r="E803" s="18" t="str">
        <x:v>BR001</x:v>
      </x:c>
      <x:c r="F803" s="20" t="n">
        <x:v>46276.5</x:v>
      </x:c>
      <x:c r="G803" s="18" t="str">
        <x:v>Funded</x:v>
      </x:c>
      <x:c r="H803" s="23" t="n">
        <x:v>47000</x:v>
      </x:c>
      <x:c r="I803" s="18" t="str">
        <x:v>Auto loan</x:v>
      </x:c>
      <x:c r="J803" s="18" t="str">
        <x:v>Referral</x:v>
      </x:c>
      <x:c r="K803" s="20" t="n">
        <x:v>46282.5</x:v>
      </x:c>
    </x:row>
    <x:row r="804" ht="15" hidden="0" customHeight="1">
      <x:c r="A804" s="18" t="str">
        <x:v>LN000803</x:v>
      </x:c>
      <x:c r="B804" s="18" t="str">
        <x:v>LOS-SYN-0000803</x:v>
      </x:c>
      <x:c r="C804" s="18" t="str">
        <x:v>EMP001</x:v>
      </x:c>
      <x:c r="D804" s="18" t="str">
        <x:v>CY2026Q3</x:v>
      </x:c>
      <x:c r="E804" s="18" t="str">
        <x:v>BR001</x:v>
      </x:c>
      <x:c r="F804" s="20" t="n">
        <x:v>46268.5</x:v>
      </x:c>
      <x:c r="G804" s="18" t="str">
        <x:v>Funded</x:v>
      </x:c>
      <x:c r="H804" s="23" t="n">
        <x:v>35500</x:v>
      </x:c>
      <x:c r="I804" s="18" t="str">
        <x:v>Auto loan</x:v>
      </x:c>
      <x:c r="J804" s="18" t="str">
        <x:v>New customer</x:v>
      </x:c>
      <x:c r="K804" s="20" t="n">
        <x:v>46271.5</x:v>
      </x:c>
    </x:row>
    <x:row r="805" ht="15" hidden="0" customHeight="1">
      <x:c r="A805" s="18" t="str">
        <x:v>LN000804</x:v>
      </x:c>
      <x:c r="B805" s="18" t="str">
        <x:v>LOS-SYN-0000804</x:v>
      </x:c>
      <x:c r="C805" s="18" t="str">
        <x:v>EMP001</x:v>
      </x:c>
      <x:c r="D805" s="18" t="str">
        <x:v>CY2026Q3</x:v>
      </x:c>
      <x:c r="E805" s="18" t="str">
        <x:v>BR001</x:v>
      </x:c>
      <x:c r="F805" s="20" t="n">
        <x:v>46257.5</x:v>
      </x:c>
      <x:c r="G805" s="18" t="str">
        <x:v>Funded</x:v>
      </x:c>
      <x:c r="H805" s="23" t="n">
        <x:v>28500</x:v>
      </x:c>
      <x:c r="I805" s="18" t="str">
        <x:v>Debt consolidation loan</x:v>
      </x:c>
      <x:c r="J805" s="18" t="str">
        <x:v>Referral</x:v>
      </x:c>
      <x:c r="K805" s="20" t="n">
        <x:v>46269.5</x:v>
      </x:c>
    </x:row>
    <x:row r="806" ht="15" hidden="0" customHeight="1">
      <x:c r="A806" s="18" t="str">
        <x:v>LN000805</x:v>
      </x:c>
      <x:c r="B806" s="18" t="str">
        <x:v>LOS-SYN-0000805</x:v>
      </x:c>
      <x:c r="C806" s="18" t="str">
        <x:v>EMP001</x:v>
      </x:c>
      <x:c r="D806" s="18" t="str">
        <x:v>CY2026Q3</x:v>
      </x:c>
      <x:c r="E806" s="18" t="str">
        <x:v>BR001</x:v>
      </x:c>
      <x:c r="F806" s="20" t="n">
        <x:v>46207.5</x:v>
      </x:c>
      <x:c r="G806" s="18" t="str">
        <x:v>Funded</x:v>
      </x:c>
      <x:c r="H806" s="23" t="n">
        <x:v>44500</x:v>
      </x:c>
      <x:c r="I806" s="18" t="str">
        <x:v>Auto loan</x:v>
      </x:c>
      <x:c r="J806" s="18" t="str">
        <x:v>New customer</x:v>
      </x:c>
      <x:c r="K806" s="20" t="n">
        <x:v>46210.5</x:v>
      </x:c>
    </x:row>
    <x:row r="807" ht="15" hidden="0" customHeight="1">
      <x:c r="A807" s="18" t="str">
        <x:v>LN000806</x:v>
      </x:c>
      <x:c r="B807" s="18" t="str">
        <x:v>LOS-SYN-0000806</x:v>
      </x:c>
      <x:c r="C807" s="18" t="str">
        <x:v>EMP001</x:v>
      </x:c>
      <x:c r="D807" s="18" t="str">
        <x:v>CY2026Q3</x:v>
      </x:c>
      <x:c r="E807" s="18" t="str">
        <x:v>BR001</x:v>
      </x:c>
      <x:c r="F807" s="20" t="n">
        <x:v>46232.5</x:v>
      </x:c>
      <x:c r="G807" s="18" t="str">
        <x:v>Funded</x:v>
      </x:c>
      <x:c r="H807" s="23" t="n">
        <x:v>33000</x:v>
      </x:c>
      <x:c r="I807" s="18" t="str">
        <x:v>Home improvement loan</x:v>
      </x:c>
      <x:c r="J807" s="18" t="str">
        <x:v>New customer</x:v>
      </x:c>
      <x:c r="K807" s="20" t="n">
        <x:v>46244.5</x:v>
      </x:c>
    </x:row>
    <x:row r="808" ht="15" hidden="0" customHeight="1">
      <x:c r="A808" s="18" t="str">
        <x:v>LN000807</x:v>
      </x:c>
      <x:c r="B808" s="18" t="str">
        <x:v>LOS-SYN-0000807</x:v>
      </x:c>
      <x:c r="C808" s="18" t="str">
        <x:v>EMP001</x:v>
      </x:c>
      <x:c r="D808" s="18" t="str">
        <x:v>CY2026Q3</x:v>
      </x:c>
      <x:c r="E808" s="18" t="str">
        <x:v>BR001</x:v>
      </x:c>
      <x:c r="F808" s="20" t="n">
        <x:v>46275.5</x:v>
      </x:c>
      <x:c r="G808" s="18" t="str">
        <x:v>Funded</x:v>
      </x:c>
      <x:c r="H808" s="23" t="n">
        <x:v>46500</x:v>
      </x:c>
      <x:c r="I808" s="18" t="str">
        <x:v>Auto loan</x:v>
      </x:c>
      <x:c r="J808" s="18" t="str">
        <x:v>New customer</x:v>
      </x:c>
      <x:c r="K808" s="20" t="n">
        <x:v>46282.5</x:v>
      </x:c>
    </x:row>
    <x:row r="809" ht="15" hidden="0" customHeight="1">
      <x:c r="A809" s="18" t="str">
        <x:v>LN000808</x:v>
      </x:c>
      <x:c r="B809" s="18" t="str">
        <x:v>LOS-SYN-0000808</x:v>
      </x:c>
      <x:c r="C809" s="18" t="str">
        <x:v>EMP001</x:v>
      </x:c>
      <x:c r="D809" s="18" t="str">
        <x:v>CY2026Q3</x:v>
      </x:c>
      <x:c r="E809" s="18" t="str">
        <x:v>BR001</x:v>
      </x:c>
      <x:c r="F809" s="20" t="n">
        <x:v>46212.5</x:v>
      </x:c>
      <x:c r="G809" s="18" t="str">
        <x:v>Funded</x:v>
      </x:c>
      <x:c r="H809" s="23" t="n">
        <x:v>39500</x:v>
      </x:c>
      <x:c r="I809" s="18" t="str">
        <x:v>Auto loan</x:v>
      </x:c>
      <x:c r="J809" s="18" t="str">
        <x:v>Existing customer</x:v>
      </x:c>
      <x:c r="K809" s="20" t="n">
        <x:v>46215.5</x:v>
      </x:c>
    </x:row>
    <x:row r="810" ht="15" hidden="0" customHeight="1">
      <x:c r="A810" s="18" t="str">
        <x:v>LN000809</x:v>
      </x:c>
      <x:c r="B810" s="18" t="str">
        <x:v>LOS-SYN-0000809</x:v>
      </x:c>
      <x:c r="C810" s="18" t="str">
        <x:v>EMP001</x:v>
      </x:c>
      <x:c r="D810" s="18" t="str">
        <x:v>CY2026Q3</x:v>
      </x:c>
      <x:c r="E810" s="18" t="str">
        <x:v>BR001</x:v>
      </x:c>
      <x:c r="F810" s="20" t="n">
        <x:v>46221.5</x:v>
      </x:c>
      <x:c r="G810" s="18" t="str">
        <x:v>Funded</x:v>
      </x:c>
      <x:c r="H810" s="23" t="n">
        <x:v>37000</x:v>
      </x:c>
      <x:c r="I810" s="18" t="str">
        <x:v>Debt consolidation loan</x:v>
      </x:c>
      <x:c r="J810" s="18" t="str">
        <x:v>New customer</x:v>
      </x:c>
      <x:c r="K810" s="20" t="n">
        <x:v>46226.5</x:v>
      </x:c>
    </x:row>
    <x:row r="811" ht="15" hidden="0" customHeight="1">
      <x:c r="A811" s="18" t="str">
        <x:v>LN000810</x:v>
      </x:c>
      <x:c r="B811" s="18" t="str">
        <x:v>LOS-SYN-0000810</x:v>
      </x:c>
      <x:c r="C811" s="18" t="str">
        <x:v>EMP001</x:v>
      </x:c>
      <x:c r="D811" s="18" t="str">
        <x:v>CY2026Q3</x:v>
      </x:c>
      <x:c r="E811" s="18" t="str">
        <x:v>BR001</x:v>
      </x:c>
      <x:c r="F811" s="20" t="n">
        <x:v>46212.5</x:v>
      </x:c>
      <x:c r="G811" s="18" t="str">
        <x:v>Cancelled</x:v>
      </x:c>
      <x:c r="H811" s="23" t="n">
        <x:v>70000</x:v>
      </x:c>
      <x:c r="I811" s="18" t="str">
        <x:v>Personal loan</x:v>
      </x:c>
      <x:c r="J811" s="18" t="str">
        <x:v>New customer</x:v>
      </x:c>
      <x:c r="K811" s="20"/>
    </x:row>
    <x:row r="812" ht="15" hidden="0" customHeight="1">
      <x:c r="A812" s="18" t="str">
        <x:v>LN000811</x:v>
      </x:c>
      <x:c r="B812" s="18" t="str">
        <x:v>LOS-SYN-0000811</x:v>
      </x:c>
      <x:c r="C812" s="18" t="str">
        <x:v>EMP002</x:v>
      </x:c>
      <x:c r="D812" s="18" t="str">
        <x:v>CY2026Q3</x:v>
      </x:c>
      <x:c r="E812" s="18" t="str">
        <x:v>BR001</x:v>
      </x:c>
      <x:c r="F812" s="20" t="n">
        <x:v>46260.5</x:v>
      </x:c>
      <x:c r="G812" s="18" t="str">
        <x:v>Funded</x:v>
      </x:c>
      <x:c r="H812" s="23" t="n">
        <x:v>46500</x:v>
      </x:c>
      <x:c r="I812" s="18" t="str">
        <x:v>Debt consolidation loan</x:v>
      </x:c>
      <x:c r="J812" s="18" t="str">
        <x:v>Existing customer</x:v>
      </x:c>
      <x:c r="K812" s="20" t="n">
        <x:v>46266.5</x:v>
      </x:c>
    </x:row>
    <x:row r="813" ht="15" hidden="0" customHeight="1">
      <x:c r="A813" s="18" t="str">
        <x:v>LN000812</x:v>
      </x:c>
      <x:c r="B813" s="18" t="str">
        <x:v>LOS-SYN-0000812</x:v>
      </x:c>
      <x:c r="C813" s="18" t="str">
        <x:v>EMP002</x:v>
      </x:c>
      <x:c r="D813" s="18" t="str">
        <x:v>CY2026Q3</x:v>
      </x:c>
      <x:c r="E813" s="18" t="str">
        <x:v>BR001</x:v>
      </x:c>
      <x:c r="F813" s="20" t="n">
        <x:v>46252.5</x:v>
      </x:c>
      <x:c r="G813" s="18" t="str">
        <x:v>Funded</x:v>
      </x:c>
      <x:c r="H813" s="23" t="n">
        <x:v>39500</x:v>
      </x:c>
      <x:c r="I813" s="18" t="str">
        <x:v>Personal loan</x:v>
      </x:c>
      <x:c r="J813" s="18" t="str">
        <x:v>Referral</x:v>
      </x:c>
      <x:c r="K813" s="20" t="n">
        <x:v>46262.5</x:v>
      </x:c>
    </x:row>
    <x:row r="814" ht="15" hidden="0" customHeight="1">
      <x:c r="A814" s="18" t="str">
        <x:v>LN000813</x:v>
      </x:c>
      <x:c r="B814" s="18" t="str">
        <x:v>LOS-SYN-0000813</x:v>
      </x:c>
      <x:c r="C814" s="18" t="str">
        <x:v>EMP002</x:v>
      </x:c>
      <x:c r="D814" s="18" t="str">
        <x:v>CY2026Q3</x:v>
      </x:c>
      <x:c r="E814" s="18" t="str">
        <x:v>BR001</x:v>
      </x:c>
      <x:c r="F814" s="20" t="n">
        <x:v>46263.5</x:v>
      </x:c>
      <x:c r="G814" s="18" t="str">
        <x:v>Funded</x:v>
      </x:c>
      <x:c r="H814" s="23" t="n">
        <x:v>39000</x:v>
      </x:c>
      <x:c r="I814" s="18" t="str">
        <x:v>Debt consolidation loan</x:v>
      </x:c>
      <x:c r="J814" s="18" t="str">
        <x:v>Existing customer</x:v>
      </x:c>
      <x:c r="K814" s="20" t="n">
        <x:v>46274.5</x:v>
      </x:c>
    </x:row>
    <x:row r="815" ht="15" hidden="0" customHeight="1">
      <x:c r="A815" s="18" t="str">
        <x:v>LN000814</x:v>
      </x:c>
      <x:c r="B815" s="18" t="str">
        <x:v>LOS-SYN-0000814</x:v>
      </x:c>
      <x:c r="C815" s="18" t="str">
        <x:v>EMP002</x:v>
      </x:c>
      <x:c r="D815" s="18" t="str">
        <x:v>CY2026Q3</x:v>
      </x:c>
      <x:c r="E815" s="18" t="str">
        <x:v>BR001</x:v>
      </x:c>
      <x:c r="F815" s="20" t="n">
        <x:v>46224.5</x:v>
      </x:c>
      <x:c r="G815" s="18" t="str">
        <x:v>Funded</x:v>
      </x:c>
      <x:c r="H815" s="23" t="n">
        <x:v>38500</x:v>
      </x:c>
      <x:c r="I815" s="18" t="str">
        <x:v>Debt consolidation loan</x:v>
      </x:c>
      <x:c r="J815" s="18" t="str">
        <x:v>Referral</x:v>
      </x:c>
      <x:c r="K815" s="20" t="n">
        <x:v>46231.5</x:v>
      </x:c>
    </x:row>
    <x:row r="816" ht="15" hidden="0" customHeight="1">
      <x:c r="A816" s="18" t="str">
        <x:v>LN000815</x:v>
      </x:c>
      <x:c r="B816" s="18" t="str">
        <x:v>LOS-SYN-0000815</x:v>
      </x:c>
      <x:c r="C816" s="18" t="str">
        <x:v>EMP002</x:v>
      </x:c>
      <x:c r="D816" s="18" t="str">
        <x:v>CY2026Q3</x:v>
      </x:c>
      <x:c r="E816" s="18" t="str">
        <x:v>BR001</x:v>
      </x:c>
      <x:c r="F816" s="20" t="n">
        <x:v>46232.5</x:v>
      </x:c>
      <x:c r="G816" s="18" t="str">
        <x:v>Funded</x:v>
      </x:c>
      <x:c r="H816" s="23" t="n">
        <x:v>38500</x:v>
      </x:c>
      <x:c r="I816" s="18" t="str">
        <x:v>Personal loan</x:v>
      </x:c>
      <x:c r="J816" s="18" t="str">
        <x:v>Existing customer</x:v>
      </x:c>
      <x:c r="K816" s="20" t="n">
        <x:v>46241.5</x:v>
      </x:c>
    </x:row>
    <x:row r="817" ht="15" hidden="0" customHeight="1">
      <x:c r="A817" s="18" t="str">
        <x:v>LN000816</x:v>
      </x:c>
      <x:c r="B817" s="18" t="str">
        <x:v>LOS-SYN-0000816</x:v>
      </x:c>
      <x:c r="C817" s="18" t="str">
        <x:v>EMP002</x:v>
      </x:c>
      <x:c r="D817" s="18" t="str">
        <x:v>CY2026Q3</x:v>
      </x:c>
      <x:c r="E817" s="18" t="str">
        <x:v>BR001</x:v>
      </x:c>
      <x:c r="F817" s="20" t="n">
        <x:v>46211.5</x:v>
      </x:c>
      <x:c r="G817" s="18" t="str">
        <x:v>Funded</x:v>
      </x:c>
      <x:c r="H817" s="23" t="n">
        <x:v>43500</x:v>
      </x:c>
      <x:c r="I817" s="18" t="str">
        <x:v>Home improvement loan</x:v>
      </x:c>
      <x:c r="J817" s="18" t="str">
        <x:v>New customer</x:v>
      </x:c>
      <x:c r="K817" s="20" t="n">
        <x:v>46223.5</x:v>
      </x:c>
    </x:row>
    <x:row r="818" ht="15" hidden="0" customHeight="1">
      <x:c r="A818" s="18" t="str">
        <x:v>LN000817</x:v>
      </x:c>
      <x:c r="B818" s="18" t="str">
        <x:v>LOS-SYN-0000817</x:v>
      </x:c>
      <x:c r="C818" s="18" t="str">
        <x:v>EMP002</x:v>
      </x:c>
      <x:c r="D818" s="18" t="str">
        <x:v>CY2026Q3</x:v>
      </x:c>
      <x:c r="E818" s="18" t="str">
        <x:v>BR001</x:v>
      </x:c>
      <x:c r="F818" s="20" t="n">
        <x:v>46232.5</x:v>
      </x:c>
      <x:c r="G818" s="18" t="str">
        <x:v>Funded</x:v>
      </x:c>
      <x:c r="H818" s="23" t="n">
        <x:v>31000</x:v>
      </x:c>
      <x:c r="I818" s="18" t="str">
        <x:v>Auto loan</x:v>
      </x:c>
      <x:c r="J818" s="18" t="str">
        <x:v>New customer</x:v>
      </x:c>
      <x:c r="K818" s="20" t="n">
        <x:v>46244.5</x:v>
      </x:c>
    </x:row>
    <x:row r="819" ht="15" hidden="0" customHeight="1">
      <x:c r="A819" s="18" t="str">
        <x:v>LN000818</x:v>
      </x:c>
      <x:c r="B819" s="18" t="str">
        <x:v>LOS-SYN-0000818</x:v>
      </x:c>
      <x:c r="C819" s="18" t="str">
        <x:v>EMP002</x:v>
      </x:c>
      <x:c r="D819" s="18" t="str">
        <x:v>CY2026Q3</x:v>
      </x:c>
      <x:c r="E819" s="18" t="str">
        <x:v>BR001</x:v>
      </x:c>
      <x:c r="F819" s="20" t="n">
        <x:v>46216.5</x:v>
      </x:c>
      <x:c r="G819" s="18" t="str">
        <x:v>Funded</x:v>
      </x:c>
      <x:c r="H819" s="23" t="n">
        <x:v>31500</x:v>
      </x:c>
      <x:c r="I819" s="18" t="str">
        <x:v>Auto loan</x:v>
      </x:c>
      <x:c r="J819" s="18" t="str">
        <x:v>New customer</x:v>
      </x:c>
      <x:c r="K819" s="20" t="n">
        <x:v>46228.5</x:v>
      </x:c>
    </x:row>
    <x:row r="820" ht="15" hidden="0" customHeight="1">
      <x:c r="A820" s="18" t="str">
        <x:v>LN000819</x:v>
      </x:c>
      <x:c r="B820" s="18" t="str">
        <x:v>LOS-SYN-0000819</x:v>
      </x:c>
      <x:c r="C820" s="18" t="str">
        <x:v>EMP002</x:v>
      </x:c>
      <x:c r="D820" s="18" t="str">
        <x:v>CY2026Q3</x:v>
      </x:c>
      <x:c r="E820" s="18" t="str">
        <x:v>BR001</x:v>
      </x:c>
      <x:c r="F820" s="20" t="n">
        <x:v>46254.5</x:v>
      </x:c>
      <x:c r="G820" s="18" t="str">
        <x:v>Funded</x:v>
      </x:c>
      <x:c r="H820" s="23" t="n">
        <x:v>46500</x:v>
      </x:c>
      <x:c r="I820" s="18" t="str">
        <x:v>Auto loan</x:v>
      </x:c>
      <x:c r="J820" s="18" t="str">
        <x:v>Referral</x:v>
      </x:c>
      <x:c r="K820" s="20" t="n">
        <x:v>46258.5</x:v>
      </x:c>
    </x:row>
    <x:row r="821" ht="15" hidden="0" customHeight="1">
      <x:c r="A821" s="18" t="str">
        <x:v>LN000820</x:v>
      </x:c>
      <x:c r="B821" s="18" t="str">
        <x:v>LOS-SYN-0000820</x:v>
      </x:c>
      <x:c r="C821" s="18" t="str">
        <x:v>EMP002</x:v>
      </x:c>
      <x:c r="D821" s="18" t="str">
        <x:v>CY2026Q3</x:v>
      </x:c>
      <x:c r="E821" s="18" t="str">
        <x:v>BR001</x:v>
      </x:c>
      <x:c r="F821" s="20" t="n">
        <x:v>46225.5</x:v>
      </x:c>
      <x:c r="G821" s="18" t="str">
        <x:v>Funded</x:v>
      </x:c>
      <x:c r="H821" s="23" t="n">
        <x:v>35000</x:v>
      </x:c>
      <x:c r="I821" s="18" t="str">
        <x:v>Home improvement loan</x:v>
      </x:c>
      <x:c r="J821" s="18" t="str">
        <x:v>New customer</x:v>
      </x:c>
      <x:c r="K821" s="20" t="n">
        <x:v>46232.5</x:v>
      </x:c>
    </x:row>
    <x:row r="822" ht="15" hidden="0" customHeight="1">
      <x:c r="A822" s="18" t="str">
        <x:v>LN000821</x:v>
      </x:c>
      <x:c r="B822" s="18" t="str">
        <x:v>LOS-SYN-0000821</x:v>
      </x:c>
      <x:c r="C822" s="18" t="str">
        <x:v>EMP002</x:v>
      </x:c>
      <x:c r="D822" s="18" t="str">
        <x:v>CY2026Q3</x:v>
      </x:c>
      <x:c r="E822" s="18" t="str">
        <x:v>BR001</x:v>
      </x:c>
      <x:c r="F822" s="20" t="n">
        <x:v>46268.5</x:v>
      </x:c>
      <x:c r="G822" s="18" t="str">
        <x:v>Funded</x:v>
      </x:c>
      <x:c r="H822" s="23" t="n">
        <x:v>33500</x:v>
      </x:c>
      <x:c r="I822" s="18" t="str">
        <x:v>Debt consolidation loan</x:v>
      </x:c>
      <x:c r="J822" s="18" t="str">
        <x:v>Referral</x:v>
      </x:c>
      <x:c r="K822" s="20" t="n">
        <x:v>46272.5</x:v>
      </x:c>
    </x:row>
    <x:row r="823" ht="15" hidden="0" customHeight="1">
      <x:c r="A823" s="18" t="str">
        <x:v>LN000822</x:v>
      </x:c>
      <x:c r="B823" s="18" t="str">
        <x:v>LOS-SYN-0000822</x:v>
      </x:c>
      <x:c r="C823" s="18" t="str">
        <x:v>EMP003</x:v>
      </x:c>
      <x:c r="D823" s="18" t="str">
        <x:v>CY2026Q3</x:v>
      </x:c>
      <x:c r="E823" s="18" t="str">
        <x:v>BR001</x:v>
      </x:c>
      <x:c r="F823" s="20" t="n">
        <x:v>46258.5</x:v>
      </x:c>
      <x:c r="G823" s="18" t="str">
        <x:v>Funded</x:v>
      </x:c>
      <x:c r="H823" s="23" t="n">
        <x:v>51000</x:v>
      </x:c>
      <x:c r="I823" s="18" t="str">
        <x:v>Auto loan</x:v>
      </x:c>
      <x:c r="J823" s="18" t="str">
        <x:v>New customer</x:v>
      </x:c>
      <x:c r="K823" s="20" t="n">
        <x:v>46265.5</x:v>
      </x:c>
    </x:row>
    <x:row r="824" ht="15" hidden="0" customHeight="1">
      <x:c r="A824" s="18" t="str">
        <x:v>LN000823</x:v>
      </x:c>
      <x:c r="B824" s="18" t="str">
        <x:v>LOS-SYN-0000823</x:v>
      </x:c>
      <x:c r="C824" s="18" t="str">
        <x:v>EMP003</x:v>
      </x:c>
      <x:c r="D824" s="18" t="str">
        <x:v>CY2026Q3</x:v>
      </x:c>
      <x:c r="E824" s="18" t="str">
        <x:v>BR001</x:v>
      </x:c>
      <x:c r="F824" s="20" t="n">
        <x:v>46279.5</x:v>
      </x:c>
      <x:c r="G824" s="18" t="str">
        <x:v>Funded</x:v>
      </x:c>
      <x:c r="H824" s="23" t="n">
        <x:v>38000</x:v>
      </x:c>
      <x:c r="I824" s="18" t="str">
        <x:v>Home improvement loan</x:v>
      </x:c>
      <x:c r="J824" s="18" t="str">
        <x:v>Referral</x:v>
      </x:c>
      <x:c r="K824" s="20" t="n">
        <x:v>46282.5</x:v>
      </x:c>
    </x:row>
    <x:row r="825" ht="15" hidden="0" customHeight="1">
      <x:c r="A825" s="18" t="str">
        <x:v>LN000824</x:v>
      </x:c>
      <x:c r="B825" s="18" t="str">
        <x:v>LOS-SYN-0000824</x:v>
      </x:c>
      <x:c r="C825" s="18" t="str">
        <x:v>EMP003</x:v>
      </x:c>
      <x:c r="D825" s="18" t="str">
        <x:v>CY2026Q3</x:v>
      </x:c>
      <x:c r="E825" s="18" t="str">
        <x:v>BR001</x:v>
      </x:c>
      <x:c r="F825" s="20" t="n">
        <x:v>46265.5</x:v>
      </x:c>
      <x:c r="G825" s="18" t="str">
        <x:v>Funded</x:v>
      </x:c>
      <x:c r="H825" s="23" t="n">
        <x:v>47000</x:v>
      </x:c>
      <x:c r="I825" s="18" t="str">
        <x:v>Personal loan</x:v>
      </x:c>
      <x:c r="J825" s="18" t="str">
        <x:v>New customer</x:v>
      </x:c>
      <x:c r="K825" s="20" t="n">
        <x:v>46271.5</x:v>
      </x:c>
    </x:row>
    <x:row r="826" ht="15" hidden="0" customHeight="1">
      <x:c r="A826" s="18" t="str">
        <x:v>LN000825</x:v>
      </x:c>
      <x:c r="B826" s="18" t="str">
        <x:v>LOS-SYN-0000825</x:v>
      </x:c>
      <x:c r="C826" s="18" t="str">
        <x:v>EMP003</x:v>
      </x:c>
      <x:c r="D826" s="18" t="str">
        <x:v>CY2026Q3</x:v>
      </x:c>
      <x:c r="E826" s="18" t="str">
        <x:v>BR001</x:v>
      </x:c>
      <x:c r="F826" s="20" t="n">
        <x:v>46258.5</x:v>
      </x:c>
      <x:c r="G826" s="18" t="str">
        <x:v>Funded</x:v>
      </x:c>
      <x:c r="H826" s="23" t="n">
        <x:v>36500</x:v>
      </x:c>
      <x:c r="I826" s="18" t="str">
        <x:v>Personal loan</x:v>
      </x:c>
      <x:c r="J826" s="18" t="str">
        <x:v>New customer</x:v>
      </x:c>
      <x:c r="K826" s="20" t="n">
        <x:v>46268.5</x:v>
      </x:c>
    </x:row>
    <x:row r="827" ht="15" hidden="0" customHeight="1">
      <x:c r="A827" s="18" t="str">
        <x:v>LN000826</x:v>
      </x:c>
      <x:c r="B827" s="18" t="str">
        <x:v>LOS-SYN-0000826</x:v>
      </x:c>
      <x:c r="C827" s="18" t="str">
        <x:v>EMP003</x:v>
      </x:c>
      <x:c r="D827" s="18" t="str">
        <x:v>CY2026Q3</x:v>
      </x:c>
      <x:c r="E827" s="18" t="str">
        <x:v>BR001</x:v>
      </x:c>
      <x:c r="F827" s="20" t="n">
        <x:v>46210.5</x:v>
      </x:c>
      <x:c r="G827" s="18" t="str">
        <x:v>Funded</x:v>
      </x:c>
      <x:c r="H827" s="23" t="n">
        <x:v>45500</x:v>
      </x:c>
      <x:c r="I827" s="18" t="str">
        <x:v>Debt consolidation loan</x:v>
      </x:c>
      <x:c r="J827" s="18" t="str">
        <x:v>Referral</x:v>
      </x:c>
      <x:c r="K827" s="20" t="n">
        <x:v>46215.5</x:v>
      </x:c>
    </x:row>
    <x:row r="828" ht="15" hidden="0" customHeight="1">
      <x:c r="A828" s="18" t="str">
        <x:v>LN000827</x:v>
      </x:c>
      <x:c r="B828" s="18" t="str">
        <x:v>LOS-SYN-0000827</x:v>
      </x:c>
      <x:c r="C828" s="18" t="str">
        <x:v>EMP003</x:v>
      </x:c>
      <x:c r="D828" s="18" t="str">
        <x:v>CY2026Q3</x:v>
      </x:c>
      <x:c r="E828" s="18" t="str">
        <x:v>BR001</x:v>
      </x:c>
      <x:c r="F828" s="20" t="n">
        <x:v>46284.5</x:v>
      </x:c>
      <x:c r="G828" s="18" t="str">
        <x:v>Funded</x:v>
      </x:c>
      <x:c r="H828" s="23" t="n">
        <x:v>61000</x:v>
      </x:c>
      <x:c r="I828" s="18" t="str">
        <x:v>Auto loan</x:v>
      </x:c>
      <x:c r="J828" s="18" t="str">
        <x:v>New customer</x:v>
      </x:c>
      <x:c r="K828" s="20" t="n">
        <x:v>46288.5</x:v>
      </x:c>
    </x:row>
    <x:row r="829" ht="15" hidden="0" customHeight="1">
      <x:c r="A829" s="18" t="str">
        <x:v>LN000828</x:v>
      </x:c>
      <x:c r="B829" s="18" t="str">
        <x:v>LOS-SYN-0000828</x:v>
      </x:c>
      <x:c r="C829" s="18" t="str">
        <x:v>EMP003</x:v>
      </x:c>
      <x:c r="D829" s="18" t="str">
        <x:v>CY2026Q3</x:v>
      </x:c>
      <x:c r="E829" s="18" t="str">
        <x:v>BR001</x:v>
      </x:c>
      <x:c r="F829" s="20" t="n">
        <x:v>46286.5</x:v>
      </x:c>
      <x:c r="G829" s="18" t="str">
        <x:v>Funded</x:v>
      </x:c>
      <x:c r="H829" s="23" t="n">
        <x:v>50000</x:v>
      </x:c>
      <x:c r="I829" s="18" t="str">
        <x:v>Home improvement loan</x:v>
      </x:c>
      <x:c r="J829" s="18" t="str">
        <x:v>Referral</x:v>
      </x:c>
      <x:c r="K829" s="20" t="n">
        <x:v>46296.5</x:v>
      </x:c>
    </x:row>
    <x:row r="830" ht="15" hidden="0" customHeight="1">
      <x:c r="A830" s="18" t="str">
        <x:v>LN000829</x:v>
      </x:c>
      <x:c r="B830" s="18" t="str">
        <x:v>LOS-SYN-0000829</x:v>
      </x:c>
      <x:c r="C830" s="18" t="str">
        <x:v>EMP003</x:v>
      </x:c>
      <x:c r="D830" s="18" t="str">
        <x:v>CY2026Q3</x:v>
      </x:c>
      <x:c r="E830" s="18" t="str">
        <x:v>BR001</x:v>
      </x:c>
      <x:c r="F830" s="20" t="n">
        <x:v>46280.5</x:v>
      </x:c>
      <x:c r="G830" s="18" t="str">
        <x:v>Funded</x:v>
      </x:c>
      <x:c r="H830" s="23" t="n">
        <x:v>38000</x:v>
      </x:c>
      <x:c r="I830" s="18" t="str">
        <x:v>Auto loan</x:v>
      </x:c>
      <x:c r="J830" s="18" t="str">
        <x:v>Existing customer</x:v>
      </x:c>
      <x:c r="K830" s="20" t="n">
        <x:v>46292.5</x:v>
      </x:c>
    </x:row>
    <x:row r="831" ht="15" hidden="0" customHeight="1">
      <x:c r="A831" s="18" t="str">
        <x:v>LN000830</x:v>
      </x:c>
      <x:c r="B831" s="18" t="str">
        <x:v>LOS-SYN-0000830</x:v>
      </x:c>
      <x:c r="C831" s="18" t="str">
        <x:v>EMP004</x:v>
      </x:c>
      <x:c r="D831" s="18" t="str">
        <x:v>CY2026Q3</x:v>
      </x:c>
      <x:c r="E831" s="18" t="str">
        <x:v>BR002</x:v>
      </x:c>
      <x:c r="F831" s="20" t="n">
        <x:v>46224.5</x:v>
      </x:c>
      <x:c r="G831" s="18" t="str">
        <x:v>Funded</x:v>
      </x:c>
      <x:c r="H831" s="23" t="n">
        <x:v>41000</x:v>
      </x:c>
      <x:c r="I831" s="18" t="str">
        <x:v>Home improvement loan</x:v>
      </x:c>
      <x:c r="J831" s="18" t="str">
        <x:v>Existing customer</x:v>
      </x:c>
      <x:c r="K831" s="20" t="n">
        <x:v>46234.5</x:v>
      </x:c>
    </x:row>
    <x:row r="832" ht="15" hidden="0" customHeight="1">
      <x:c r="A832" s="18" t="str">
        <x:v>LN000831</x:v>
      </x:c>
      <x:c r="B832" s="18" t="str">
        <x:v>LOS-SYN-0000831</x:v>
      </x:c>
      <x:c r="C832" s="18" t="str">
        <x:v>EMP004</x:v>
      </x:c>
      <x:c r="D832" s="18" t="str">
        <x:v>CY2026Q3</x:v>
      </x:c>
      <x:c r="E832" s="18" t="str">
        <x:v>BR002</x:v>
      </x:c>
      <x:c r="F832" s="20" t="n">
        <x:v>46228.5</x:v>
      </x:c>
      <x:c r="G832" s="18" t="str">
        <x:v>Funded</x:v>
      </x:c>
      <x:c r="H832" s="23" t="n">
        <x:v>35500</x:v>
      </x:c>
      <x:c r="I832" s="18" t="str">
        <x:v>Home improvement loan</x:v>
      </x:c>
      <x:c r="J832" s="18" t="str">
        <x:v>Referral</x:v>
      </x:c>
      <x:c r="K832" s="20" t="n">
        <x:v>46234.5</x:v>
      </x:c>
    </x:row>
    <x:row r="833" ht="15" hidden="0" customHeight="1">
      <x:c r="A833" s="18" t="str">
        <x:v>LN000832</x:v>
      </x:c>
      <x:c r="B833" s="18" t="str">
        <x:v>LOS-SYN-0000832</x:v>
      </x:c>
      <x:c r="C833" s="18" t="str">
        <x:v>EMP004</x:v>
      </x:c>
      <x:c r="D833" s="18" t="str">
        <x:v>CY2026Q3</x:v>
      </x:c>
      <x:c r="E833" s="18" t="str">
        <x:v>BR002</x:v>
      </x:c>
      <x:c r="F833" s="20" t="n">
        <x:v>46218.5</x:v>
      </x:c>
      <x:c r="G833" s="18" t="str">
        <x:v>Funded</x:v>
      </x:c>
      <x:c r="H833" s="23" t="n">
        <x:v>47500</x:v>
      </x:c>
      <x:c r="I833" s="18" t="str">
        <x:v>Debt consolidation loan</x:v>
      </x:c>
      <x:c r="J833" s="18" t="str">
        <x:v>New customer</x:v>
      </x:c>
      <x:c r="K833" s="20" t="n">
        <x:v>46229.5</x:v>
      </x:c>
    </x:row>
    <x:row r="834" ht="15" hidden="0" customHeight="1">
      <x:c r="A834" s="18" t="str">
        <x:v>LN000833</x:v>
      </x:c>
      <x:c r="B834" s="18" t="str">
        <x:v>LOS-SYN-0000833</x:v>
      </x:c>
      <x:c r="C834" s="18" t="str">
        <x:v>EMP004</x:v>
      </x:c>
      <x:c r="D834" s="18" t="str">
        <x:v>CY2026Q3</x:v>
      </x:c>
      <x:c r="E834" s="18" t="str">
        <x:v>BR002</x:v>
      </x:c>
      <x:c r="F834" s="20" t="n">
        <x:v>46207.5</x:v>
      </x:c>
      <x:c r="G834" s="18" t="str">
        <x:v>Funded</x:v>
      </x:c>
      <x:c r="H834" s="23" t="n">
        <x:v>42500</x:v>
      </x:c>
      <x:c r="I834" s="18" t="str">
        <x:v>Auto loan</x:v>
      </x:c>
      <x:c r="J834" s="18" t="str">
        <x:v>Existing customer</x:v>
      </x:c>
      <x:c r="K834" s="20" t="n">
        <x:v>46211.5</x:v>
      </x:c>
    </x:row>
    <x:row r="835" ht="15" hidden="0" customHeight="1">
      <x:c r="A835" s="18" t="str">
        <x:v>LN000834</x:v>
      </x:c>
      <x:c r="B835" s="18" t="str">
        <x:v>LOS-SYN-0000834</x:v>
      </x:c>
      <x:c r="C835" s="18" t="str">
        <x:v>EMP004</x:v>
      </x:c>
      <x:c r="D835" s="18" t="str">
        <x:v>CY2026Q3</x:v>
      </x:c>
      <x:c r="E835" s="18" t="str">
        <x:v>BR002</x:v>
      </x:c>
      <x:c r="F835" s="20" t="n">
        <x:v>46263.5</x:v>
      </x:c>
      <x:c r="G835" s="18" t="str">
        <x:v>Funded</x:v>
      </x:c>
      <x:c r="H835" s="23" t="n">
        <x:v>42500</x:v>
      </x:c>
      <x:c r="I835" s="18" t="str">
        <x:v>Personal loan</x:v>
      </x:c>
      <x:c r="J835" s="18" t="str">
        <x:v>New customer</x:v>
      </x:c>
      <x:c r="K835" s="20" t="n">
        <x:v>46266.5</x:v>
      </x:c>
    </x:row>
    <x:row r="836" ht="15" hidden="0" customHeight="1">
      <x:c r="A836" s="18" t="str">
        <x:v>LN000835</x:v>
      </x:c>
      <x:c r="B836" s="18" t="str">
        <x:v>LOS-SYN-0000835</x:v>
      </x:c>
      <x:c r="C836" s="18" t="str">
        <x:v>EMP004</x:v>
      </x:c>
      <x:c r="D836" s="18" t="str">
        <x:v>CY2026Q3</x:v>
      </x:c>
      <x:c r="E836" s="18" t="str">
        <x:v>BR002</x:v>
      </x:c>
      <x:c r="F836" s="20" t="n">
        <x:v>46268.5</x:v>
      </x:c>
      <x:c r="G836" s="18" t="str">
        <x:v>Funded</x:v>
      </x:c>
      <x:c r="H836" s="23" t="n">
        <x:v>49500</x:v>
      </x:c>
      <x:c r="I836" s="18" t="str">
        <x:v>Home improvement loan</x:v>
      </x:c>
      <x:c r="J836" s="18" t="str">
        <x:v>Existing customer</x:v>
      </x:c>
      <x:c r="K836" s="20" t="n">
        <x:v>46277.5</x:v>
      </x:c>
    </x:row>
    <x:row r="837" ht="15" hidden="0" customHeight="1">
      <x:c r="A837" s="18" t="str">
        <x:v>LN000836</x:v>
      </x:c>
      <x:c r="B837" s="18" t="str">
        <x:v>LOS-SYN-0000836</x:v>
      </x:c>
      <x:c r="C837" s="18" t="str">
        <x:v>EMP004</x:v>
      </x:c>
      <x:c r="D837" s="18" t="str">
        <x:v>CY2026Q3</x:v>
      </x:c>
      <x:c r="E837" s="18" t="str">
        <x:v>BR002</x:v>
      </x:c>
      <x:c r="F837" s="20" t="n">
        <x:v>46238.5</x:v>
      </x:c>
      <x:c r="G837" s="18" t="str">
        <x:v>Funded</x:v>
      </x:c>
      <x:c r="H837" s="23" t="n">
        <x:v>32500</x:v>
      </x:c>
      <x:c r="I837" s="18" t="str">
        <x:v>Auto loan</x:v>
      </x:c>
      <x:c r="J837" s="18" t="str">
        <x:v>Existing customer</x:v>
      </x:c>
      <x:c r="K837" s="20" t="n">
        <x:v>46241.5</x:v>
      </x:c>
    </x:row>
    <x:row r="838" ht="15" hidden="0" customHeight="1">
      <x:c r="A838" s="18" t="str">
        <x:v>LN000837</x:v>
      </x:c>
      <x:c r="B838" s="18" t="str">
        <x:v>LOS-SYN-0000837</x:v>
      </x:c>
      <x:c r="C838" s="18" t="str">
        <x:v>EMP004</x:v>
      </x:c>
      <x:c r="D838" s="18" t="str">
        <x:v>CY2026Q3</x:v>
      </x:c>
      <x:c r="E838" s="18" t="str">
        <x:v>BR002</x:v>
      </x:c>
      <x:c r="F838" s="20" t="n">
        <x:v>46290.5</x:v>
      </x:c>
      <x:c r="G838" s="18" t="str">
        <x:v>Cancelled</x:v>
      </x:c>
      <x:c r="H838" s="23" t="n">
        <x:v>49000</x:v>
      </x:c>
      <x:c r="I838" s="18" t="str">
        <x:v>Personal loan</x:v>
      </x:c>
      <x:c r="J838" s="18" t="str">
        <x:v>New customer</x:v>
      </x:c>
      <x:c r="K838" s="20"/>
    </x:row>
    <x:row r="839" ht="15" hidden="0" customHeight="1">
      <x:c r="A839" s="18" t="str">
        <x:v>LN000838</x:v>
      </x:c>
      <x:c r="B839" s="18" t="str">
        <x:v>LOS-SYN-0000838</x:v>
      </x:c>
      <x:c r="C839" s="18" t="str">
        <x:v>EMP005</x:v>
      </x:c>
      <x:c r="D839" s="18" t="str">
        <x:v>CY2026Q3</x:v>
      </x:c>
      <x:c r="E839" s="18" t="str">
        <x:v>BR002</x:v>
      </x:c>
      <x:c r="F839" s="20" t="n">
        <x:v>46268.5</x:v>
      </x:c>
      <x:c r="G839" s="18" t="str">
        <x:v>Funded</x:v>
      </x:c>
      <x:c r="H839" s="23" t="n">
        <x:v>49500</x:v>
      </x:c>
      <x:c r="I839" s="18" t="str">
        <x:v>Personal loan</x:v>
      </x:c>
      <x:c r="J839" s="18" t="str">
        <x:v>Referral</x:v>
      </x:c>
      <x:c r="K839" s="20" t="n">
        <x:v>46275.5</x:v>
      </x:c>
    </x:row>
    <x:row r="840" ht="15" hidden="0" customHeight="1">
      <x:c r="A840" s="18" t="str">
        <x:v>LN000839</x:v>
      </x:c>
      <x:c r="B840" s="18" t="str">
        <x:v>LOS-SYN-0000839</x:v>
      </x:c>
      <x:c r="C840" s="18" t="str">
        <x:v>EMP005</x:v>
      </x:c>
      <x:c r="D840" s="18" t="str">
        <x:v>CY2026Q3</x:v>
      </x:c>
      <x:c r="E840" s="18" t="str">
        <x:v>BR002</x:v>
      </x:c>
      <x:c r="F840" s="20" t="n">
        <x:v>46257.5</x:v>
      </x:c>
      <x:c r="G840" s="18" t="str">
        <x:v>Funded</x:v>
      </x:c>
      <x:c r="H840" s="23" t="n">
        <x:v>48000</x:v>
      </x:c>
      <x:c r="I840" s="18" t="str">
        <x:v>Personal loan</x:v>
      </x:c>
      <x:c r="J840" s="18" t="str">
        <x:v>Referral</x:v>
      </x:c>
      <x:c r="K840" s="20" t="n">
        <x:v>46264.5</x:v>
      </x:c>
    </x:row>
    <x:row r="841" ht="15" hidden="0" customHeight="1">
      <x:c r="A841" s="18" t="str">
        <x:v>LN000840</x:v>
      </x:c>
      <x:c r="B841" s="18" t="str">
        <x:v>LOS-SYN-0000840</x:v>
      </x:c>
      <x:c r="C841" s="18" t="str">
        <x:v>EMP005</x:v>
      </x:c>
      <x:c r="D841" s="18" t="str">
        <x:v>CY2026Q3</x:v>
      </x:c>
      <x:c r="E841" s="18" t="str">
        <x:v>BR002</x:v>
      </x:c>
      <x:c r="F841" s="20" t="n">
        <x:v>46231.5</x:v>
      </x:c>
      <x:c r="G841" s="18" t="str">
        <x:v>Funded</x:v>
      </x:c>
      <x:c r="H841" s="23" t="n">
        <x:v>33000</x:v>
      </x:c>
      <x:c r="I841" s="18" t="str">
        <x:v>Personal loan</x:v>
      </x:c>
      <x:c r="J841" s="18" t="str">
        <x:v>Existing customer</x:v>
      </x:c>
      <x:c r="K841" s="20" t="n">
        <x:v>46242.5</x:v>
      </x:c>
    </x:row>
    <x:row r="842" ht="15" hidden="0" customHeight="1">
      <x:c r="A842" s="18" t="str">
        <x:v>LN000841</x:v>
      </x:c>
      <x:c r="B842" s="18" t="str">
        <x:v>LOS-SYN-0000841</x:v>
      </x:c>
      <x:c r="C842" s="18" t="str">
        <x:v>EMP005</x:v>
      </x:c>
      <x:c r="D842" s="18" t="str">
        <x:v>CY2026Q3</x:v>
      </x:c>
      <x:c r="E842" s="18" t="str">
        <x:v>BR002</x:v>
      </x:c>
      <x:c r="F842" s="20" t="n">
        <x:v>46263.5</x:v>
      </x:c>
      <x:c r="G842" s="18" t="str">
        <x:v>Funded</x:v>
      </x:c>
      <x:c r="H842" s="23" t="n">
        <x:v>43500</x:v>
      </x:c>
      <x:c r="I842" s="18" t="str">
        <x:v>Personal loan</x:v>
      </x:c>
      <x:c r="J842" s="18" t="str">
        <x:v>Existing customer</x:v>
      </x:c>
      <x:c r="K842" s="20" t="n">
        <x:v>46267.5</x:v>
      </x:c>
    </x:row>
    <x:row r="843" ht="15" hidden="0" customHeight="1">
      <x:c r="A843" s="18" t="str">
        <x:v>LN000842</x:v>
      </x:c>
      <x:c r="B843" s="18" t="str">
        <x:v>LOS-SYN-0000842</x:v>
      </x:c>
      <x:c r="C843" s="18" t="str">
        <x:v>EMP005</x:v>
      </x:c>
      <x:c r="D843" s="18" t="str">
        <x:v>CY2026Q3</x:v>
      </x:c>
      <x:c r="E843" s="18" t="str">
        <x:v>BR002</x:v>
      </x:c>
      <x:c r="F843" s="20" t="n">
        <x:v>46250.5</x:v>
      </x:c>
      <x:c r="G843" s="18" t="str">
        <x:v>Funded</x:v>
      </x:c>
      <x:c r="H843" s="23" t="n">
        <x:v>39500</x:v>
      </x:c>
      <x:c r="I843" s="18" t="str">
        <x:v>Home improvement loan</x:v>
      </x:c>
      <x:c r="J843" s="18" t="str">
        <x:v>New customer</x:v>
      </x:c>
      <x:c r="K843" s="20" t="n">
        <x:v>46257.5</x:v>
      </x:c>
    </x:row>
    <x:row r="844" ht="15" hidden="0" customHeight="1">
      <x:c r="A844" s="18" t="str">
        <x:v>LN000843</x:v>
      </x:c>
      <x:c r="B844" s="18" t="str">
        <x:v>LOS-SYN-0000843</x:v>
      </x:c>
      <x:c r="C844" s="18" t="str">
        <x:v>EMP005</x:v>
      </x:c>
      <x:c r="D844" s="18" t="str">
        <x:v>CY2026Q3</x:v>
      </x:c>
      <x:c r="E844" s="18" t="str">
        <x:v>BR002</x:v>
      </x:c>
      <x:c r="F844" s="20" t="n">
        <x:v>46278.5</x:v>
      </x:c>
      <x:c r="G844" s="18" t="str">
        <x:v>Funded</x:v>
      </x:c>
      <x:c r="H844" s="23" t="n">
        <x:v>47000</x:v>
      </x:c>
      <x:c r="I844" s="18" t="str">
        <x:v>Personal loan</x:v>
      </x:c>
      <x:c r="J844" s="18" t="str">
        <x:v>Referral</x:v>
      </x:c>
      <x:c r="K844" s="20" t="n">
        <x:v>46285.5</x:v>
      </x:c>
    </x:row>
    <x:row r="845" ht="15" hidden="0" customHeight="1">
      <x:c r="A845" s="18" t="str">
        <x:v>LN000844</x:v>
      </x:c>
      <x:c r="B845" s="18" t="str">
        <x:v>LOS-SYN-0000844</x:v>
      </x:c>
      <x:c r="C845" s="18" t="str">
        <x:v>EMP005</x:v>
      </x:c>
      <x:c r="D845" s="18" t="str">
        <x:v>CY2026Q3</x:v>
      </x:c>
      <x:c r="E845" s="18" t="str">
        <x:v>BR002</x:v>
      </x:c>
      <x:c r="F845" s="20" t="n">
        <x:v>46233.5</x:v>
      </x:c>
      <x:c r="G845" s="18" t="str">
        <x:v>Funded</x:v>
      </x:c>
      <x:c r="H845" s="23" t="n">
        <x:v>32500</x:v>
      </x:c>
      <x:c r="I845" s="18" t="str">
        <x:v>Home improvement loan</x:v>
      </x:c>
      <x:c r="J845" s="18" t="str">
        <x:v>Referral</x:v>
      </x:c>
      <x:c r="K845" s="20" t="n">
        <x:v>46238.5</x:v>
      </x:c>
    </x:row>
    <x:row r="846" ht="15" hidden="0" customHeight="1">
      <x:c r="A846" s="18" t="str">
        <x:v>LN000845</x:v>
      </x:c>
      <x:c r="B846" s="18" t="str">
        <x:v>LOS-SYN-0000845</x:v>
      </x:c>
      <x:c r="C846" s="18" t="str">
        <x:v>EMP005</x:v>
      </x:c>
      <x:c r="D846" s="18" t="str">
        <x:v>CY2026Q3</x:v>
      </x:c>
      <x:c r="E846" s="18" t="str">
        <x:v>BR002</x:v>
      </x:c>
      <x:c r="F846" s="20" t="n">
        <x:v>46227.5</x:v>
      </x:c>
      <x:c r="G846" s="18" t="str">
        <x:v>Funded</x:v>
      </x:c>
      <x:c r="H846" s="23" t="n">
        <x:v>42500</x:v>
      </x:c>
      <x:c r="I846" s="18" t="str">
        <x:v>Auto loan</x:v>
      </x:c>
      <x:c r="J846" s="18" t="str">
        <x:v>Referral</x:v>
      </x:c>
      <x:c r="K846" s="20" t="n">
        <x:v>46239.5</x:v>
      </x:c>
    </x:row>
    <x:row r="847" ht="15" hidden="0" customHeight="1">
      <x:c r="A847" s="18" t="str">
        <x:v>LN000846</x:v>
      </x:c>
      <x:c r="B847" s="18" t="str">
        <x:v>LOS-SYN-0000846</x:v>
      </x:c>
      <x:c r="C847" s="18" t="str">
        <x:v>EMP005</x:v>
      </x:c>
      <x:c r="D847" s="18" t="str">
        <x:v>CY2026Q3</x:v>
      </x:c>
      <x:c r="E847" s="18" t="str">
        <x:v>BR002</x:v>
      </x:c>
      <x:c r="F847" s="20" t="n">
        <x:v>46224.5</x:v>
      </x:c>
      <x:c r="G847" s="18" t="str">
        <x:v>Funded</x:v>
      </x:c>
      <x:c r="H847" s="23" t="n">
        <x:v>34500</x:v>
      </x:c>
      <x:c r="I847" s="18" t="str">
        <x:v>Home improvement loan</x:v>
      </x:c>
      <x:c r="J847" s="18" t="str">
        <x:v>Referral</x:v>
      </x:c>
      <x:c r="K847" s="20" t="n">
        <x:v>46228.5</x:v>
      </x:c>
    </x:row>
    <x:row r="848" ht="15" hidden="0" customHeight="1">
      <x:c r="A848" s="18" t="str">
        <x:v>LN000847</x:v>
      </x:c>
      <x:c r="B848" s="18" t="str">
        <x:v>LOS-SYN-0000847</x:v>
      </x:c>
      <x:c r="C848" s="18" t="str">
        <x:v>EMP005</x:v>
      </x:c>
      <x:c r="D848" s="18" t="str">
        <x:v>CY2026Q3</x:v>
      </x:c>
      <x:c r="E848" s="18" t="str">
        <x:v>BR002</x:v>
      </x:c>
      <x:c r="F848" s="20" t="n">
        <x:v>46227.5</x:v>
      </x:c>
      <x:c r="G848" s="18" t="str">
        <x:v>Funded</x:v>
      </x:c>
      <x:c r="H848" s="23" t="n">
        <x:v>57500</x:v>
      </x:c>
      <x:c r="I848" s="18" t="str">
        <x:v>Debt consolidation loan</x:v>
      </x:c>
      <x:c r="J848" s="18" t="str">
        <x:v>Existing customer</x:v>
      </x:c>
      <x:c r="K848" s="20" t="n">
        <x:v>46234.5</x:v>
      </x:c>
    </x:row>
    <x:row r="849" ht="15" hidden="0" customHeight="1">
      <x:c r="A849" s="18" t="str">
        <x:v>LN000848</x:v>
      </x:c>
      <x:c r="B849" s="18" t="str">
        <x:v>LOS-SYN-0000848</x:v>
      </x:c>
      <x:c r="C849" s="18" t="str">
        <x:v>EMP005</x:v>
      </x:c>
      <x:c r="D849" s="18" t="str">
        <x:v>CY2026Q3</x:v>
      </x:c>
      <x:c r="E849" s="18" t="str">
        <x:v>BR002</x:v>
      </x:c>
      <x:c r="F849" s="20" t="n">
        <x:v>46230.5</x:v>
      </x:c>
      <x:c r="G849" s="18" t="str">
        <x:v>Funded</x:v>
      </x:c>
      <x:c r="H849" s="23" t="n">
        <x:v>34500</x:v>
      </x:c>
      <x:c r="I849" s="18" t="str">
        <x:v>Personal loan</x:v>
      </x:c>
      <x:c r="J849" s="18" t="str">
        <x:v>New customer</x:v>
      </x:c>
      <x:c r="K849" s="20" t="n">
        <x:v>46235.5</x:v>
      </x:c>
    </x:row>
    <x:row r="850" ht="15" hidden="0" customHeight="1">
      <x:c r="A850" s="18" t="str">
        <x:v>LN000849</x:v>
      </x:c>
      <x:c r="B850" s="18" t="str">
        <x:v>LOS-SYN-0000849</x:v>
      </x:c>
      <x:c r="C850" s="18" t="str">
        <x:v>EMP006</x:v>
      </x:c>
      <x:c r="D850" s="18" t="str">
        <x:v>CY2026Q3</x:v>
      </x:c>
      <x:c r="E850" s="18" t="str">
        <x:v>BR002</x:v>
      </x:c>
      <x:c r="F850" s="20" t="n">
        <x:v>46253.5</x:v>
      </x:c>
      <x:c r="G850" s="18" t="str">
        <x:v>Funded</x:v>
      </x:c>
      <x:c r="H850" s="23" t="n">
        <x:v>41500</x:v>
      </x:c>
      <x:c r="I850" s="18" t="str">
        <x:v>Personal loan</x:v>
      </x:c>
      <x:c r="J850" s="18" t="str">
        <x:v>New customer</x:v>
      </x:c>
      <x:c r="K850" s="20" t="n">
        <x:v>46263.5</x:v>
      </x:c>
    </x:row>
    <x:row r="851" ht="15" hidden="0" customHeight="1">
      <x:c r="A851" s="18" t="str">
        <x:v>LN000850</x:v>
      </x:c>
      <x:c r="B851" s="18" t="str">
        <x:v>LOS-SYN-0000850</x:v>
      </x:c>
      <x:c r="C851" s="18" t="str">
        <x:v>EMP006</x:v>
      </x:c>
      <x:c r="D851" s="18" t="str">
        <x:v>CY2026Q3</x:v>
      </x:c>
      <x:c r="E851" s="18" t="str">
        <x:v>BR002</x:v>
      </x:c>
      <x:c r="F851" s="20" t="n">
        <x:v>46257.5</x:v>
      </x:c>
      <x:c r="G851" s="18" t="str">
        <x:v>Funded</x:v>
      </x:c>
      <x:c r="H851" s="23" t="n">
        <x:v>47000</x:v>
      </x:c>
      <x:c r="I851" s="18" t="str">
        <x:v>Auto loan</x:v>
      </x:c>
      <x:c r="J851" s="18" t="str">
        <x:v>Referral</x:v>
      </x:c>
      <x:c r="K851" s="20" t="n">
        <x:v>46263.5</x:v>
      </x:c>
    </x:row>
    <x:row r="852" ht="15" hidden="0" customHeight="1">
      <x:c r="A852" s="18" t="str">
        <x:v>LN000851</x:v>
      </x:c>
      <x:c r="B852" s="18" t="str">
        <x:v>LOS-SYN-0000851</x:v>
      </x:c>
      <x:c r="C852" s="18" t="str">
        <x:v>EMP006</x:v>
      </x:c>
      <x:c r="D852" s="18" t="str">
        <x:v>CY2026Q3</x:v>
      </x:c>
      <x:c r="E852" s="18" t="str">
        <x:v>BR002</x:v>
      </x:c>
      <x:c r="F852" s="20" t="n">
        <x:v>46271.5</x:v>
      </x:c>
      <x:c r="G852" s="18" t="str">
        <x:v>Funded</x:v>
      </x:c>
      <x:c r="H852" s="23" t="n">
        <x:v>37000</x:v>
      </x:c>
      <x:c r="I852" s="18" t="str">
        <x:v>Personal loan</x:v>
      </x:c>
      <x:c r="J852" s="18" t="str">
        <x:v>Referral</x:v>
      </x:c>
      <x:c r="K852" s="20" t="n">
        <x:v>46278.5</x:v>
      </x:c>
    </x:row>
    <x:row r="853" ht="15" hidden="0" customHeight="1">
      <x:c r="A853" s="18" t="str">
        <x:v>LN000852</x:v>
      </x:c>
      <x:c r="B853" s="18" t="str">
        <x:v>LOS-SYN-0000852</x:v>
      </x:c>
      <x:c r="C853" s="18" t="str">
        <x:v>EMP006</x:v>
      </x:c>
      <x:c r="D853" s="18" t="str">
        <x:v>CY2026Q3</x:v>
      </x:c>
      <x:c r="E853" s="18" t="str">
        <x:v>BR002</x:v>
      </x:c>
      <x:c r="F853" s="20" t="n">
        <x:v>46215.5</x:v>
      </x:c>
      <x:c r="G853" s="18" t="str">
        <x:v>Funded</x:v>
      </x:c>
      <x:c r="H853" s="23" t="n">
        <x:v>40000</x:v>
      </x:c>
      <x:c r="I853" s="18" t="str">
        <x:v>Home improvement loan</x:v>
      </x:c>
      <x:c r="J853" s="18" t="str">
        <x:v>Referral</x:v>
      </x:c>
      <x:c r="K853" s="20" t="n">
        <x:v>46222.5</x:v>
      </x:c>
    </x:row>
    <x:row r="854" ht="15" hidden="0" customHeight="1">
      <x:c r="A854" s="18" t="str">
        <x:v>LN000853</x:v>
      </x:c>
      <x:c r="B854" s="18" t="str">
        <x:v>LOS-SYN-0000853</x:v>
      </x:c>
      <x:c r="C854" s="18" t="str">
        <x:v>EMP006</x:v>
      </x:c>
      <x:c r="D854" s="18" t="str">
        <x:v>CY2026Q3</x:v>
      </x:c>
      <x:c r="E854" s="18" t="str">
        <x:v>BR002</x:v>
      </x:c>
      <x:c r="F854" s="20" t="n">
        <x:v>46241.5</x:v>
      </x:c>
      <x:c r="G854" s="18" t="str">
        <x:v>Funded</x:v>
      </x:c>
      <x:c r="H854" s="23" t="n">
        <x:v>28000</x:v>
      </x:c>
      <x:c r="I854" s="18" t="str">
        <x:v>Debt consolidation loan</x:v>
      </x:c>
      <x:c r="J854" s="18" t="str">
        <x:v>Referral</x:v>
      </x:c>
      <x:c r="K854" s="20" t="n">
        <x:v>46250.5</x:v>
      </x:c>
    </x:row>
    <x:row r="855" ht="15" hidden="0" customHeight="1">
      <x:c r="A855" s="18" t="str">
        <x:v>LN000854</x:v>
      </x:c>
      <x:c r="B855" s="18" t="str">
        <x:v>LOS-SYN-0000854</x:v>
      </x:c>
      <x:c r="C855" s="18" t="str">
        <x:v>EMP006</x:v>
      </x:c>
      <x:c r="D855" s="18" t="str">
        <x:v>CY2026Q3</x:v>
      </x:c>
      <x:c r="E855" s="18" t="str">
        <x:v>BR002</x:v>
      </x:c>
      <x:c r="F855" s="20" t="n">
        <x:v>46274.5</x:v>
      </x:c>
      <x:c r="G855" s="18" t="str">
        <x:v>Funded</x:v>
      </x:c>
      <x:c r="H855" s="23" t="n">
        <x:v>42000</x:v>
      </x:c>
      <x:c r="I855" s="18" t="str">
        <x:v>Auto loan</x:v>
      </x:c>
      <x:c r="J855" s="18" t="str">
        <x:v>Existing customer</x:v>
      </x:c>
      <x:c r="K855" s="20" t="n">
        <x:v>46279.5</x:v>
      </x:c>
    </x:row>
    <x:row r="856" ht="15" hidden="0" customHeight="1">
      <x:c r="A856" s="18" t="str">
        <x:v>LN000855</x:v>
      </x:c>
      <x:c r="B856" s="18" t="str">
        <x:v>LOS-SYN-0000855</x:v>
      </x:c>
      <x:c r="C856" s="18" t="str">
        <x:v>EMP006</x:v>
      </x:c>
      <x:c r="D856" s="18" t="str">
        <x:v>CY2026Q3</x:v>
      </x:c>
      <x:c r="E856" s="18" t="str">
        <x:v>BR002</x:v>
      </x:c>
      <x:c r="F856" s="20" t="n">
        <x:v>46233.5</x:v>
      </x:c>
      <x:c r="G856" s="18" t="str">
        <x:v>Funded</x:v>
      </x:c>
      <x:c r="H856" s="23" t="n">
        <x:v>30500</x:v>
      </x:c>
      <x:c r="I856" s="18" t="str">
        <x:v>Home improvement loan</x:v>
      </x:c>
      <x:c r="J856" s="18" t="str">
        <x:v>Referral</x:v>
      </x:c>
      <x:c r="K856" s="20" t="n">
        <x:v>46236.5</x:v>
      </x:c>
    </x:row>
    <x:row r="857" ht="15" hidden="0" customHeight="1">
      <x:c r="A857" s="18" t="str">
        <x:v>LN000856</x:v>
      </x:c>
      <x:c r="B857" s="18" t="str">
        <x:v>LOS-SYN-0000856</x:v>
      </x:c>
      <x:c r="C857" s="18" t="str">
        <x:v>EMP006</x:v>
      </x:c>
      <x:c r="D857" s="18" t="str">
        <x:v>CY2026Q3</x:v>
      </x:c>
      <x:c r="E857" s="18" t="str">
        <x:v>BR002</x:v>
      </x:c>
      <x:c r="F857" s="20" t="n">
        <x:v>46221.5</x:v>
      </x:c>
      <x:c r="G857" s="18" t="str">
        <x:v>Funded</x:v>
      </x:c>
      <x:c r="H857" s="23" t="n">
        <x:v>35500</x:v>
      </x:c>
      <x:c r="I857" s="18" t="str">
        <x:v>Debt consolidation loan</x:v>
      </x:c>
      <x:c r="J857" s="18" t="str">
        <x:v>Referral</x:v>
      </x:c>
      <x:c r="K857" s="20" t="n">
        <x:v>46231.5</x:v>
      </x:c>
    </x:row>
    <x:row r="858" ht="15" hidden="0" customHeight="1">
      <x:c r="A858" s="18" t="str">
        <x:v>LN000857</x:v>
      </x:c>
      <x:c r="B858" s="18" t="str">
        <x:v>LOS-SYN-0000857</x:v>
      </x:c>
      <x:c r="C858" s="18" t="str">
        <x:v>EMP006</x:v>
      </x:c>
      <x:c r="D858" s="18" t="str">
        <x:v>CY2026Q3</x:v>
      </x:c>
      <x:c r="E858" s="18" t="str">
        <x:v>BR002</x:v>
      </x:c>
      <x:c r="F858" s="20" t="n">
        <x:v>46274.5</x:v>
      </x:c>
      <x:c r="G858" s="18" t="str">
        <x:v>Funded</x:v>
      </x:c>
      <x:c r="H858" s="23" t="n">
        <x:v>38500</x:v>
      </x:c>
      <x:c r="I858" s="18" t="str">
        <x:v>Auto loan</x:v>
      </x:c>
      <x:c r="J858" s="18" t="str">
        <x:v>Existing customer</x:v>
      </x:c>
      <x:c r="K858" s="20" t="n">
        <x:v>46279.5</x:v>
      </x:c>
    </x:row>
    <x:row r="859" ht="15" hidden="0" customHeight="1">
      <x:c r="A859" s="18" t="str">
        <x:v>LN000858</x:v>
      </x:c>
      <x:c r="B859" s="18" t="str">
        <x:v>LOS-SYN-0000858</x:v>
      </x:c>
      <x:c r="C859" s="18" t="str">
        <x:v>EMP006</x:v>
      </x:c>
      <x:c r="D859" s="18" t="str">
        <x:v>CY2026Q3</x:v>
      </x:c>
      <x:c r="E859" s="18" t="str">
        <x:v>BR002</x:v>
      </x:c>
      <x:c r="F859" s="20" t="n">
        <x:v>46227.5</x:v>
      </x:c>
      <x:c r="G859" s="18" t="str">
        <x:v>Funded</x:v>
      </x:c>
      <x:c r="H859" s="23" t="n">
        <x:v>43000</x:v>
      </x:c>
      <x:c r="I859" s="18" t="str">
        <x:v>Debt consolidation loan</x:v>
      </x:c>
      <x:c r="J859" s="18" t="str">
        <x:v>Referral</x:v>
      </x:c>
      <x:c r="K859" s="20" t="n">
        <x:v>46239.5</x:v>
      </x:c>
    </x:row>
    <x:row r="860" ht="15" hidden="0" customHeight="1">
      <x:c r="A860" s="18" t="str">
        <x:v>LN000859</x:v>
      </x:c>
      <x:c r="B860" s="18" t="str">
        <x:v>LOS-SYN-0000859</x:v>
      </x:c>
      <x:c r="C860" s="18" t="str">
        <x:v>EMP006</x:v>
      </x:c>
      <x:c r="D860" s="18" t="str">
        <x:v>CY2026Q3</x:v>
      </x:c>
      <x:c r="E860" s="18" t="str">
        <x:v>BR002</x:v>
      </x:c>
      <x:c r="F860" s="20" t="n">
        <x:v>46266.5</x:v>
      </x:c>
      <x:c r="G860" s="18" t="str">
        <x:v>Funded</x:v>
      </x:c>
      <x:c r="H860" s="23" t="n">
        <x:v>37500</x:v>
      </x:c>
      <x:c r="I860" s="18" t="str">
        <x:v>Debt consolidation loan</x:v>
      </x:c>
      <x:c r="J860" s="18" t="str">
        <x:v>New customer</x:v>
      </x:c>
      <x:c r="K860" s="20" t="n">
        <x:v>46278.5</x:v>
      </x:c>
    </x:row>
    <x:row r="861" ht="15" hidden="0" customHeight="1">
      <x:c r="A861" s="18" t="str">
        <x:v>LN000860</x:v>
      </x:c>
      <x:c r="B861" s="18" t="str">
        <x:v>LOS-SYN-0000860</x:v>
      </x:c>
      <x:c r="C861" s="18" t="str">
        <x:v>EMP006</x:v>
      </x:c>
      <x:c r="D861" s="18" t="str">
        <x:v>CY2026Q3</x:v>
      </x:c>
      <x:c r="E861" s="18" t="str">
        <x:v>BR002</x:v>
      </x:c>
      <x:c r="F861" s="20" t="n">
        <x:v>46239.5</x:v>
      </x:c>
      <x:c r="G861" s="18" t="str">
        <x:v>Funded</x:v>
      </x:c>
      <x:c r="H861" s="23" t="n">
        <x:v>42500</x:v>
      </x:c>
      <x:c r="I861" s="18" t="str">
        <x:v>Auto loan</x:v>
      </x:c>
      <x:c r="J861" s="18" t="str">
        <x:v>Existing customer</x:v>
      </x:c>
      <x:c r="K861" s="20" t="n">
        <x:v>46248.5</x:v>
      </x:c>
    </x:row>
    <x:row r="862" ht="15" hidden="0" customHeight="1">
      <x:c r="A862" s="18" t="str">
        <x:v>LN000861</x:v>
      </x:c>
      <x:c r="B862" s="18" t="str">
        <x:v>LOS-SYN-0000861</x:v>
      </x:c>
      <x:c r="C862" s="18" t="str">
        <x:v>EMP006</x:v>
      </x:c>
      <x:c r="D862" s="18" t="str">
        <x:v>CY2026Q3</x:v>
      </x:c>
      <x:c r="E862" s="18" t="str">
        <x:v>BR002</x:v>
      </x:c>
      <x:c r="F862" s="20" t="n">
        <x:v>46229.5</x:v>
      </x:c>
      <x:c r="G862" s="18" t="str">
        <x:v>Funded</x:v>
      </x:c>
      <x:c r="H862" s="23" t="n">
        <x:v>28000</x:v>
      </x:c>
      <x:c r="I862" s="18" t="str">
        <x:v>Auto loan</x:v>
      </x:c>
      <x:c r="J862" s="18" t="str">
        <x:v>Referral</x:v>
      </x:c>
      <x:c r="K862" s="20" t="n">
        <x:v>46233.5</x:v>
      </x:c>
    </x:row>
    <x:row r="863" ht="15" hidden="0" customHeight="1">
      <x:c r="A863" s="18" t="str">
        <x:v>LN000862</x:v>
      </x:c>
      <x:c r="B863" s="18" t="str">
        <x:v>LOS-SYN-0000862</x:v>
      </x:c>
      <x:c r="C863" s="18" t="str">
        <x:v>EMP007</x:v>
      </x:c>
      <x:c r="D863" s="18" t="str">
        <x:v>CY2026Q3</x:v>
      </x:c>
      <x:c r="E863" s="18" t="str">
        <x:v>BR003</x:v>
      </x:c>
      <x:c r="F863" s="20" t="n">
        <x:v>46238.5</x:v>
      </x:c>
      <x:c r="G863" s="18" t="str">
        <x:v>Funded</x:v>
      </x:c>
      <x:c r="H863" s="23" t="n">
        <x:v>27000</x:v>
      </x:c>
      <x:c r="I863" s="18" t="str">
        <x:v>Home improvement loan</x:v>
      </x:c>
      <x:c r="J863" s="18" t="str">
        <x:v>New customer</x:v>
      </x:c>
      <x:c r="K863" s="20" t="n">
        <x:v>46242.5</x:v>
      </x:c>
    </x:row>
    <x:row r="864" ht="15" hidden="0" customHeight="1">
      <x:c r="A864" s="18" t="str">
        <x:v>LN000863</x:v>
      </x:c>
      <x:c r="B864" s="18" t="str">
        <x:v>LOS-SYN-0000863</x:v>
      </x:c>
      <x:c r="C864" s="18" t="str">
        <x:v>EMP007</x:v>
      </x:c>
      <x:c r="D864" s="18" t="str">
        <x:v>CY2026Q3</x:v>
      </x:c>
      <x:c r="E864" s="18" t="str">
        <x:v>BR003</x:v>
      </x:c>
      <x:c r="F864" s="20" t="n">
        <x:v>46278.5</x:v>
      </x:c>
      <x:c r="G864" s="18" t="str">
        <x:v>Funded</x:v>
      </x:c>
      <x:c r="H864" s="23" t="n">
        <x:v>29000</x:v>
      </x:c>
      <x:c r="I864" s="18" t="str">
        <x:v>Personal loan</x:v>
      </x:c>
      <x:c r="J864" s="18" t="str">
        <x:v>Existing customer</x:v>
      </x:c>
      <x:c r="K864" s="20" t="n">
        <x:v>46290.5</x:v>
      </x:c>
    </x:row>
    <x:row r="865" ht="15" hidden="0" customHeight="1">
      <x:c r="A865" s="18" t="str">
        <x:v>LN000864</x:v>
      </x:c>
      <x:c r="B865" s="18" t="str">
        <x:v>LOS-SYN-0000864</x:v>
      </x:c>
      <x:c r="C865" s="18" t="str">
        <x:v>EMP007</x:v>
      </x:c>
      <x:c r="D865" s="18" t="str">
        <x:v>CY2026Q3</x:v>
      </x:c>
      <x:c r="E865" s="18" t="str">
        <x:v>BR003</x:v>
      </x:c>
      <x:c r="F865" s="20" t="n">
        <x:v>46236.5</x:v>
      </x:c>
      <x:c r="G865" s="18" t="str">
        <x:v>Funded</x:v>
      </x:c>
      <x:c r="H865" s="23" t="n">
        <x:v>38000</x:v>
      </x:c>
      <x:c r="I865" s="18" t="str">
        <x:v>Auto loan</x:v>
      </x:c>
      <x:c r="J865" s="18" t="str">
        <x:v>Referral</x:v>
      </x:c>
      <x:c r="K865" s="20" t="n">
        <x:v>46243.5</x:v>
      </x:c>
    </x:row>
    <x:row r="866" ht="15" hidden="0" customHeight="1">
      <x:c r="A866" s="18" t="str">
        <x:v>LN000865</x:v>
      </x:c>
      <x:c r="B866" s="18" t="str">
        <x:v>LOS-SYN-0000865</x:v>
      </x:c>
      <x:c r="C866" s="18" t="str">
        <x:v>EMP007</x:v>
      </x:c>
      <x:c r="D866" s="18" t="str">
        <x:v>CY2026Q3</x:v>
      </x:c>
      <x:c r="E866" s="18" t="str">
        <x:v>BR003</x:v>
      </x:c>
      <x:c r="F866" s="20" t="n">
        <x:v>46207.5</x:v>
      </x:c>
      <x:c r="G866" s="18" t="str">
        <x:v>Funded</x:v>
      </x:c>
      <x:c r="H866" s="23" t="n">
        <x:v>44000</x:v>
      </x:c>
      <x:c r="I866" s="18" t="str">
        <x:v>Home improvement loan</x:v>
      </x:c>
      <x:c r="J866" s="18" t="str">
        <x:v>Referral</x:v>
      </x:c>
      <x:c r="K866" s="20" t="n">
        <x:v>46215.5</x:v>
      </x:c>
    </x:row>
    <x:row r="867" ht="15" hidden="0" customHeight="1">
      <x:c r="A867" s="18" t="str">
        <x:v>LN000866</x:v>
      </x:c>
      <x:c r="B867" s="18" t="str">
        <x:v>LOS-SYN-0000866</x:v>
      </x:c>
      <x:c r="C867" s="18" t="str">
        <x:v>EMP007</x:v>
      </x:c>
      <x:c r="D867" s="18" t="str">
        <x:v>CY2026Q3</x:v>
      </x:c>
      <x:c r="E867" s="18" t="str">
        <x:v>BR003</x:v>
      </x:c>
      <x:c r="F867" s="20" t="n">
        <x:v>46237.5</x:v>
      </x:c>
      <x:c r="G867" s="18" t="str">
        <x:v>Funded</x:v>
      </x:c>
      <x:c r="H867" s="23" t="n">
        <x:v>44500</x:v>
      </x:c>
      <x:c r="I867" s="18" t="str">
        <x:v>Personal loan</x:v>
      </x:c>
      <x:c r="J867" s="18" t="str">
        <x:v>New customer</x:v>
      </x:c>
      <x:c r="K867" s="20" t="n">
        <x:v>46244.5</x:v>
      </x:c>
    </x:row>
    <x:row r="868" ht="15" hidden="0" customHeight="1">
      <x:c r="A868" s="18" t="str">
        <x:v>LN000867</x:v>
      </x:c>
      <x:c r="B868" s="18" t="str">
        <x:v>LOS-SYN-0000867</x:v>
      </x:c>
      <x:c r="C868" s="18" t="str">
        <x:v>EMP007</x:v>
      </x:c>
      <x:c r="D868" s="18" t="str">
        <x:v>CY2026Q3</x:v>
      </x:c>
      <x:c r="E868" s="18" t="str">
        <x:v>BR003</x:v>
      </x:c>
      <x:c r="F868" s="20" t="n">
        <x:v>46209.5</x:v>
      </x:c>
      <x:c r="G868" s="18" t="str">
        <x:v>Funded</x:v>
      </x:c>
      <x:c r="H868" s="23" t="n">
        <x:v>43000</x:v>
      </x:c>
      <x:c r="I868" s="18" t="str">
        <x:v>Auto loan</x:v>
      </x:c>
      <x:c r="J868" s="18" t="str">
        <x:v>New customer</x:v>
      </x:c>
      <x:c r="K868" s="20" t="n">
        <x:v>46216.5</x:v>
      </x:c>
    </x:row>
    <x:row r="869" ht="15" hidden="0" customHeight="1">
      <x:c r="A869" s="18" t="str">
        <x:v>LN000868</x:v>
      </x:c>
      <x:c r="B869" s="18" t="str">
        <x:v>LOS-SYN-0000868</x:v>
      </x:c>
      <x:c r="C869" s="18" t="str">
        <x:v>EMP007</x:v>
      </x:c>
      <x:c r="D869" s="18" t="str">
        <x:v>CY2026Q3</x:v>
      </x:c>
      <x:c r="E869" s="18" t="str">
        <x:v>BR003</x:v>
      </x:c>
      <x:c r="F869" s="20" t="n">
        <x:v>46266.5</x:v>
      </x:c>
      <x:c r="G869" s="18" t="str">
        <x:v>Funded</x:v>
      </x:c>
      <x:c r="H869" s="23" t="n">
        <x:v>39500</x:v>
      </x:c>
      <x:c r="I869" s="18" t="str">
        <x:v>Personal loan</x:v>
      </x:c>
      <x:c r="J869" s="18" t="str">
        <x:v>Existing customer</x:v>
      </x:c>
      <x:c r="K869" s="20" t="n">
        <x:v>46273.5</x:v>
      </x:c>
    </x:row>
    <x:row r="870" ht="15" hidden="0" customHeight="1">
      <x:c r="A870" s="18" t="str">
        <x:v>LN000869</x:v>
      </x:c>
      <x:c r="B870" s="18" t="str">
        <x:v>LOS-SYN-0000869</x:v>
      </x:c>
      <x:c r="C870" s="18" t="str">
        <x:v>EMP007</x:v>
      </x:c>
      <x:c r="D870" s="18" t="str">
        <x:v>CY2026Q3</x:v>
      </x:c>
      <x:c r="E870" s="18" t="str">
        <x:v>BR003</x:v>
      </x:c>
      <x:c r="F870" s="20" t="n">
        <x:v>46264.5</x:v>
      </x:c>
      <x:c r="G870" s="18" t="str">
        <x:v>Funded</x:v>
      </x:c>
      <x:c r="H870" s="23" t="n">
        <x:v>23500</x:v>
      </x:c>
      <x:c r="I870" s="18" t="str">
        <x:v>Debt consolidation loan</x:v>
      </x:c>
      <x:c r="J870" s="18" t="str">
        <x:v>New customer</x:v>
      </x:c>
      <x:c r="K870" s="20" t="n">
        <x:v>46273.5</x:v>
      </x:c>
    </x:row>
    <x:row r="871" ht="15" hidden="0" customHeight="1">
      <x:c r="A871" s="18" t="str">
        <x:v>LN000870</x:v>
      </x:c>
      <x:c r="B871" s="18" t="str">
        <x:v>LOS-SYN-0000870</x:v>
      </x:c>
      <x:c r="C871" s="18" t="str">
        <x:v>EMP007</x:v>
      </x:c>
      <x:c r="D871" s="18" t="str">
        <x:v>CY2026Q3</x:v>
      </x:c>
      <x:c r="E871" s="18" t="str">
        <x:v>BR003</x:v>
      </x:c>
      <x:c r="F871" s="20" t="n">
        <x:v>46288.5</x:v>
      </x:c>
      <x:c r="G871" s="18" t="str">
        <x:v>Funded</x:v>
      </x:c>
      <x:c r="H871" s="23" t="n">
        <x:v>36500</x:v>
      </x:c>
      <x:c r="I871" s="18" t="str">
        <x:v>Debt consolidation loan</x:v>
      </x:c>
      <x:c r="J871" s="18" t="str">
        <x:v>Existing customer</x:v>
      </x:c>
      <x:c r="K871" s="20" t="n">
        <x:v>46296.5</x:v>
      </x:c>
    </x:row>
    <x:row r="872" ht="15" hidden="0" customHeight="1">
      <x:c r="A872" s="18" t="str">
        <x:v>LN000871</x:v>
      </x:c>
      <x:c r="B872" s="18" t="str">
        <x:v>LOS-SYN-0000871</x:v>
      </x:c>
      <x:c r="C872" s="18" t="str">
        <x:v>EMP007</x:v>
      </x:c>
      <x:c r="D872" s="18" t="str">
        <x:v>CY2026Q3</x:v>
      </x:c>
      <x:c r="E872" s="18" t="str">
        <x:v>BR003</x:v>
      </x:c>
      <x:c r="F872" s="20" t="n">
        <x:v>46286.5</x:v>
      </x:c>
      <x:c r="G872" s="18" t="str">
        <x:v>Cancelled</x:v>
      </x:c>
      <x:c r="H872" s="23" t="n">
        <x:v>21000</x:v>
      </x:c>
      <x:c r="I872" s="18" t="str">
        <x:v>Personal loan</x:v>
      </x:c>
      <x:c r="J872" s="18" t="str">
        <x:v>New customer</x:v>
      </x:c>
      <x:c r="K872" s="20"/>
    </x:row>
    <x:row r="873" ht="15" hidden="0" customHeight="1">
      <x:c r="A873" s="18" t="str">
        <x:v>LN000872</x:v>
      </x:c>
      <x:c r="B873" s="18" t="str">
        <x:v>LOS-SYN-0000872</x:v>
      </x:c>
      <x:c r="C873" s="18" t="str">
        <x:v>EMP008</x:v>
      </x:c>
      <x:c r="D873" s="18" t="str">
        <x:v>CY2026Q3</x:v>
      </x:c>
      <x:c r="E873" s="18" t="str">
        <x:v>BR003</x:v>
      </x:c>
      <x:c r="F873" s="20" t="n">
        <x:v>46277.5</x:v>
      </x:c>
      <x:c r="G873" s="18" t="str">
        <x:v>Funded</x:v>
      </x:c>
      <x:c r="H873" s="23" t="n">
        <x:v>38500</x:v>
      </x:c>
      <x:c r="I873" s="18" t="str">
        <x:v>Home improvement loan</x:v>
      </x:c>
      <x:c r="J873" s="18" t="str">
        <x:v>Referral</x:v>
      </x:c>
      <x:c r="K873" s="20" t="n">
        <x:v>46286.5</x:v>
      </x:c>
    </x:row>
    <x:row r="874" ht="15" hidden="0" customHeight="1">
      <x:c r="A874" s="18" t="str">
        <x:v>LN000873</x:v>
      </x:c>
      <x:c r="B874" s="18" t="str">
        <x:v>LOS-SYN-0000873</x:v>
      </x:c>
      <x:c r="C874" s="18" t="str">
        <x:v>EMP008</x:v>
      </x:c>
      <x:c r="D874" s="18" t="str">
        <x:v>CY2026Q3</x:v>
      </x:c>
      <x:c r="E874" s="18" t="str">
        <x:v>BR003</x:v>
      </x:c>
      <x:c r="F874" s="20" t="n">
        <x:v>46267.5</x:v>
      </x:c>
      <x:c r="G874" s="18" t="str">
        <x:v>Funded</x:v>
      </x:c>
      <x:c r="H874" s="23" t="n">
        <x:v>44500</x:v>
      </x:c>
      <x:c r="I874" s="18" t="str">
        <x:v>Personal loan</x:v>
      </x:c>
      <x:c r="J874" s="18" t="str">
        <x:v>Existing customer</x:v>
      </x:c>
      <x:c r="K874" s="20" t="n">
        <x:v>46271.5</x:v>
      </x:c>
    </x:row>
    <x:row r="875" ht="15" hidden="0" customHeight="1">
      <x:c r="A875" s="18" t="str">
        <x:v>LN000874</x:v>
      </x:c>
      <x:c r="B875" s="18" t="str">
        <x:v>LOS-SYN-0000874</x:v>
      </x:c>
      <x:c r="C875" s="18" t="str">
        <x:v>EMP008</x:v>
      </x:c>
      <x:c r="D875" s="18" t="str">
        <x:v>CY2026Q3</x:v>
      </x:c>
      <x:c r="E875" s="18" t="str">
        <x:v>BR003</x:v>
      </x:c>
      <x:c r="F875" s="20" t="n">
        <x:v>46247.5</x:v>
      </x:c>
      <x:c r="G875" s="18" t="str">
        <x:v>Funded</x:v>
      </x:c>
      <x:c r="H875" s="23" t="n">
        <x:v>50500</x:v>
      </x:c>
      <x:c r="I875" s="18" t="str">
        <x:v>Home improvement loan</x:v>
      </x:c>
      <x:c r="J875" s="18" t="str">
        <x:v>Existing customer</x:v>
      </x:c>
      <x:c r="K875" s="20" t="n">
        <x:v>46251.5</x:v>
      </x:c>
    </x:row>
    <x:row r="876" ht="15" hidden="0" customHeight="1">
      <x:c r="A876" s="18" t="str">
        <x:v>LN000875</x:v>
      </x:c>
      <x:c r="B876" s="18" t="str">
        <x:v>LOS-SYN-0000875</x:v>
      </x:c>
      <x:c r="C876" s="18" t="str">
        <x:v>EMP008</x:v>
      </x:c>
      <x:c r="D876" s="18" t="str">
        <x:v>CY2026Q3</x:v>
      </x:c>
      <x:c r="E876" s="18" t="str">
        <x:v>BR003</x:v>
      </x:c>
      <x:c r="F876" s="20" t="n">
        <x:v>46256.5</x:v>
      </x:c>
      <x:c r="G876" s="18" t="str">
        <x:v>Funded</x:v>
      </x:c>
      <x:c r="H876" s="23" t="n">
        <x:v>29000</x:v>
      </x:c>
      <x:c r="I876" s="18" t="str">
        <x:v>Home improvement loan</x:v>
      </x:c>
      <x:c r="J876" s="18" t="str">
        <x:v>New customer</x:v>
      </x:c>
      <x:c r="K876" s="20" t="n">
        <x:v>46262.5</x:v>
      </x:c>
    </x:row>
    <x:row r="877" ht="15" hidden="0" customHeight="1">
      <x:c r="A877" s="18" t="str">
        <x:v>LN000876</x:v>
      </x:c>
      <x:c r="B877" s="18" t="str">
        <x:v>LOS-SYN-0000876</x:v>
      </x:c>
      <x:c r="C877" s="18" t="str">
        <x:v>EMP008</x:v>
      </x:c>
      <x:c r="D877" s="18" t="str">
        <x:v>CY2026Q3</x:v>
      </x:c>
      <x:c r="E877" s="18" t="str">
        <x:v>BR003</x:v>
      </x:c>
      <x:c r="F877" s="20" t="n">
        <x:v>46232.5</x:v>
      </x:c>
      <x:c r="G877" s="18" t="str">
        <x:v>Funded</x:v>
      </x:c>
      <x:c r="H877" s="23" t="n">
        <x:v>49500</x:v>
      </x:c>
      <x:c r="I877" s="18" t="str">
        <x:v>Debt consolidation loan</x:v>
      </x:c>
      <x:c r="J877" s="18" t="str">
        <x:v>Existing customer</x:v>
      </x:c>
      <x:c r="K877" s="20" t="n">
        <x:v>46238.5</x:v>
      </x:c>
    </x:row>
    <x:row r="878" ht="15" hidden="0" customHeight="1">
      <x:c r="A878" s="18" t="str">
        <x:v>LN000877</x:v>
      </x:c>
      <x:c r="B878" s="18" t="str">
        <x:v>LOS-SYN-0000877</x:v>
      </x:c>
      <x:c r="C878" s="18" t="str">
        <x:v>EMP008</x:v>
      </x:c>
      <x:c r="D878" s="18" t="str">
        <x:v>CY2026Q3</x:v>
      </x:c>
      <x:c r="E878" s="18" t="str">
        <x:v>BR003</x:v>
      </x:c>
      <x:c r="F878" s="20" t="n">
        <x:v>46229.5</x:v>
      </x:c>
      <x:c r="G878" s="18" t="str">
        <x:v>Funded</x:v>
      </x:c>
      <x:c r="H878" s="23" t="n">
        <x:v>38000</x:v>
      </x:c>
      <x:c r="I878" s="18" t="str">
        <x:v>Debt consolidation loan</x:v>
      </x:c>
      <x:c r="J878" s="18" t="str">
        <x:v>New customer</x:v>
      </x:c>
      <x:c r="K878" s="20" t="n">
        <x:v>46236.5</x:v>
      </x:c>
    </x:row>
    <x:row r="879" ht="15" hidden="0" customHeight="1">
      <x:c r="A879" s="18" t="str">
        <x:v>LN000878</x:v>
      </x:c>
      <x:c r="B879" s="18" t="str">
        <x:v>LOS-SYN-0000878</x:v>
      </x:c>
      <x:c r="C879" s="18" t="str">
        <x:v>EMP009</x:v>
      </x:c>
      <x:c r="D879" s="18" t="str">
        <x:v>CY2026Q3</x:v>
      </x:c>
      <x:c r="E879" s="18" t="str">
        <x:v>BR004</x:v>
      </x:c>
      <x:c r="F879" s="20" t="n">
        <x:v>46256.5</x:v>
      </x:c>
      <x:c r="G879" s="18" t="str">
        <x:v>Funded</x:v>
      </x:c>
      <x:c r="H879" s="23" t="n">
        <x:v>44500</x:v>
      </x:c>
      <x:c r="I879" s="18" t="str">
        <x:v>Auto loan</x:v>
      </x:c>
      <x:c r="J879" s="18" t="str">
        <x:v>Referral</x:v>
      </x:c>
      <x:c r="K879" s="20" t="n">
        <x:v>46264.5</x:v>
      </x:c>
    </x:row>
    <x:row r="880" ht="15" hidden="0" customHeight="1">
      <x:c r="A880" s="18" t="str">
        <x:v>LN000879</x:v>
      </x:c>
      <x:c r="B880" s="18" t="str">
        <x:v>LOS-SYN-0000879</x:v>
      </x:c>
      <x:c r="C880" s="18" t="str">
        <x:v>EMP009</x:v>
      </x:c>
      <x:c r="D880" s="18" t="str">
        <x:v>CY2026Q3</x:v>
      </x:c>
      <x:c r="E880" s="18" t="str">
        <x:v>BR004</x:v>
      </x:c>
      <x:c r="F880" s="20" t="n">
        <x:v>46243.5</x:v>
      </x:c>
      <x:c r="G880" s="18" t="str">
        <x:v>Funded</x:v>
      </x:c>
      <x:c r="H880" s="23" t="n">
        <x:v>41000</x:v>
      </x:c>
      <x:c r="I880" s="18" t="str">
        <x:v>Personal loan</x:v>
      </x:c>
      <x:c r="J880" s="18" t="str">
        <x:v>New customer</x:v>
      </x:c>
      <x:c r="K880" s="20" t="n">
        <x:v>46254.5</x:v>
      </x:c>
    </x:row>
    <x:row r="881" ht="15" hidden="0" customHeight="1">
      <x:c r="A881" s="18" t="str">
        <x:v>LN000880</x:v>
      </x:c>
      <x:c r="B881" s="18" t="str">
        <x:v>LOS-SYN-0000880</x:v>
      </x:c>
      <x:c r="C881" s="18" t="str">
        <x:v>EMP009</x:v>
      </x:c>
      <x:c r="D881" s="18" t="str">
        <x:v>CY2026Q3</x:v>
      </x:c>
      <x:c r="E881" s="18" t="str">
        <x:v>BR004</x:v>
      </x:c>
      <x:c r="F881" s="20" t="n">
        <x:v>46273.5</x:v>
      </x:c>
      <x:c r="G881" s="18" t="str">
        <x:v>Funded</x:v>
      </x:c>
      <x:c r="H881" s="23" t="n">
        <x:v>45000</x:v>
      </x:c>
      <x:c r="I881" s="18" t="str">
        <x:v>Auto loan</x:v>
      </x:c>
      <x:c r="J881" s="18" t="str">
        <x:v>Existing customer</x:v>
      </x:c>
      <x:c r="K881" s="20" t="n">
        <x:v>46285.5</x:v>
      </x:c>
    </x:row>
    <x:row r="882" ht="15" hidden="0" customHeight="1">
      <x:c r="A882" s="18" t="str">
        <x:v>LN000881</x:v>
      </x:c>
      <x:c r="B882" s="18" t="str">
        <x:v>LOS-SYN-0000881</x:v>
      </x:c>
      <x:c r="C882" s="18" t="str">
        <x:v>EMP009</x:v>
      </x:c>
      <x:c r="D882" s="18" t="str">
        <x:v>CY2026Q3</x:v>
      </x:c>
      <x:c r="E882" s="18" t="str">
        <x:v>BR004</x:v>
      </x:c>
      <x:c r="F882" s="20" t="n">
        <x:v>46278.5</x:v>
      </x:c>
      <x:c r="G882" s="18" t="str">
        <x:v>Funded</x:v>
      </x:c>
      <x:c r="H882" s="23" t="n">
        <x:v>43500</x:v>
      </x:c>
      <x:c r="I882" s="18" t="str">
        <x:v>Home improvement loan</x:v>
      </x:c>
      <x:c r="J882" s="18" t="str">
        <x:v>Referral</x:v>
      </x:c>
      <x:c r="K882" s="20" t="n">
        <x:v>46287.5</x:v>
      </x:c>
    </x:row>
    <x:row r="883" ht="15" hidden="0" customHeight="1">
      <x:c r="A883" s="18" t="str">
        <x:v>LN000882</x:v>
      </x:c>
      <x:c r="B883" s="18" t="str">
        <x:v>LOS-SYN-0000882</x:v>
      </x:c>
      <x:c r="C883" s="18" t="str">
        <x:v>EMP009</x:v>
      </x:c>
      <x:c r="D883" s="18" t="str">
        <x:v>CY2026Q3</x:v>
      </x:c>
      <x:c r="E883" s="18" t="str">
        <x:v>BR004</x:v>
      </x:c>
      <x:c r="F883" s="20" t="n">
        <x:v>46270.5</x:v>
      </x:c>
      <x:c r="G883" s="18" t="str">
        <x:v>Funded</x:v>
      </x:c>
      <x:c r="H883" s="23" t="n">
        <x:v>36000</x:v>
      </x:c>
      <x:c r="I883" s="18" t="str">
        <x:v>Debt consolidation loan</x:v>
      </x:c>
      <x:c r="J883" s="18" t="str">
        <x:v>New customer</x:v>
      </x:c>
      <x:c r="K883" s="20" t="n">
        <x:v>46278.5</x:v>
      </x:c>
    </x:row>
    <x:row r="884" ht="15" hidden="0" customHeight="1">
      <x:c r="A884" s="18" t="str">
        <x:v>LN000883</x:v>
      </x:c>
      <x:c r="B884" s="18" t="str">
        <x:v>LOS-SYN-0000883</x:v>
      </x:c>
      <x:c r="C884" s="18" t="str">
        <x:v>EMP009</x:v>
      </x:c>
      <x:c r="D884" s="18" t="str">
        <x:v>CY2026Q3</x:v>
      </x:c>
      <x:c r="E884" s="18" t="str">
        <x:v>BR004</x:v>
      </x:c>
      <x:c r="F884" s="20" t="n">
        <x:v>46211.5</x:v>
      </x:c>
      <x:c r="G884" s="18" t="str">
        <x:v>Funded</x:v>
      </x:c>
      <x:c r="H884" s="23" t="n">
        <x:v>40000</x:v>
      </x:c>
      <x:c r="I884" s="18" t="str">
        <x:v>Home improvement loan</x:v>
      </x:c>
      <x:c r="J884" s="18" t="str">
        <x:v>Referral</x:v>
      </x:c>
      <x:c r="K884" s="20" t="n">
        <x:v>46218.5</x:v>
      </x:c>
    </x:row>
    <x:row r="885" ht="15" hidden="0" customHeight="1">
      <x:c r="A885" s="18" t="str">
        <x:v>LN000884</x:v>
      </x:c>
      <x:c r="B885" s="18" t="str">
        <x:v>LOS-SYN-0000884</x:v>
      </x:c>
      <x:c r="C885" s="18" t="str">
        <x:v>EMP009</x:v>
      </x:c>
      <x:c r="D885" s="18" t="str">
        <x:v>CY2026Q3</x:v>
      </x:c>
      <x:c r="E885" s="18" t="str">
        <x:v>BR004</x:v>
      </x:c>
      <x:c r="F885" s="20" t="n">
        <x:v>46245.5</x:v>
      </x:c>
      <x:c r="G885" s="18" t="str">
        <x:v>Funded</x:v>
      </x:c>
      <x:c r="H885" s="23" t="n">
        <x:v>37000</x:v>
      </x:c>
      <x:c r="I885" s="18" t="str">
        <x:v>Home improvement loan</x:v>
      </x:c>
      <x:c r="J885" s="18" t="str">
        <x:v>Referral</x:v>
      </x:c>
      <x:c r="K885" s="20" t="n">
        <x:v>46255.5</x:v>
      </x:c>
    </x:row>
    <x:row r="886" ht="15" hidden="0" customHeight="1">
      <x:c r="A886" s="18" t="str">
        <x:v>LN000885</x:v>
      </x:c>
      <x:c r="B886" s="18" t="str">
        <x:v>LOS-SYN-0000885</x:v>
      </x:c>
      <x:c r="C886" s="18" t="str">
        <x:v>EMP009</x:v>
      </x:c>
      <x:c r="D886" s="18" t="str">
        <x:v>CY2026Q3</x:v>
      </x:c>
      <x:c r="E886" s="18" t="str">
        <x:v>BR004</x:v>
      </x:c>
      <x:c r="F886" s="20" t="n">
        <x:v>46262.5</x:v>
      </x:c>
      <x:c r="G886" s="18" t="str">
        <x:v>Funded</x:v>
      </x:c>
      <x:c r="H886" s="23" t="n">
        <x:v>44500</x:v>
      </x:c>
      <x:c r="I886" s="18" t="str">
        <x:v>Auto loan</x:v>
      </x:c>
      <x:c r="J886" s="18" t="str">
        <x:v>Referral</x:v>
      </x:c>
      <x:c r="K886" s="20" t="n">
        <x:v>46269.5</x:v>
      </x:c>
    </x:row>
    <x:row r="887" ht="15" hidden="0" customHeight="1">
      <x:c r="A887" s="18" t="str">
        <x:v>LN000886</x:v>
      </x:c>
      <x:c r="B887" s="18" t="str">
        <x:v>LOS-SYN-0000886</x:v>
      </x:c>
      <x:c r="C887" s="18" t="str">
        <x:v>EMP009</x:v>
      </x:c>
      <x:c r="D887" s="18" t="str">
        <x:v>CY2026Q3</x:v>
      </x:c>
      <x:c r="E887" s="18" t="str">
        <x:v>BR004</x:v>
      </x:c>
      <x:c r="F887" s="20" t="n">
        <x:v>46285.5</x:v>
      </x:c>
      <x:c r="G887" s="18" t="str">
        <x:v>Funded</x:v>
      </x:c>
      <x:c r="H887" s="23" t="n">
        <x:v>50500</x:v>
      </x:c>
      <x:c r="I887" s="18" t="str">
        <x:v>Auto loan</x:v>
      </x:c>
      <x:c r="J887" s="18" t="str">
        <x:v>Existing customer</x:v>
      </x:c>
      <x:c r="K887" s="20" t="n">
        <x:v>46293.5</x:v>
      </x:c>
    </x:row>
    <x:row r="888" ht="15" hidden="0" customHeight="1">
      <x:c r="A888" s="18" t="str">
        <x:v>LN000887</x:v>
      </x:c>
      <x:c r="B888" s="18" t="str">
        <x:v>LOS-SYN-0000887</x:v>
      </x:c>
      <x:c r="C888" s="18" t="str">
        <x:v>EMP009</x:v>
      </x:c>
      <x:c r="D888" s="18" t="str">
        <x:v>CY2026Q3</x:v>
      </x:c>
      <x:c r="E888" s="18" t="str">
        <x:v>BR004</x:v>
      </x:c>
      <x:c r="F888" s="20" t="n">
        <x:v>46265.5</x:v>
      </x:c>
      <x:c r="G888" s="18" t="str">
        <x:v>Funded</x:v>
      </x:c>
      <x:c r="H888" s="23" t="n">
        <x:v>41500</x:v>
      </x:c>
      <x:c r="I888" s="18" t="str">
        <x:v>Auto loan</x:v>
      </x:c>
      <x:c r="J888" s="18" t="str">
        <x:v>New customer</x:v>
      </x:c>
      <x:c r="K888" s="20" t="n">
        <x:v>46270.5</x:v>
      </x:c>
    </x:row>
    <x:row r="889" ht="15" hidden="0" customHeight="1">
      <x:c r="A889" s="18" t="str">
        <x:v>LN000888</x:v>
      </x:c>
      <x:c r="B889" s="18" t="str">
        <x:v>LOS-SYN-0000888</x:v>
      </x:c>
      <x:c r="C889" s="18" t="str">
        <x:v>EMP009</x:v>
      </x:c>
      <x:c r="D889" s="18" t="str">
        <x:v>CY2026Q3</x:v>
      </x:c>
      <x:c r="E889" s="18" t="str">
        <x:v>BR004</x:v>
      </x:c>
      <x:c r="F889" s="20" t="n">
        <x:v>46241.5</x:v>
      </x:c>
      <x:c r="G889" s="18" t="str">
        <x:v>Funded</x:v>
      </x:c>
      <x:c r="H889" s="23" t="n">
        <x:v>31000</x:v>
      </x:c>
      <x:c r="I889" s="18" t="str">
        <x:v>Debt consolidation loan</x:v>
      </x:c>
      <x:c r="J889" s="18" t="str">
        <x:v>Existing customer</x:v>
      </x:c>
      <x:c r="K889" s="20" t="n">
        <x:v>46251.5</x:v>
      </x:c>
    </x:row>
    <x:row r="890" ht="15" hidden="0" customHeight="1">
      <x:c r="A890" s="18" t="str">
        <x:v>LN000889</x:v>
      </x:c>
      <x:c r="B890" s="18" t="str">
        <x:v>LOS-SYN-0000889</x:v>
      </x:c>
      <x:c r="C890" s="18" t="str">
        <x:v>EMP009</x:v>
      </x:c>
      <x:c r="D890" s="18" t="str">
        <x:v>CY2026Q3</x:v>
      </x:c>
      <x:c r="E890" s="18" t="str">
        <x:v>BR004</x:v>
      </x:c>
      <x:c r="F890" s="20" t="n">
        <x:v>46208.5</x:v>
      </x:c>
      <x:c r="G890" s="18" t="str">
        <x:v>Funded</x:v>
      </x:c>
      <x:c r="H890" s="23" t="n">
        <x:v>45500</x:v>
      </x:c>
      <x:c r="I890" s="18" t="str">
        <x:v>Auto loan</x:v>
      </x:c>
      <x:c r="J890" s="18" t="str">
        <x:v>Referral</x:v>
      </x:c>
      <x:c r="K890" s="20" t="n">
        <x:v>46219.5</x:v>
      </x:c>
    </x:row>
    <x:row r="891" ht="15" hidden="0" customHeight="1">
      <x:c r="A891" s="18" t="str">
        <x:v>LN000890</x:v>
      </x:c>
      <x:c r="B891" s="18" t="str">
        <x:v>LOS-SYN-0000890</x:v>
      </x:c>
      <x:c r="C891" s="18" t="str">
        <x:v>EMP009</x:v>
      </x:c>
      <x:c r="D891" s="18" t="str">
        <x:v>CY2026Q3</x:v>
      </x:c>
      <x:c r="E891" s="18" t="str">
        <x:v>BR004</x:v>
      </x:c>
      <x:c r="F891" s="20" t="n">
        <x:v>46270.5</x:v>
      </x:c>
      <x:c r="G891" s="18" t="str">
        <x:v>Funded</x:v>
      </x:c>
      <x:c r="H891" s="23" t="n">
        <x:v>43500</x:v>
      </x:c>
      <x:c r="I891" s="18" t="str">
        <x:v>Home improvement loan</x:v>
      </x:c>
      <x:c r="J891" s="18" t="str">
        <x:v>Existing customer</x:v>
      </x:c>
      <x:c r="K891" s="20" t="n">
        <x:v>46275.5</x:v>
      </x:c>
    </x:row>
    <x:row r="892" ht="15" hidden="0" customHeight="1">
      <x:c r="A892" s="18" t="str">
        <x:v>LN000891</x:v>
      </x:c>
      <x:c r="B892" s="18" t="str">
        <x:v>LOS-SYN-0000891</x:v>
      </x:c>
      <x:c r="C892" s="18" t="str">
        <x:v>EMP009</x:v>
      </x:c>
      <x:c r="D892" s="18" t="str">
        <x:v>CY2026Q3</x:v>
      </x:c>
      <x:c r="E892" s="18" t="str">
        <x:v>BR004</x:v>
      </x:c>
      <x:c r="F892" s="20" t="n">
        <x:v>46242.5</x:v>
      </x:c>
      <x:c r="G892" s="18" t="str">
        <x:v>Funded</x:v>
      </x:c>
      <x:c r="H892" s="23" t="n">
        <x:v>44000</x:v>
      </x:c>
      <x:c r="I892" s="18" t="str">
        <x:v>Home improvement loan</x:v>
      </x:c>
      <x:c r="J892" s="18" t="str">
        <x:v>New customer</x:v>
      </x:c>
      <x:c r="K892" s="20" t="n">
        <x:v>46250.5</x:v>
      </x:c>
    </x:row>
    <x:row r="893" ht="15" hidden="0" customHeight="1">
      <x:c r="A893" s="18" t="str">
        <x:v>LN000892</x:v>
      </x:c>
      <x:c r="B893" s="18" t="str">
        <x:v>LOS-SYN-0000892</x:v>
      </x:c>
      <x:c r="C893" s="18" t="str">
        <x:v>EMP009</x:v>
      </x:c>
      <x:c r="D893" s="18" t="str">
        <x:v>CY2026Q3</x:v>
      </x:c>
      <x:c r="E893" s="18" t="str">
        <x:v>BR004</x:v>
      </x:c>
      <x:c r="F893" s="20" t="n">
        <x:v>46243.5</x:v>
      </x:c>
      <x:c r="G893" s="18" t="str">
        <x:v>Funded</x:v>
      </x:c>
      <x:c r="H893" s="23" t="n">
        <x:v>39500</x:v>
      </x:c>
      <x:c r="I893" s="18" t="str">
        <x:v>Personal loan</x:v>
      </x:c>
      <x:c r="J893" s="18" t="str">
        <x:v>New customer</x:v>
      </x:c>
      <x:c r="K893" s="20" t="n">
        <x:v>46254.5</x:v>
      </x:c>
    </x:row>
    <x:row r="894" ht="15" hidden="0" customHeight="1">
      <x:c r="A894" s="18" t="str">
        <x:v>LN000893</x:v>
      </x:c>
      <x:c r="B894" s="18" t="str">
        <x:v>LOS-SYN-0000893</x:v>
      </x:c>
      <x:c r="C894" s="18" t="str">
        <x:v>EMP010</x:v>
      </x:c>
      <x:c r="D894" s="18" t="str">
        <x:v>CY2026Q3</x:v>
      </x:c>
      <x:c r="E894" s="18" t="str">
        <x:v>BR004</x:v>
      </x:c>
      <x:c r="F894" s="20" t="n">
        <x:v>46232.5</x:v>
      </x:c>
      <x:c r="G894" s="18" t="str">
        <x:v>Funded</x:v>
      </x:c>
      <x:c r="H894" s="23" t="n">
        <x:v>51000</x:v>
      </x:c>
      <x:c r="I894" s="18" t="str">
        <x:v>Home improvement loan</x:v>
      </x:c>
      <x:c r="J894" s="18" t="str">
        <x:v>Existing customer</x:v>
      </x:c>
      <x:c r="K894" s="20" t="n">
        <x:v>46238.5</x:v>
      </x:c>
    </x:row>
    <x:row r="895" ht="15" hidden="0" customHeight="1">
      <x:c r="A895" s="18" t="str">
        <x:v>LN000894</x:v>
      </x:c>
      <x:c r="B895" s="18" t="str">
        <x:v>LOS-SYN-0000894</x:v>
      </x:c>
      <x:c r="C895" s="18" t="str">
        <x:v>EMP010</x:v>
      </x:c>
      <x:c r="D895" s="18" t="str">
        <x:v>CY2026Q3</x:v>
      </x:c>
      <x:c r="E895" s="18" t="str">
        <x:v>BR004</x:v>
      </x:c>
      <x:c r="F895" s="20" t="n">
        <x:v>46220.5</x:v>
      </x:c>
      <x:c r="G895" s="18" t="str">
        <x:v>Funded</x:v>
      </x:c>
      <x:c r="H895" s="23" t="n">
        <x:v>34000</x:v>
      </x:c>
      <x:c r="I895" s="18" t="str">
        <x:v>Personal loan</x:v>
      </x:c>
      <x:c r="J895" s="18" t="str">
        <x:v>Referral</x:v>
      </x:c>
      <x:c r="K895" s="20" t="n">
        <x:v>46228.5</x:v>
      </x:c>
    </x:row>
    <x:row r="896" ht="15" hidden="0" customHeight="1">
      <x:c r="A896" s="18" t="str">
        <x:v>LN000895</x:v>
      </x:c>
      <x:c r="B896" s="18" t="str">
        <x:v>LOS-SYN-0000895</x:v>
      </x:c>
      <x:c r="C896" s="18" t="str">
        <x:v>EMP010</x:v>
      </x:c>
      <x:c r="D896" s="18" t="str">
        <x:v>CY2026Q3</x:v>
      </x:c>
      <x:c r="E896" s="18" t="str">
        <x:v>BR004</x:v>
      </x:c>
      <x:c r="F896" s="20" t="n">
        <x:v>46285.5</x:v>
      </x:c>
      <x:c r="G896" s="18" t="str">
        <x:v>Funded</x:v>
      </x:c>
      <x:c r="H896" s="23" t="n">
        <x:v>35000</x:v>
      </x:c>
      <x:c r="I896" s="18" t="str">
        <x:v>Personal loan</x:v>
      </x:c>
      <x:c r="J896" s="18" t="str">
        <x:v>Referral</x:v>
      </x:c>
      <x:c r="K896" s="20" t="n">
        <x:v>46293.5</x:v>
      </x:c>
    </x:row>
    <x:row r="897" ht="15" hidden="0" customHeight="1">
      <x:c r="A897" s="18" t="str">
        <x:v>LN000896</x:v>
      </x:c>
      <x:c r="B897" s="18" t="str">
        <x:v>LOS-SYN-0000896</x:v>
      </x:c>
      <x:c r="C897" s="18" t="str">
        <x:v>EMP010</x:v>
      </x:c>
      <x:c r="D897" s="18" t="str">
        <x:v>CY2026Q3</x:v>
      </x:c>
      <x:c r="E897" s="18" t="str">
        <x:v>BR004</x:v>
      </x:c>
      <x:c r="F897" s="20" t="n">
        <x:v>46286.5</x:v>
      </x:c>
      <x:c r="G897" s="18" t="str">
        <x:v>Funded</x:v>
      </x:c>
      <x:c r="H897" s="23" t="n">
        <x:v>32000</x:v>
      </x:c>
      <x:c r="I897" s="18" t="str">
        <x:v>Personal loan</x:v>
      </x:c>
      <x:c r="J897" s="18" t="str">
        <x:v>New customer</x:v>
      </x:c>
      <x:c r="K897" s="20" t="n">
        <x:v>46292.5</x:v>
      </x:c>
    </x:row>
    <x:row r="898" ht="15" hidden="0" customHeight="1">
      <x:c r="A898" s="18" t="str">
        <x:v>LN000897</x:v>
      </x:c>
      <x:c r="B898" s="18" t="str">
        <x:v>LOS-SYN-0000897</x:v>
      </x:c>
      <x:c r="C898" s="18" t="str">
        <x:v>EMP010</x:v>
      </x:c>
      <x:c r="D898" s="18" t="str">
        <x:v>CY2026Q3</x:v>
      </x:c>
      <x:c r="E898" s="18" t="str">
        <x:v>BR004</x:v>
      </x:c>
      <x:c r="F898" s="20" t="n">
        <x:v>46264.5</x:v>
      </x:c>
      <x:c r="G898" s="18" t="str">
        <x:v>Funded</x:v>
      </x:c>
      <x:c r="H898" s="23" t="n">
        <x:v>48000</x:v>
      </x:c>
      <x:c r="I898" s="18" t="str">
        <x:v>Home improvement loan</x:v>
      </x:c>
      <x:c r="J898" s="18" t="str">
        <x:v>Referral</x:v>
      </x:c>
      <x:c r="K898" s="20" t="n">
        <x:v>46267.5</x:v>
      </x:c>
    </x:row>
    <x:row r="899" ht="15" hidden="0" customHeight="1">
      <x:c r="A899" s="18" t="str">
        <x:v>LN000898</x:v>
      </x:c>
      <x:c r="B899" s="18" t="str">
        <x:v>LOS-SYN-0000898</x:v>
      </x:c>
      <x:c r="C899" s="18" t="str">
        <x:v>EMP010</x:v>
      </x:c>
      <x:c r="D899" s="18" t="str">
        <x:v>CY2026Q3</x:v>
      </x:c>
      <x:c r="E899" s="18" t="str">
        <x:v>BR004</x:v>
      </x:c>
      <x:c r="F899" s="20" t="n">
        <x:v>46229.5</x:v>
      </x:c>
      <x:c r="G899" s="18" t="str">
        <x:v>Funded</x:v>
      </x:c>
      <x:c r="H899" s="23" t="n">
        <x:v>39000</x:v>
      </x:c>
      <x:c r="I899" s="18" t="str">
        <x:v>Debt consolidation loan</x:v>
      </x:c>
      <x:c r="J899" s="18" t="str">
        <x:v>Referral</x:v>
      </x:c>
      <x:c r="K899" s="20" t="n">
        <x:v>46235.5</x:v>
      </x:c>
    </x:row>
    <x:row r="900" ht="15" hidden="0" customHeight="1">
      <x:c r="A900" s="18" t="str">
        <x:v>LN000899</x:v>
      </x:c>
      <x:c r="B900" s="18" t="str">
        <x:v>LOS-SYN-0000899</x:v>
      </x:c>
      <x:c r="C900" s="18" t="str">
        <x:v>EMP010</x:v>
      </x:c>
      <x:c r="D900" s="18" t="str">
        <x:v>CY2026Q3</x:v>
      </x:c>
      <x:c r="E900" s="18" t="str">
        <x:v>BR004</x:v>
      </x:c>
      <x:c r="F900" s="20" t="n">
        <x:v>46265.5</x:v>
      </x:c>
      <x:c r="G900" s="18" t="str">
        <x:v>Funded</x:v>
      </x:c>
      <x:c r="H900" s="23" t="n">
        <x:v>40000</x:v>
      </x:c>
      <x:c r="I900" s="18" t="str">
        <x:v>Debt consolidation loan</x:v>
      </x:c>
      <x:c r="J900" s="18" t="str">
        <x:v>Referral</x:v>
      </x:c>
      <x:c r="K900" s="20" t="n">
        <x:v>46272.5</x:v>
      </x:c>
    </x:row>
    <x:row r="901" ht="15" hidden="0" customHeight="1">
      <x:c r="A901" s="18" t="str">
        <x:v>LN000900</x:v>
      </x:c>
      <x:c r="B901" s="18" t="str">
        <x:v>LOS-SYN-0000900</x:v>
      </x:c>
      <x:c r="C901" s="18" t="str">
        <x:v>EMP010</x:v>
      </x:c>
      <x:c r="D901" s="18" t="str">
        <x:v>CY2026Q3</x:v>
      </x:c>
      <x:c r="E901" s="18" t="str">
        <x:v>BR004</x:v>
      </x:c>
      <x:c r="F901" s="20" t="n">
        <x:v>46222.5</x:v>
      </x:c>
      <x:c r="G901" s="18" t="str">
        <x:v>Funded</x:v>
      </x:c>
      <x:c r="H901" s="23" t="n">
        <x:v>45500</x:v>
      </x:c>
      <x:c r="I901" s="18" t="str">
        <x:v>Debt consolidation loan</x:v>
      </x:c>
      <x:c r="J901" s="18" t="str">
        <x:v>Existing customer</x:v>
      </x:c>
      <x:c r="K901" s="20" t="n">
        <x:v>46226.5</x:v>
      </x:c>
    </x:row>
    <x:row r="902" ht="15" hidden="0" customHeight="1">
      <x:c r="A902" s="18" t="str">
        <x:v>LN000901</x:v>
      </x:c>
      <x:c r="B902" s="18" t="str">
        <x:v>LOS-SYN-0000901</x:v>
      </x:c>
      <x:c r="C902" s="18" t="str">
        <x:v>EMP010</x:v>
      </x:c>
      <x:c r="D902" s="18" t="str">
        <x:v>CY2026Q3</x:v>
      </x:c>
      <x:c r="E902" s="18" t="str">
        <x:v>BR004</x:v>
      </x:c>
      <x:c r="F902" s="20" t="n">
        <x:v>46246.5</x:v>
      </x:c>
      <x:c r="G902" s="18" t="str">
        <x:v>Funded</x:v>
      </x:c>
      <x:c r="H902" s="23" t="n">
        <x:v>53000</x:v>
      </x:c>
      <x:c r="I902" s="18" t="str">
        <x:v>Personal loan</x:v>
      </x:c>
      <x:c r="J902" s="18" t="str">
        <x:v>Existing customer</x:v>
      </x:c>
      <x:c r="K902" s="20" t="n">
        <x:v>46252.5</x:v>
      </x:c>
    </x:row>
    <x:row r="903" ht="15" hidden="0" customHeight="1">
      <x:c r="A903" s="18" t="str">
        <x:v>LN000902</x:v>
      </x:c>
      <x:c r="B903" s="18" t="str">
        <x:v>LOS-SYN-0000902</x:v>
      </x:c>
      <x:c r="C903" s="18" t="str">
        <x:v>EMP010</x:v>
      </x:c>
      <x:c r="D903" s="18" t="str">
        <x:v>CY2026Q3</x:v>
      </x:c>
      <x:c r="E903" s="18" t="str">
        <x:v>BR004</x:v>
      </x:c>
      <x:c r="F903" s="20" t="n">
        <x:v>46224.5</x:v>
      </x:c>
      <x:c r="G903" s="18" t="str">
        <x:v>Funded</x:v>
      </x:c>
      <x:c r="H903" s="23" t="n">
        <x:v>37500</x:v>
      </x:c>
      <x:c r="I903" s="18" t="str">
        <x:v>Personal loan</x:v>
      </x:c>
      <x:c r="J903" s="18" t="str">
        <x:v>Existing customer</x:v>
      </x:c>
      <x:c r="K903" s="20" t="n">
        <x:v>46232.5</x:v>
      </x:c>
    </x:row>
    <x:row r="904" ht="15" hidden="0" customHeight="1">
      <x:c r="A904" s="18" t="str">
        <x:v>LN000903</x:v>
      </x:c>
      <x:c r="B904" s="18" t="str">
        <x:v>LOS-SYN-0000903</x:v>
      </x:c>
      <x:c r="C904" s="18" t="str">
        <x:v>EMP010</x:v>
      </x:c>
      <x:c r="D904" s="18" t="str">
        <x:v>CY2026Q3</x:v>
      </x:c>
      <x:c r="E904" s="18" t="str">
        <x:v>BR004</x:v>
      </x:c>
      <x:c r="F904" s="20" t="n">
        <x:v>46221.5</x:v>
      </x:c>
      <x:c r="G904" s="18" t="str">
        <x:v>Funded</x:v>
      </x:c>
      <x:c r="H904" s="23" t="n">
        <x:v>44000</x:v>
      </x:c>
      <x:c r="I904" s="18" t="str">
        <x:v>Personal loan</x:v>
      </x:c>
      <x:c r="J904" s="18" t="str">
        <x:v>New customer</x:v>
      </x:c>
      <x:c r="K904" s="20" t="n">
        <x:v>46224.5</x:v>
      </x:c>
    </x:row>
    <x:row r="905" ht="15" hidden="0" customHeight="1">
      <x:c r="A905" s="18" t="str">
        <x:v>LN000904</x:v>
      </x:c>
      <x:c r="B905" s="18" t="str">
        <x:v>LOS-SYN-0000904</x:v>
      </x:c>
      <x:c r="C905" s="18" t="str">
        <x:v>EMP010</x:v>
      </x:c>
      <x:c r="D905" s="18" t="str">
        <x:v>CY2026Q3</x:v>
      </x:c>
      <x:c r="E905" s="18" t="str">
        <x:v>BR004</x:v>
      </x:c>
      <x:c r="F905" s="20" t="n">
        <x:v>46284.5</x:v>
      </x:c>
      <x:c r="G905" s="18" t="str">
        <x:v>Cancelled</x:v>
      </x:c>
      <x:c r="H905" s="23" t="n">
        <x:v>34000</x:v>
      </x:c>
      <x:c r="I905" s="18" t="str">
        <x:v>Personal loan</x:v>
      </x:c>
      <x:c r="J905" s="18" t="str">
        <x:v>New customer</x:v>
      </x:c>
      <x:c r="K905" s="20"/>
    </x:row>
    <x:row r="906" ht="15" hidden="0" customHeight="1">
      <x:c r="A906" s="18" t="str">
        <x:v>LN000905</x:v>
      </x:c>
      <x:c r="B906" s="18" t="str">
        <x:v>LOS-SYN-0000905</x:v>
      </x:c>
      <x:c r="C906" s="18" t="str">
        <x:v>EMP011</x:v>
      </x:c>
      <x:c r="D906" s="18" t="str">
        <x:v>CY2026Q3</x:v>
      </x:c>
      <x:c r="E906" s="18" t="str">
        <x:v>BR004</x:v>
      </x:c>
      <x:c r="F906" s="20" t="n">
        <x:v>46270.5</x:v>
      </x:c>
      <x:c r="G906" s="18" t="str">
        <x:v>Funded</x:v>
      </x:c>
      <x:c r="H906" s="23" t="n">
        <x:v>31500</x:v>
      </x:c>
      <x:c r="I906" s="18" t="str">
        <x:v>Home improvement loan</x:v>
      </x:c>
      <x:c r="J906" s="18" t="str">
        <x:v>Existing customer</x:v>
      </x:c>
      <x:c r="K906" s="20" t="n">
        <x:v>46275.5</x:v>
      </x:c>
    </x:row>
    <x:row r="907" ht="15" hidden="0" customHeight="1">
      <x:c r="A907" s="18" t="str">
        <x:v>LN000906</x:v>
      </x:c>
      <x:c r="B907" s="18" t="str">
        <x:v>LOS-SYN-0000906</x:v>
      </x:c>
      <x:c r="C907" s="18" t="str">
        <x:v>EMP011</x:v>
      </x:c>
      <x:c r="D907" s="18" t="str">
        <x:v>CY2026Q3</x:v>
      </x:c>
      <x:c r="E907" s="18" t="str">
        <x:v>BR004</x:v>
      </x:c>
      <x:c r="F907" s="20" t="n">
        <x:v>46218.5</x:v>
      </x:c>
      <x:c r="G907" s="18" t="str">
        <x:v>Funded</x:v>
      </x:c>
      <x:c r="H907" s="23" t="n">
        <x:v>43000</x:v>
      </x:c>
      <x:c r="I907" s="18" t="str">
        <x:v>Debt consolidation loan</x:v>
      </x:c>
      <x:c r="J907" s="18" t="str">
        <x:v>Existing customer</x:v>
      </x:c>
      <x:c r="K907" s="20" t="n">
        <x:v>46230.5</x:v>
      </x:c>
    </x:row>
    <x:row r="908" ht="15" hidden="0" customHeight="1">
      <x:c r="A908" s="18" t="str">
        <x:v>LN000907</x:v>
      </x:c>
      <x:c r="B908" s="18" t="str">
        <x:v>LOS-SYN-0000907</x:v>
      </x:c>
      <x:c r="C908" s="18" t="str">
        <x:v>EMP011</x:v>
      </x:c>
      <x:c r="D908" s="18" t="str">
        <x:v>CY2026Q3</x:v>
      </x:c>
      <x:c r="E908" s="18" t="str">
        <x:v>BR004</x:v>
      </x:c>
      <x:c r="F908" s="20" t="n">
        <x:v>46216.5</x:v>
      </x:c>
      <x:c r="G908" s="18" t="str">
        <x:v>Funded</x:v>
      </x:c>
      <x:c r="H908" s="23" t="n">
        <x:v>42500</x:v>
      </x:c>
      <x:c r="I908" s="18" t="str">
        <x:v>Auto loan</x:v>
      </x:c>
      <x:c r="J908" s="18" t="str">
        <x:v>Referral</x:v>
      </x:c>
      <x:c r="K908" s="20" t="n">
        <x:v>46220.5</x:v>
      </x:c>
    </x:row>
    <x:row r="909" ht="15" hidden="0" customHeight="1">
      <x:c r="A909" s="18" t="str">
        <x:v>LN000908</x:v>
      </x:c>
      <x:c r="B909" s="18" t="str">
        <x:v>LOS-SYN-0000908</x:v>
      </x:c>
      <x:c r="C909" s="18" t="str">
        <x:v>EMP011</x:v>
      </x:c>
      <x:c r="D909" s="18" t="str">
        <x:v>CY2026Q3</x:v>
      </x:c>
      <x:c r="E909" s="18" t="str">
        <x:v>BR004</x:v>
      </x:c>
      <x:c r="F909" s="20" t="n">
        <x:v>46251.5</x:v>
      </x:c>
      <x:c r="G909" s="18" t="str">
        <x:v>Funded</x:v>
      </x:c>
      <x:c r="H909" s="23" t="n">
        <x:v>43000</x:v>
      </x:c>
      <x:c r="I909" s="18" t="str">
        <x:v>Debt consolidation loan</x:v>
      </x:c>
      <x:c r="J909" s="18" t="str">
        <x:v>Existing customer</x:v>
      </x:c>
      <x:c r="K909" s="20" t="n">
        <x:v>46257.5</x:v>
      </x:c>
    </x:row>
    <x:row r="910" ht="15" hidden="0" customHeight="1">
      <x:c r="A910" s="18" t="str">
        <x:v>LN000909</x:v>
      </x:c>
      <x:c r="B910" s="18" t="str">
        <x:v>LOS-SYN-0000909</x:v>
      </x:c>
      <x:c r="C910" s="18" t="str">
        <x:v>EMP011</x:v>
      </x:c>
      <x:c r="D910" s="18" t="str">
        <x:v>CY2026Q3</x:v>
      </x:c>
      <x:c r="E910" s="18" t="str">
        <x:v>BR004</x:v>
      </x:c>
      <x:c r="F910" s="20" t="n">
        <x:v>46241.5</x:v>
      </x:c>
      <x:c r="G910" s="18" t="str">
        <x:v>Funded</x:v>
      </x:c>
      <x:c r="H910" s="23" t="n">
        <x:v>46500</x:v>
      </x:c>
      <x:c r="I910" s="18" t="str">
        <x:v>Personal loan</x:v>
      </x:c>
      <x:c r="J910" s="18" t="str">
        <x:v>Existing customer</x:v>
      </x:c>
      <x:c r="K910" s="20" t="n">
        <x:v>46252.5</x:v>
      </x:c>
    </x:row>
    <x:row r="911" ht="15" hidden="0" customHeight="1">
      <x:c r="A911" s="18" t="str">
        <x:v>LN000910</x:v>
      </x:c>
      <x:c r="B911" s="18" t="str">
        <x:v>LOS-SYN-0000910</x:v>
      </x:c>
      <x:c r="C911" s="18" t="str">
        <x:v>EMP011</x:v>
      </x:c>
      <x:c r="D911" s="18" t="str">
        <x:v>CY2026Q3</x:v>
      </x:c>
      <x:c r="E911" s="18" t="str">
        <x:v>BR004</x:v>
      </x:c>
      <x:c r="F911" s="20" t="n">
        <x:v>46229.5</x:v>
      </x:c>
      <x:c r="G911" s="18" t="str">
        <x:v>Funded</x:v>
      </x:c>
      <x:c r="H911" s="23" t="n">
        <x:v>43500</x:v>
      </x:c>
      <x:c r="I911" s="18" t="str">
        <x:v>Home improvement loan</x:v>
      </x:c>
      <x:c r="J911" s="18" t="str">
        <x:v>New customer</x:v>
      </x:c>
      <x:c r="K911" s="20" t="n">
        <x:v>46236.5</x:v>
      </x:c>
    </x:row>
    <x:row r="912" ht="15" hidden="0" customHeight="1">
      <x:c r="A912" s="18" t="str">
        <x:v>LN000911</x:v>
      </x:c>
      <x:c r="B912" s="18" t="str">
        <x:v>LOS-SYN-0000911</x:v>
      </x:c>
      <x:c r="C912" s="18" t="str">
        <x:v>EMP011</x:v>
      </x:c>
      <x:c r="D912" s="18" t="str">
        <x:v>CY2026Q3</x:v>
      </x:c>
      <x:c r="E912" s="18" t="str">
        <x:v>BR004</x:v>
      </x:c>
      <x:c r="F912" s="20" t="n">
        <x:v>46283.5</x:v>
      </x:c>
      <x:c r="G912" s="18" t="str">
        <x:v>Funded</x:v>
      </x:c>
      <x:c r="H912" s="23" t="n">
        <x:v>29000</x:v>
      </x:c>
      <x:c r="I912" s="18" t="str">
        <x:v>Personal loan</x:v>
      </x:c>
      <x:c r="J912" s="18" t="str">
        <x:v>Referral</x:v>
      </x:c>
      <x:c r="K912" s="20" t="n">
        <x:v>46292.5</x:v>
      </x:c>
    </x:row>
    <x:row r="913" ht="15" hidden="0" customHeight="1">
      <x:c r="A913" s="18" t="str">
        <x:v>LN000912</x:v>
      </x:c>
      <x:c r="B913" s="18" t="str">
        <x:v>LOS-SYN-0000912</x:v>
      </x:c>
      <x:c r="C913" s="18" t="str">
        <x:v>EMP011</x:v>
      </x:c>
      <x:c r="D913" s="18" t="str">
        <x:v>CY2026Q3</x:v>
      </x:c>
      <x:c r="E913" s="18" t="str">
        <x:v>BR004</x:v>
      </x:c>
      <x:c r="F913" s="20" t="n">
        <x:v>46212.5</x:v>
      </x:c>
      <x:c r="G913" s="18" t="str">
        <x:v>Funded</x:v>
      </x:c>
      <x:c r="H913" s="23" t="n">
        <x:v>36500</x:v>
      </x:c>
      <x:c r="I913" s="18" t="str">
        <x:v>Auto loan</x:v>
      </x:c>
      <x:c r="J913" s="18" t="str">
        <x:v>Existing customer</x:v>
      </x:c>
      <x:c r="K913" s="20" t="n">
        <x:v>46222.5</x:v>
      </x:c>
    </x:row>
    <x:row r="914" ht="15" hidden="0" customHeight="1">
      <x:c r="A914" s="18" t="str">
        <x:v>LN000913</x:v>
      </x:c>
      <x:c r="B914" s="18" t="str">
        <x:v>LOS-SYN-0000913</x:v>
      </x:c>
      <x:c r="C914" s="18" t="str">
        <x:v>EMP011</x:v>
      </x:c>
      <x:c r="D914" s="18" t="str">
        <x:v>CY2026Q3</x:v>
      </x:c>
      <x:c r="E914" s="18" t="str">
        <x:v>BR004</x:v>
      </x:c>
      <x:c r="F914" s="20" t="n">
        <x:v>46207.5</x:v>
      </x:c>
      <x:c r="G914" s="18" t="str">
        <x:v>Funded</x:v>
      </x:c>
      <x:c r="H914" s="23" t="n">
        <x:v>41500</x:v>
      </x:c>
      <x:c r="I914" s="18" t="str">
        <x:v>Personal loan</x:v>
      </x:c>
      <x:c r="J914" s="18" t="str">
        <x:v>New customer</x:v>
      </x:c>
      <x:c r="K914" s="20" t="n">
        <x:v>46210.5</x:v>
      </x:c>
    </x:row>
    <x:row r="915" ht="15" hidden="0" customHeight="1">
      <x:c r="A915" s="18" t="str">
        <x:v>LN000914</x:v>
      </x:c>
      <x:c r="B915" s="18" t="str">
        <x:v>LOS-SYN-0000914</x:v>
      </x:c>
      <x:c r="C915" s="18" t="str">
        <x:v>EMP012</x:v>
      </x:c>
      <x:c r="D915" s="18" t="str">
        <x:v>CY2026Q3</x:v>
      </x:c>
      <x:c r="E915" s="18" t="str">
        <x:v>BR005</x:v>
      </x:c>
      <x:c r="F915" s="20" t="n">
        <x:v>46271.5</x:v>
      </x:c>
      <x:c r="G915" s="18" t="str">
        <x:v>Funded</x:v>
      </x:c>
      <x:c r="H915" s="23" t="n">
        <x:v>42000</x:v>
      </x:c>
      <x:c r="I915" s="18" t="str">
        <x:v>Debt consolidation loan</x:v>
      </x:c>
      <x:c r="J915" s="18" t="str">
        <x:v>New customer</x:v>
      </x:c>
      <x:c r="K915" s="20" t="n">
        <x:v>46275.5</x:v>
      </x:c>
    </x:row>
    <x:row r="916" ht="15" hidden="0" customHeight="1">
      <x:c r="A916" s="18" t="str">
        <x:v>LN000915</x:v>
      </x:c>
      <x:c r="B916" s="18" t="str">
        <x:v>LOS-SYN-0000915</x:v>
      </x:c>
      <x:c r="C916" s="18" t="str">
        <x:v>EMP012</x:v>
      </x:c>
      <x:c r="D916" s="18" t="str">
        <x:v>CY2026Q3</x:v>
      </x:c>
      <x:c r="E916" s="18" t="str">
        <x:v>BR005</x:v>
      </x:c>
      <x:c r="F916" s="20" t="n">
        <x:v>46242.5</x:v>
      </x:c>
      <x:c r="G916" s="18" t="str">
        <x:v>Funded</x:v>
      </x:c>
      <x:c r="H916" s="23" t="n">
        <x:v>49000</x:v>
      </x:c>
      <x:c r="I916" s="18" t="str">
        <x:v>Home improvement loan</x:v>
      </x:c>
      <x:c r="J916" s="18" t="str">
        <x:v>Referral</x:v>
      </x:c>
      <x:c r="K916" s="20" t="n">
        <x:v>46252.5</x:v>
      </x:c>
    </x:row>
    <x:row r="917" ht="15" hidden="0" customHeight="1">
      <x:c r="A917" s="18" t="str">
        <x:v>LN000916</x:v>
      </x:c>
      <x:c r="B917" s="18" t="str">
        <x:v>LOS-SYN-0000916</x:v>
      </x:c>
      <x:c r="C917" s="18" t="str">
        <x:v>EMP012</x:v>
      </x:c>
      <x:c r="D917" s="18" t="str">
        <x:v>CY2026Q3</x:v>
      </x:c>
      <x:c r="E917" s="18" t="str">
        <x:v>BR005</x:v>
      </x:c>
      <x:c r="F917" s="20" t="n">
        <x:v>46264.5</x:v>
      </x:c>
      <x:c r="G917" s="18" t="str">
        <x:v>Funded</x:v>
      </x:c>
      <x:c r="H917" s="23" t="n">
        <x:v>33000</x:v>
      </x:c>
      <x:c r="I917" s="18" t="str">
        <x:v>Auto loan</x:v>
      </x:c>
      <x:c r="J917" s="18" t="str">
        <x:v>Referral</x:v>
      </x:c>
      <x:c r="K917" s="20" t="n">
        <x:v>46274.5</x:v>
      </x:c>
    </x:row>
    <x:row r="918" ht="15" hidden="0" customHeight="1">
      <x:c r="A918" s="18" t="str">
        <x:v>LN000917</x:v>
      </x:c>
      <x:c r="B918" s="18" t="str">
        <x:v>LOS-SYN-0000917</x:v>
      </x:c>
      <x:c r="C918" s="18" t="str">
        <x:v>EMP012</x:v>
      </x:c>
      <x:c r="D918" s="18" t="str">
        <x:v>CY2026Q3</x:v>
      </x:c>
      <x:c r="E918" s="18" t="str">
        <x:v>BR005</x:v>
      </x:c>
      <x:c r="F918" s="20" t="n">
        <x:v>46240.5</x:v>
      </x:c>
      <x:c r="G918" s="18" t="str">
        <x:v>Funded</x:v>
      </x:c>
      <x:c r="H918" s="23" t="n">
        <x:v>42500</x:v>
      </x:c>
      <x:c r="I918" s="18" t="str">
        <x:v>Personal loan</x:v>
      </x:c>
      <x:c r="J918" s="18" t="str">
        <x:v>Existing customer</x:v>
      </x:c>
      <x:c r="K918" s="20" t="n">
        <x:v>46247.5</x:v>
      </x:c>
    </x:row>
    <x:row r="919" ht="15" hidden="0" customHeight="1">
      <x:c r="A919" s="18" t="str">
        <x:v>LN000918</x:v>
      </x:c>
      <x:c r="B919" s="18" t="str">
        <x:v>LOS-SYN-0000918</x:v>
      </x:c>
      <x:c r="C919" s="18" t="str">
        <x:v>EMP012</x:v>
      </x:c>
      <x:c r="D919" s="18" t="str">
        <x:v>CY2026Q3</x:v>
      </x:c>
      <x:c r="E919" s="18" t="str">
        <x:v>BR005</x:v>
      </x:c>
      <x:c r="F919" s="20" t="n">
        <x:v>46222.5</x:v>
      </x:c>
      <x:c r="G919" s="18" t="str">
        <x:v>Funded</x:v>
      </x:c>
      <x:c r="H919" s="23" t="n">
        <x:v>32500</x:v>
      </x:c>
      <x:c r="I919" s="18" t="str">
        <x:v>Debt consolidation loan</x:v>
      </x:c>
      <x:c r="J919" s="18" t="str">
        <x:v>New customer</x:v>
      </x:c>
      <x:c r="K919" s="20" t="n">
        <x:v>46233.5</x:v>
      </x:c>
    </x:row>
    <x:row r="920" ht="15" hidden="0" customHeight="1">
      <x:c r="A920" s="18" t="str">
        <x:v>LN000919</x:v>
      </x:c>
      <x:c r="B920" s="18" t="str">
        <x:v>LOS-SYN-0000919</x:v>
      </x:c>
      <x:c r="C920" s="18" t="str">
        <x:v>EMP012</x:v>
      </x:c>
      <x:c r="D920" s="18" t="str">
        <x:v>CY2026Q3</x:v>
      </x:c>
      <x:c r="E920" s="18" t="str">
        <x:v>BR005</x:v>
      </x:c>
      <x:c r="F920" s="20" t="n">
        <x:v>46228.5</x:v>
      </x:c>
      <x:c r="G920" s="18" t="str">
        <x:v>Funded</x:v>
      </x:c>
      <x:c r="H920" s="23" t="n">
        <x:v>51000</x:v>
      </x:c>
      <x:c r="I920" s="18" t="str">
        <x:v>Debt consolidation loan</x:v>
      </x:c>
      <x:c r="J920" s="18" t="str">
        <x:v>Referral</x:v>
      </x:c>
      <x:c r="K920" s="20" t="n">
        <x:v>46239.5</x:v>
      </x:c>
    </x:row>
    <x:row r="921" ht="15" hidden="0" customHeight="1">
      <x:c r="A921" s="18" t="str">
        <x:v>LN000920</x:v>
      </x:c>
      <x:c r="B921" s="18" t="str">
        <x:v>LOS-SYN-0000920</x:v>
      </x:c>
      <x:c r="C921" s="18" t="str">
        <x:v>EMP012</x:v>
      </x:c>
      <x:c r="D921" s="18" t="str">
        <x:v>CY2026Q3</x:v>
      </x:c>
      <x:c r="E921" s="18" t="str">
        <x:v>BR005</x:v>
      </x:c>
      <x:c r="F921" s="20" t="n">
        <x:v>46252.5</x:v>
      </x:c>
      <x:c r="G921" s="18" t="str">
        <x:v>Funded</x:v>
      </x:c>
      <x:c r="H921" s="23" t="n">
        <x:v>41500</x:v>
      </x:c>
      <x:c r="I921" s="18" t="str">
        <x:v>Auto loan</x:v>
      </x:c>
      <x:c r="J921" s="18" t="str">
        <x:v>Referral</x:v>
      </x:c>
      <x:c r="K921" s="20" t="n">
        <x:v>46262.5</x:v>
      </x:c>
    </x:row>
    <x:row r="922" ht="15" hidden="0" customHeight="1">
      <x:c r="A922" s="18" t="str">
        <x:v>LN000921</x:v>
      </x:c>
      <x:c r="B922" s="18" t="str">
        <x:v>LOS-SYN-0000921</x:v>
      </x:c>
      <x:c r="C922" s="18" t="str">
        <x:v>EMP012</x:v>
      </x:c>
      <x:c r="D922" s="18" t="str">
        <x:v>CY2026Q3</x:v>
      </x:c>
      <x:c r="E922" s="18" t="str">
        <x:v>BR005</x:v>
      </x:c>
      <x:c r="F922" s="20" t="n">
        <x:v>46284.5</x:v>
      </x:c>
      <x:c r="G922" s="18" t="str">
        <x:v>Funded</x:v>
      </x:c>
      <x:c r="H922" s="23" t="n">
        <x:v>40500</x:v>
      </x:c>
      <x:c r="I922" s="18" t="str">
        <x:v>Home improvement loan</x:v>
      </x:c>
      <x:c r="J922" s="18" t="str">
        <x:v>Referral</x:v>
      </x:c>
      <x:c r="K922" s="20" t="n">
        <x:v>46293.5</x:v>
      </x:c>
    </x:row>
    <x:row r="923" ht="15" hidden="0" customHeight="1">
      <x:c r="A923" s="18" t="str">
        <x:v>LN000922</x:v>
      </x:c>
      <x:c r="B923" s="18" t="str">
        <x:v>LOS-SYN-0000922</x:v>
      </x:c>
      <x:c r="C923" s="18" t="str">
        <x:v>EMP012</x:v>
      </x:c>
      <x:c r="D923" s="18" t="str">
        <x:v>CY2026Q3</x:v>
      </x:c>
      <x:c r="E923" s="18" t="str">
        <x:v>BR005</x:v>
      </x:c>
      <x:c r="F923" s="20" t="n">
        <x:v>46287.5</x:v>
      </x:c>
      <x:c r="G923" s="18" t="str">
        <x:v>Funded</x:v>
      </x:c>
      <x:c r="H923" s="23" t="n">
        <x:v>29000</x:v>
      </x:c>
      <x:c r="I923" s="18" t="str">
        <x:v>Auto loan</x:v>
      </x:c>
      <x:c r="J923" s="18" t="str">
        <x:v>Referral</x:v>
      </x:c>
      <x:c r="K923" s="20" t="n">
        <x:v>46291.5</x:v>
      </x:c>
    </x:row>
    <x:row r="924" ht="15" hidden="0" customHeight="1">
      <x:c r="A924" s="18" t="str">
        <x:v>LN000923</x:v>
      </x:c>
      <x:c r="B924" s="18" t="str">
        <x:v>LOS-SYN-0000923</x:v>
      </x:c>
      <x:c r="C924" s="18" t="str">
        <x:v>EMP012</x:v>
      </x:c>
      <x:c r="D924" s="18" t="str">
        <x:v>CY2026Q3</x:v>
      </x:c>
      <x:c r="E924" s="18" t="str">
        <x:v>BR005</x:v>
      </x:c>
      <x:c r="F924" s="20" t="n">
        <x:v>46288.5</x:v>
      </x:c>
      <x:c r="G924" s="18" t="str">
        <x:v>Funded</x:v>
      </x:c>
      <x:c r="H924" s="23" t="n">
        <x:v>46500</x:v>
      </x:c>
      <x:c r="I924" s="18" t="str">
        <x:v>Auto loan</x:v>
      </x:c>
      <x:c r="J924" s="18" t="str">
        <x:v>Existing customer</x:v>
      </x:c>
      <x:c r="K924" s="20" t="n">
        <x:v>46299.5</x:v>
      </x:c>
    </x:row>
    <x:row r="925" ht="15" hidden="0" customHeight="1">
      <x:c r="A925" s="18" t="str">
        <x:v>LN000924</x:v>
      </x:c>
      <x:c r="B925" s="18" t="str">
        <x:v>LOS-SYN-0000924</x:v>
      </x:c>
      <x:c r="C925" s="18" t="str">
        <x:v>EMP012</x:v>
      </x:c>
      <x:c r="D925" s="18" t="str">
        <x:v>CY2026Q3</x:v>
      </x:c>
      <x:c r="E925" s="18" t="str">
        <x:v>BR005</x:v>
      </x:c>
      <x:c r="F925" s="20" t="n">
        <x:v>46280.5</x:v>
      </x:c>
      <x:c r="G925" s="18" t="str">
        <x:v>Funded</x:v>
      </x:c>
      <x:c r="H925" s="23" t="n">
        <x:v>39500</x:v>
      </x:c>
      <x:c r="I925" s="18" t="str">
        <x:v>Personal loan</x:v>
      </x:c>
      <x:c r="J925" s="18" t="str">
        <x:v>Existing customer</x:v>
      </x:c>
      <x:c r="K925" s="20" t="n">
        <x:v>46292.5</x:v>
      </x:c>
    </x:row>
    <x:row r="926" ht="15" hidden="0" customHeight="1">
      <x:c r="A926" s="18" t="str">
        <x:v>LN000925</x:v>
      </x:c>
      <x:c r="B926" s="18" t="str">
        <x:v>LOS-SYN-0000925</x:v>
      </x:c>
      <x:c r="C926" s="18" t="str">
        <x:v>EMP013</x:v>
      </x:c>
      <x:c r="D926" s="18" t="str">
        <x:v>CY2026Q3</x:v>
      </x:c>
      <x:c r="E926" s="18" t="str">
        <x:v>BR005</x:v>
      </x:c>
      <x:c r="F926" s="20" t="n">
        <x:v>46212.5</x:v>
      </x:c>
      <x:c r="G926" s="18" t="str">
        <x:v>Funded</x:v>
      </x:c>
      <x:c r="H926" s="23" t="n">
        <x:v>54500</x:v>
      </x:c>
      <x:c r="I926" s="18" t="str">
        <x:v>Personal loan</x:v>
      </x:c>
      <x:c r="J926" s="18" t="str">
        <x:v>New customer</x:v>
      </x:c>
      <x:c r="K926" s="20" t="n">
        <x:v>46219.5</x:v>
      </x:c>
    </x:row>
    <x:row r="927" ht="15" hidden="0" customHeight="1">
      <x:c r="A927" s="18" t="str">
        <x:v>LN000926</x:v>
      </x:c>
      <x:c r="B927" s="18" t="str">
        <x:v>LOS-SYN-0000926</x:v>
      </x:c>
      <x:c r="C927" s="18" t="str">
        <x:v>EMP013</x:v>
      </x:c>
      <x:c r="D927" s="18" t="str">
        <x:v>CY2026Q3</x:v>
      </x:c>
      <x:c r="E927" s="18" t="str">
        <x:v>BR005</x:v>
      </x:c>
      <x:c r="F927" s="20" t="n">
        <x:v>46266.5</x:v>
      </x:c>
      <x:c r="G927" s="18" t="str">
        <x:v>Funded</x:v>
      </x:c>
      <x:c r="H927" s="23" t="n">
        <x:v>45000</x:v>
      </x:c>
      <x:c r="I927" s="18" t="str">
        <x:v>Debt consolidation loan</x:v>
      </x:c>
      <x:c r="J927" s="18" t="str">
        <x:v>Referral</x:v>
      </x:c>
      <x:c r="K927" s="20" t="n">
        <x:v>46269.5</x:v>
      </x:c>
    </x:row>
    <x:row r="928" ht="15" hidden="0" customHeight="1">
      <x:c r="A928" s="18" t="str">
        <x:v>LN000927</x:v>
      </x:c>
      <x:c r="B928" s="18" t="str">
        <x:v>LOS-SYN-0000927</x:v>
      </x:c>
      <x:c r="C928" s="18" t="str">
        <x:v>EMP013</x:v>
      </x:c>
      <x:c r="D928" s="18" t="str">
        <x:v>CY2026Q3</x:v>
      </x:c>
      <x:c r="E928" s="18" t="str">
        <x:v>BR005</x:v>
      </x:c>
      <x:c r="F928" s="20" t="n">
        <x:v>46225.5</x:v>
      </x:c>
      <x:c r="G928" s="18" t="str">
        <x:v>Funded</x:v>
      </x:c>
      <x:c r="H928" s="23" t="n">
        <x:v>44000</x:v>
      </x:c>
      <x:c r="I928" s="18" t="str">
        <x:v>Debt consolidation loan</x:v>
      </x:c>
      <x:c r="J928" s="18" t="str">
        <x:v>Existing customer</x:v>
      </x:c>
      <x:c r="K928" s="20" t="n">
        <x:v>46235.5</x:v>
      </x:c>
    </x:row>
    <x:row r="929" ht="15" hidden="0" customHeight="1">
      <x:c r="A929" s="18" t="str">
        <x:v>LN000928</x:v>
      </x:c>
      <x:c r="B929" s="18" t="str">
        <x:v>LOS-SYN-0000928</x:v>
      </x:c>
      <x:c r="C929" s="18" t="str">
        <x:v>EMP013</x:v>
      </x:c>
      <x:c r="D929" s="18" t="str">
        <x:v>CY2026Q3</x:v>
      </x:c>
      <x:c r="E929" s="18" t="str">
        <x:v>BR005</x:v>
      </x:c>
      <x:c r="F929" s="20" t="n">
        <x:v>46236.5</x:v>
      </x:c>
      <x:c r="G929" s="18" t="str">
        <x:v>Funded</x:v>
      </x:c>
      <x:c r="H929" s="23" t="n">
        <x:v>52500</x:v>
      </x:c>
      <x:c r="I929" s="18" t="str">
        <x:v>Home improvement loan</x:v>
      </x:c>
      <x:c r="J929" s="18" t="str">
        <x:v>Referral</x:v>
      </x:c>
      <x:c r="K929" s="20" t="n">
        <x:v>46245.5</x:v>
      </x:c>
    </x:row>
    <x:row r="930" ht="15" hidden="0" customHeight="1">
      <x:c r="A930" s="18" t="str">
        <x:v>LN000929</x:v>
      </x:c>
      <x:c r="B930" s="18" t="str">
        <x:v>LOS-SYN-0000929</x:v>
      </x:c>
      <x:c r="C930" s="18" t="str">
        <x:v>EMP013</x:v>
      </x:c>
      <x:c r="D930" s="18" t="str">
        <x:v>CY2026Q3</x:v>
      </x:c>
      <x:c r="E930" s="18" t="str">
        <x:v>BR005</x:v>
      </x:c>
      <x:c r="F930" s="20" t="n">
        <x:v>46273.5</x:v>
      </x:c>
      <x:c r="G930" s="18" t="str">
        <x:v>Funded</x:v>
      </x:c>
      <x:c r="H930" s="23" t="n">
        <x:v>43500</x:v>
      </x:c>
      <x:c r="I930" s="18" t="str">
        <x:v>Personal loan</x:v>
      </x:c>
      <x:c r="J930" s="18" t="str">
        <x:v>New customer</x:v>
      </x:c>
      <x:c r="K930" s="20" t="n">
        <x:v>46281.5</x:v>
      </x:c>
    </x:row>
    <x:row r="931" ht="15" hidden="0" customHeight="1">
      <x:c r="A931" s="18" t="str">
        <x:v>LN000930</x:v>
      </x:c>
      <x:c r="B931" s="18" t="str">
        <x:v>LOS-SYN-0000930</x:v>
      </x:c>
      <x:c r="C931" s="18" t="str">
        <x:v>EMP013</x:v>
      </x:c>
      <x:c r="D931" s="18" t="str">
        <x:v>CY2026Q3</x:v>
      </x:c>
      <x:c r="E931" s="18" t="str">
        <x:v>BR005</x:v>
      </x:c>
      <x:c r="F931" s="20" t="n">
        <x:v>46213.5</x:v>
      </x:c>
      <x:c r="G931" s="18" t="str">
        <x:v>Funded</x:v>
      </x:c>
      <x:c r="H931" s="23" t="n">
        <x:v>52500</x:v>
      </x:c>
      <x:c r="I931" s="18" t="str">
        <x:v>Home improvement loan</x:v>
      </x:c>
      <x:c r="J931" s="18" t="str">
        <x:v>New customer</x:v>
      </x:c>
      <x:c r="K931" s="20" t="n">
        <x:v>46225.5</x:v>
      </x:c>
    </x:row>
    <x:row r="932" ht="15" hidden="0" customHeight="1">
      <x:c r="A932" s="18" t="str">
        <x:v>LN000931</x:v>
      </x:c>
      <x:c r="B932" s="18" t="str">
        <x:v>LOS-SYN-0000931</x:v>
      </x:c>
      <x:c r="C932" s="18" t="str">
        <x:v>EMP013</x:v>
      </x:c>
      <x:c r="D932" s="18" t="str">
        <x:v>CY2026Q3</x:v>
      </x:c>
      <x:c r="E932" s="18" t="str">
        <x:v>BR005</x:v>
      </x:c>
      <x:c r="F932" s="20" t="n">
        <x:v>46229.5</x:v>
      </x:c>
      <x:c r="G932" s="18" t="str">
        <x:v>Funded</x:v>
      </x:c>
      <x:c r="H932" s="23" t="n">
        <x:v>48000</x:v>
      </x:c>
      <x:c r="I932" s="18" t="str">
        <x:v>Home improvement loan</x:v>
      </x:c>
      <x:c r="J932" s="18" t="str">
        <x:v>New customer</x:v>
      </x:c>
      <x:c r="K932" s="20" t="n">
        <x:v>46235.5</x:v>
      </x:c>
    </x:row>
    <x:row r="933" ht="15" hidden="0" customHeight="1">
      <x:c r="A933" s="18" t="str">
        <x:v>LN000932</x:v>
      </x:c>
      <x:c r="B933" s="18" t="str">
        <x:v>LOS-SYN-0000932</x:v>
      </x:c>
      <x:c r="C933" s="18" t="str">
        <x:v>EMP013</x:v>
      </x:c>
      <x:c r="D933" s="18" t="str">
        <x:v>CY2026Q3</x:v>
      </x:c>
      <x:c r="E933" s="18" t="str">
        <x:v>BR005</x:v>
      </x:c>
      <x:c r="F933" s="20" t="n">
        <x:v>46206.5</x:v>
      </x:c>
      <x:c r="G933" s="18" t="str">
        <x:v>Funded</x:v>
      </x:c>
      <x:c r="H933" s="23" t="n">
        <x:v>37000</x:v>
      </x:c>
      <x:c r="I933" s="18" t="str">
        <x:v>Personal loan</x:v>
      </x:c>
      <x:c r="J933" s="18" t="str">
        <x:v>New customer</x:v>
      </x:c>
      <x:c r="K933" s="20" t="n">
        <x:v>46210.5</x:v>
      </x:c>
    </x:row>
    <x:row r="934" ht="15" hidden="0" customHeight="1">
      <x:c r="A934" s="18" t="str">
        <x:v>LN000933</x:v>
      </x:c>
      <x:c r="B934" s="18" t="str">
        <x:v>LOS-SYN-0000933</x:v>
      </x:c>
      <x:c r="C934" s="18" t="str">
        <x:v>EMP013</x:v>
      </x:c>
      <x:c r="D934" s="18" t="str">
        <x:v>CY2026Q3</x:v>
      </x:c>
      <x:c r="E934" s="18" t="str">
        <x:v>BR005</x:v>
      </x:c>
      <x:c r="F934" s="20" t="n">
        <x:v>46253.5</x:v>
      </x:c>
      <x:c r="G934" s="18" t="str">
        <x:v>Funded</x:v>
      </x:c>
      <x:c r="H934" s="23" t="n">
        <x:v>46500</x:v>
      </x:c>
      <x:c r="I934" s="18" t="str">
        <x:v>Home improvement loan</x:v>
      </x:c>
      <x:c r="J934" s="18" t="str">
        <x:v>New customer</x:v>
      </x:c>
      <x:c r="K934" s="20" t="n">
        <x:v>46262.5</x:v>
      </x:c>
    </x:row>
    <x:row r="935" ht="15" hidden="0" customHeight="1">
      <x:c r="A935" s="18" t="str">
        <x:v>LN000934</x:v>
      </x:c>
      <x:c r="B935" s="18" t="str">
        <x:v>LOS-SYN-0000934</x:v>
      </x:c>
      <x:c r="C935" s="18" t="str">
        <x:v>EMP013</x:v>
      </x:c>
      <x:c r="D935" s="18" t="str">
        <x:v>CY2026Q3</x:v>
      </x:c>
      <x:c r="E935" s="18" t="str">
        <x:v>BR005</x:v>
      </x:c>
      <x:c r="F935" s="20" t="n">
        <x:v>46213.5</x:v>
      </x:c>
      <x:c r="G935" s="18" t="str">
        <x:v>Funded</x:v>
      </x:c>
      <x:c r="H935" s="23" t="n">
        <x:v>56000</x:v>
      </x:c>
      <x:c r="I935" s="18" t="str">
        <x:v>Home improvement loan</x:v>
      </x:c>
      <x:c r="J935" s="18" t="str">
        <x:v>New customer</x:v>
      </x:c>
      <x:c r="K935" s="20" t="n">
        <x:v>46217.5</x:v>
      </x:c>
    </x:row>
    <x:row r="936" ht="15" hidden="0" customHeight="1">
      <x:c r="A936" s="18" t="str">
        <x:v>LN000935</x:v>
      </x:c>
      <x:c r="B936" s="18" t="str">
        <x:v>LOS-SYN-0000935</x:v>
      </x:c>
      <x:c r="C936" s="18" t="str">
        <x:v>EMP013</x:v>
      </x:c>
      <x:c r="D936" s="18" t="str">
        <x:v>CY2026Q3</x:v>
      </x:c>
      <x:c r="E936" s="18" t="str">
        <x:v>BR005</x:v>
      </x:c>
      <x:c r="F936" s="20" t="n">
        <x:v>46239.5</x:v>
      </x:c>
      <x:c r="G936" s="18" t="str">
        <x:v>Funded</x:v>
      </x:c>
      <x:c r="H936" s="23" t="n">
        <x:v>37500</x:v>
      </x:c>
      <x:c r="I936" s="18" t="str">
        <x:v>Personal loan</x:v>
      </x:c>
      <x:c r="J936" s="18" t="str">
        <x:v>New customer</x:v>
      </x:c>
      <x:c r="K936" s="20" t="n">
        <x:v>46251.5</x:v>
      </x:c>
    </x:row>
    <x:row r="937" ht="15" hidden="0" customHeight="1">
      <x:c r="A937" s="18" t="str">
        <x:v>LN000936</x:v>
      </x:c>
      <x:c r="B937" s="18" t="str">
        <x:v>LOS-SYN-0000936</x:v>
      </x:c>
      <x:c r="C937" s="18" t="str">
        <x:v>EMP013</x:v>
      </x:c>
      <x:c r="D937" s="18" t="str">
        <x:v>CY2026Q3</x:v>
      </x:c>
      <x:c r="E937" s="18" t="str">
        <x:v>BR005</x:v>
      </x:c>
      <x:c r="F937" s="20" t="n">
        <x:v>46231.5</x:v>
      </x:c>
      <x:c r="G937" s="18" t="str">
        <x:v>Cancelled</x:v>
      </x:c>
      <x:c r="H937" s="23" t="n">
        <x:v>22000</x:v>
      </x:c>
      <x:c r="I937" s="18" t="str">
        <x:v>Personal loan</x:v>
      </x:c>
      <x:c r="J937" s="18" t="str">
        <x:v>New customer</x:v>
      </x:c>
      <x:c r="K937" s="20"/>
    </x:row>
    <x:row r="938" ht="15" hidden="0" customHeight="1">
      <x:c r="A938" s="18" t="str">
        <x:v>LN000937</x:v>
      </x:c>
      <x:c r="B938" s="18" t="str">
        <x:v>LOS-SYN-0000937</x:v>
      </x:c>
      <x:c r="C938" s="18" t="str">
        <x:v>EMP014</x:v>
      </x:c>
      <x:c r="D938" s="18" t="str">
        <x:v>CY2026Q3</x:v>
      </x:c>
      <x:c r="E938" s="18" t="str">
        <x:v>BR006</x:v>
      </x:c>
      <x:c r="F938" s="20" t="n">
        <x:v>46238.5</x:v>
      </x:c>
      <x:c r="G938" s="18" t="str">
        <x:v>Funded</x:v>
      </x:c>
      <x:c r="H938" s="23" t="n">
        <x:v>55000</x:v>
      </x:c>
      <x:c r="I938" s="18" t="str">
        <x:v>Personal loan</x:v>
      </x:c>
      <x:c r="J938" s="18" t="str">
        <x:v>Referral</x:v>
      </x:c>
      <x:c r="K938" s="20" t="n">
        <x:v>46242.5</x:v>
      </x:c>
    </x:row>
    <x:row r="939" ht="15" hidden="0" customHeight="1">
      <x:c r="A939" s="18" t="str">
        <x:v>LN000938</x:v>
      </x:c>
      <x:c r="B939" s="18" t="str">
        <x:v>LOS-SYN-0000938</x:v>
      </x:c>
      <x:c r="C939" s="18" t="str">
        <x:v>EMP014</x:v>
      </x:c>
      <x:c r="D939" s="18" t="str">
        <x:v>CY2026Q3</x:v>
      </x:c>
      <x:c r="E939" s="18" t="str">
        <x:v>BR006</x:v>
      </x:c>
      <x:c r="F939" s="20" t="n">
        <x:v>46237.5</x:v>
      </x:c>
      <x:c r="G939" s="18" t="str">
        <x:v>Funded</x:v>
      </x:c>
      <x:c r="H939" s="23" t="n">
        <x:v>49000</x:v>
      </x:c>
      <x:c r="I939" s="18" t="str">
        <x:v>Home improvement loan</x:v>
      </x:c>
      <x:c r="J939" s="18" t="str">
        <x:v>Referral</x:v>
      </x:c>
      <x:c r="K939" s="20" t="n">
        <x:v>46240.5</x:v>
      </x:c>
    </x:row>
    <x:row r="940" ht="15" hidden="0" customHeight="1">
      <x:c r="A940" s="18" t="str">
        <x:v>LN000939</x:v>
      </x:c>
      <x:c r="B940" s="18" t="str">
        <x:v>LOS-SYN-0000939</x:v>
      </x:c>
      <x:c r="C940" s="18" t="str">
        <x:v>EMP014</x:v>
      </x:c>
      <x:c r="D940" s="18" t="str">
        <x:v>CY2026Q3</x:v>
      </x:c>
      <x:c r="E940" s="18" t="str">
        <x:v>BR006</x:v>
      </x:c>
      <x:c r="F940" s="20" t="n">
        <x:v>46212.5</x:v>
      </x:c>
      <x:c r="G940" s="18" t="str">
        <x:v>Funded</x:v>
      </x:c>
      <x:c r="H940" s="23" t="n">
        <x:v>42500</x:v>
      </x:c>
      <x:c r="I940" s="18" t="str">
        <x:v>Debt consolidation loan</x:v>
      </x:c>
      <x:c r="J940" s="18" t="str">
        <x:v>Referral</x:v>
      </x:c>
      <x:c r="K940" s="20" t="n">
        <x:v>46224.5</x:v>
      </x:c>
    </x:row>
    <x:row r="941" ht="15" hidden="0" customHeight="1">
      <x:c r="A941" s="18" t="str">
        <x:v>LN000940</x:v>
      </x:c>
      <x:c r="B941" s="18" t="str">
        <x:v>LOS-SYN-0000940</x:v>
      </x:c>
      <x:c r="C941" s="18" t="str">
        <x:v>EMP014</x:v>
      </x:c>
      <x:c r="D941" s="18" t="str">
        <x:v>CY2026Q3</x:v>
      </x:c>
      <x:c r="E941" s="18" t="str">
        <x:v>BR006</x:v>
      </x:c>
      <x:c r="F941" s="20" t="n">
        <x:v>46234.5</x:v>
      </x:c>
      <x:c r="G941" s="18" t="str">
        <x:v>Funded</x:v>
      </x:c>
      <x:c r="H941" s="23" t="n">
        <x:v>43000</x:v>
      </x:c>
      <x:c r="I941" s="18" t="str">
        <x:v>Debt consolidation loan</x:v>
      </x:c>
      <x:c r="J941" s="18" t="str">
        <x:v>New customer</x:v>
      </x:c>
      <x:c r="K941" s="20" t="n">
        <x:v>46245.5</x:v>
      </x:c>
    </x:row>
    <x:row r="942" ht="15" hidden="0" customHeight="1">
      <x:c r="A942" s="18" t="str">
        <x:v>LN000941</x:v>
      </x:c>
      <x:c r="B942" s="18" t="str">
        <x:v>LOS-SYN-0000941</x:v>
      </x:c>
      <x:c r="C942" s="18" t="str">
        <x:v>EMP014</x:v>
      </x:c>
      <x:c r="D942" s="18" t="str">
        <x:v>CY2026Q3</x:v>
      </x:c>
      <x:c r="E942" s="18" t="str">
        <x:v>BR006</x:v>
      </x:c>
      <x:c r="F942" s="20" t="n">
        <x:v>46224.5</x:v>
      </x:c>
      <x:c r="G942" s="18" t="str">
        <x:v>Funded</x:v>
      </x:c>
      <x:c r="H942" s="23" t="n">
        <x:v>47500</x:v>
      </x:c>
      <x:c r="I942" s="18" t="str">
        <x:v>Personal loan</x:v>
      </x:c>
      <x:c r="J942" s="18" t="str">
        <x:v>New customer</x:v>
      </x:c>
      <x:c r="K942" s="20" t="n">
        <x:v>46229.5</x:v>
      </x:c>
    </x:row>
    <x:row r="943" ht="15" hidden="0" customHeight="1">
      <x:c r="A943" s="18" t="str">
        <x:v>LN000942</x:v>
      </x:c>
      <x:c r="B943" s="18" t="str">
        <x:v>LOS-SYN-0000942</x:v>
      </x:c>
      <x:c r="C943" s="18" t="str">
        <x:v>EMP014</x:v>
      </x:c>
      <x:c r="D943" s="18" t="str">
        <x:v>CY2026Q3</x:v>
      </x:c>
      <x:c r="E943" s="18" t="str">
        <x:v>BR006</x:v>
      </x:c>
      <x:c r="F943" s="20" t="n">
        <x:v>46214.5</x:v>
      </x:c>
      <x:c r="G943" s="18" t="str">
        <x:v>Funded</x:v>
      </x:c>
      <x:c r="H943" s="23" t="n">
        <x:v>37000</x:v>
      </x:c>
      <x:c r="I943" s="18" t="str">
        <x:v>Auto loan</x:v>
      </x:c>
      <x:c r="J943" s="18" t="str">
        <x:v>Existing customer</x:v>
      </x:c>
      <x:c r="K943" s="20" t="n">
        <x:v>46221.5</x:v>
      </x:c>
    </x:row>
    <x:row r="944" ht="15" hidden="0" customHeight="1">
      <x:c r="A944" s="18" t="str">
        <x:v>LN000943</x:v>
      </x:c>
      <x:c r="B944" s="18" t="str">
        <x:v>LOS-SYN-0000943</x:v>
      </x:c>
      <x:c r="C944" s="18" t="str">
        <x:v>EMP014</x:v>
      </x:c>
      <x:c r="D944" s="18" t="str">
        <x:v>CY2026Q3</x:v>
      </x:c>
      <x:c r="E944" s="18" t="str">
        <x:v>BR006</x:v>
      </x:c>
      <x:c r="F944" s="20" t="n">
        <x:v>46229.5</x:v>
      </x:c>
      <x:c r="G944" s="18" t="str">
        <x:v>Funded</x:v>
      </x:c>
      <x:c r="H944" s="23" t="n">
        <x:v>37500</x:v>
      </x:c>
      <x:c r="I944" s="18" t="str">
        <x:v>Debt consolidation loan</x:v>
      </x:c>
      <x:c r="J944" s="18" t="str">
        <x:v>Existing customer</x:v>
      </x:c>
      <x:c r="K944" s="20" t="n">
        <x:v>46233.5</x:v>
      </x:c>
    </x:row>
    <x:row r="945" ht="15" hidden="0" customHeight="1">
      <x:c r="A945" s="18" t="str">
        <x:v>LN000944</x:v>
      </x:c>
      <x:c r="B945" s="18" t="str">
        <x:v>LOS-SYN-0000944</x:v>
      </x:c>
      <x:c r="C945" s="18" t="str">
        <x:v>EMP014</x:v>
      </x:c>
      <x:c r="D945" s="18" t="str">
        <x:v>CY2026Q3</x:v>
      </x:c>
      <x:c r="E945" s="18" t="str">
        <x:v>BR006</x:v>
      </x:c>
      <x:c r="F945" s="20" t="n">
        <x:v>46217.5</x:v>
      </x:c>
      <x:c r="G945" s="18" t="str">
        <x:v>Funded</x:v>
      </x:c>
      <x:c r="H945" s="23" t="n">
        <x:v>36500</x:v>
      </x:c>
      <x:c r="I945" s="18" t="str">
        <x:v>Debt consolidation loan</x:v>
      </x:c>
      <x:c r="J945" s="18" t="str">
        <x:v>Existing customer</x:v>
      </x:c>
      <x:c r="K945" s="20" t="n">
        <x:v>46228.5</x:v>
      </x:c>
    </x:row>
    <x:row r="946" ht="15" hidden="0" customHeight="1">
      <x:c r="A946" s="18" t="str">
        <x:v>LN000945</x:v>
      </x:c>
      <x:c r="B946" s="18" t="str">
        <x:v>LOS-SYN-0000945</x:v>
      </x:c>
      <x:c r="C946" s="18" t="str">
        <x:v>EMP014</x:v>
      </x:c>
      <x:c r="D946" s="18" t="str">
        <x:v>CY2026Q3</x:v>
      </x:c>
      <x:c r="E946" s="18" t="str">
        <x:v>BR006</x:v>
      </x:c>
      <x:c r="F946" s="20" t="n">
        <x:v>46268.5</x:v>
      </x:c>
      <x:c r="G946" s="18" t="str">
        <x:v>Funded</x:v>
      </x:c>
      <x:c r="H946" s="23" t="n">
        <x:v>56500</x:v>
      </x:c>
      <x:c r="I946" s="18" t="str">
        <x:v>Home improvement loan</x:v>
      </x:c>
      <x:c r="J946" s="18" t="str">
        <x:v>Referral</x:v>
      </x:c>
      <x:c r="K946" s="20" t="n">
        <x:v>46278.5</x:v>
      </x:c>
    </x:row>
    <x:row r="947" ht="15" hidden="0" customHeight="1">
      <x:c r="A947" s="18" t="str">
        <x:v>LN000946</x:v>
      </x:c>
      <x:c r="B947" s="18" t="str">
        <x:v>LOS-SYN-0000946</x:v>
      </x:c>
      <x:c r="C947" s="18" t="str">
        <x:v>EMP014</x:v>
      </x:c>
      <x:c r="D947" s="18" t="str">
        <x:v>CY2026Q3</x:v>
      </x:c>
      <x:c r="E947" s="18" t="str">
        <x:v>BR006</x:v>
      </x:c>
      <x:c r="F947" s="20" t="n">
        <x:v>46219.5</x:v>
      </x:c>
      <x:c r="G947" s="18" t="str">
        <x:v>Funded</x:v>
      </x:c>
      <x:c r="H947" s="23" t="n">
        <x:v>43500</x:v>
      </x:c>
      <x:c r="I947" s="18" t="str">
        <x:v>Home improvement loan</x:v>
      </x:c>
      <x:c r="J947" s="18" t="str">
        <x:v>New customer</x:v>
      </x:c>
      <x:c r="K947" s="20" t="n">
        <x:v>46230.5</x:v>
      </x:c>
    </x:row>
    <x:row r="948" ht="15" hidden="0" customHeight="1">
      <x:c r="A948" s="18" t="str">
        <x:v>LN000947</x:v>
      </x:c>
      <x:c r="B948" s="18" t="str">
        <x:v>LOS-SYN-0000947</x:v>
      </x:c>
      <x:c r="C948" s="18" t="str">
        <x:v>EMP015</x:v>
      </x:c>
      <x:c r="D948" s="18" t="str">
        <x:v>CY2026Q3</x:v>
      </x:c>
      <x:c r="E948" s="18" t="str">
        <x:v>BR006</x:v>
      </x:c>
      <x:c r="F948" s="20" t="n">
        <x:v>46283.5</x:v>
      </x:c>
      <x:c r="G948" s="18" t="str">
        <x:v>Funded</x:v>
      </x:c>
      <x:c r="H948" s="23" t="n">
        <x:v>41500</x:v>
      </x:c>
      <x:c r="I948" s="18" t="str">
        <x:v>Home improvement loan</x:v>
      </x:c>
      <x:c r="J948" s="18" t="str">
        <x:v>Existing customer</x:v>
      </x:c>
      <x:c r="K948" s="20" t="n">
        <x:v>46293.5</x:v>
      </x:c>
    </x:row>
    <x:row r="949" ht="15" hidden="0" customHeight="1">
      <x:c r="A949" s="18" t="str">
        <x:v>LN000948</x:v>
      </x:c>
      <x:c r="B949" s="18" t="str">
        <x:v>LOS-SYN-0000948</x:v>
      </x:c>
      <x:c r="C949" s="18" t="str">
        <x:v>EMP015</x:v>
      </x:c>
      <x:c r="D949" s="18" t="str">
        <x:v>CY2026Q3</x:v>
      </x:c>
      <x:c r="E949" s="18" t="str">
        <x:v>BR006</x:v>
      </x:c>
      <x:c r="F949" s="20" t="n">
        <x:v>46271.5</x:v>
      </x:c>
      <x:c r="G949" s="18" t="str">
        <x:v>Funded</x:v>
      </x:c>
      <x:c r="H949" s="23" t="n">
        <x:v>36500</x:v>
      </x:c>
      <x:c r="I949" s="18" t="str">
        <x:v>Home improvement loan</x:v>
      </x:c>
      <x:c r="J949" s="18" t="str">
        <x:v>New customer</x:v>
      </x:c>
      <x:c r="K949" s="20" t="n">
        <x:v>46281.5</x:v>
      </x:c>
    </x:row>
    <x:row r="950" ht="15" hidden="0" customHeight="1">
      <x:c r="A950" s="18" t="str">
        <x:v>LN000949</x:v>
      </x:c>
      <x:c r="B950" s="18" t="str">
        <x:v>LOS-SYN-0000949</x:v>
      </x:c>
      <x:c r="C950" s="18" t="str">
        <x:v>EMP015</x:v>
      </x:c>
      <x:c r="D950" s="18" t="str">
        <x:v>CY2026Q3</x:v>
      </x:c>
      <x:c r="E950" s="18" t="str">
        <x:v>BR006</x:v>
      </x:c>
      <x:c r="F950" s="20" t="n">
        <x:v>46256.5</x:v>
      </x:c>
      <x:c r="G950" s="18" t="str">
        <x:v>Funded</x:v>
      </x:c>
      <x:c r="H950" s="23" t="n">
        <x:v>48000</x:v>
      </x:c>
      <x:c r="I950" s="18" t="str">
        <x:v>Debt consolidation loan</x:v>
      </x:c>
      <x:c r="J950" s="18" t="str">
        <x:v>Referral</x:v>
      </x:c>
      <x:c r="K950" s="20" t="n">
        <x:v>46266.5</x:v>
      </x:c>
    </x:row>
    <x:row r="951" ht="15" hidden="0" customHeight="1">
      <x:c r="A951" s="18" t="str">
        <x:v>LN000950</x:v>
      </x:c>
      <x:c r="B951" s="18" t="str">
        <x:v>LOS-SYN-0000950</x:v>
      </x:c>
      <x:c r="C951" s="18" t="str">
        <x:v>EMP015</x:v>
      </x:c>
      <x:c r="D951" s="18" t="str">
        <x:v>CY2026Q3</x:v>
      </x:c>
      <x:c r="E951" s="18" t="str">
        <x:v>BR006</x:v>
      </x:c>
      <x:c r="F951" s="20" t="n">
        <x:v>46263.5</x:v>
      </x:c>
      <x:c r="G951" s="18" t="str">
        <x:v>Funded</x:v>
      </x:c>
      <x:c r="H951" s="23" t="n">
        <x:v>46000</x:v>
      </x:c>
      <x:c r="I951" s="18" t="str">
        <x:v>Personal loan</x:v>
      </x:c>
      <x:c r="J951" s="18" t="str">
        <x:v>Existing customer</x:v>
      </x:c>
      <x:c r="K951" s="20" t="n">
        <x:v>46267.5</x:v>
      </x:c>
    </x:row>
    <x:row r="952" ht="15" hidden="0" customHeight="1">
      <x:c r="A952" s="18" t="str">
        <x:v>LN000951</x:v>
      </x:c>
      <x:c r="B952" s="18" t="str">
        <x:v>LOS-SYN-0000951</x:v>
      </x:c>
      <x:c r="C952" s="18" t="str">
        <x:v>EMP015</x:v>
      </x:c>
      <x:c r="D952" s="18" t="str">
        <x:v>CY2026Q3</x:v>
      </x:c>
      <x:c r="E952" s="18" t="str">
        <x:v>BR006</x:v>
      </x:c>
      <x:c r="F952" s="20" t="n">
        <x:v>46219.5</x:v>
      </x:c>
      <x:c r="G952" s="18" t="str">
        <x:v>Funded</x:v>
      </x:c>
      <x:c r="H952" s="23" t="n">
        <x:v>34500</x:v>
      </x:c>
      <x:c r="I952" s="18" t="str">
        <x:v>Debt consolidation loan</x:v>
      </x:c>
      <x:c r="J952" s="18" t="str">
        <x:v>New customer</x:v>
      </x:c>
      <x:c r="K952" s="20" t="n">
        <x:v>46225.5</x:v>
      </x:c>
    </x:row>
    <x:row r="953" ht="15" hidden="0" customHeight="1">
      <x:c r="A953" s="18" t="str">
        <x:v>LN000952</x:v>
      </x:c>
      <x:c r="B953" s="18" t="str">
        <x:v>LOS-SYN-0000952</x:v>
      </x:c>
      <x:c r="C953" s="18" t="str">
        <x:v>EMP015</x:v>
      </x:c>
      <x:c r="D953" s="18" t="str">
        <x:v>CY2026Q3</x:v>
      </x:c>
      <x:c r="E953" s="18" t="str">
        <x:v>BR006</x:v>
      </x:c>
      <x:c r="F953" s="20" t="n">
        <x:v>46267.5</x:v>
      </x:c>
      <x:c r="G953" s="18" t="str">
        <x:v>Funded</x:v>
      </x:c>
      <x:c r="H953" s="23" t="n">
        <x:v>34500</x:v>
      </x:c>
      <x:c r="I953" s="18" t="str">
        <x:v>Personal loan</x:v>
      </x:c>
      <x:c r="J953" s="18" t="str">
        <x:v>New customer</x:v>
      </x:c>
      <x:c r="K953" s="20" t="n">
        <x:v>46273.5</x:v>
      </x:c>
    </x:row>
    <x:row r="954" ht="15" hidden="0" customHeight="1">
      <x:c r="A954" s="18" t="str">
        <x:v>LN000953</x:v>
      </x:c>
      <x:c r="B954" s="18" t="str">
        <x:v>LOS-SYN-0000953</x:v>
      </x:c>
      <x:c r="C954" s="18" t="str">
        <x:v>EMP015</x:v>
      </x:c>
      <x:c r="D954" s="18" t="str">
        <x:v>CY2026Q3</x:v>
      </x:c>
      <x:c r="E954" s="18" t="str">
        <x:v>BR006</x:v>
      </x:c>
      <x:c r="F954" s="20" t="n">
        <x:v>46283.5</x:v>
      </x:c>
      <x:c r="G954" s="18" t="str">
        <x:v>Funded</x:v>
      </x:c>
      <x:c r="H954" s="23" t="n">
        <x:v>40000</x:v>
      </x:c>
      <x:c r="I954" s="18" t="str">
        <x:v>Debt consolidation loan</x:v>
      </x:c>
      <x:c r="J954" s="18" t="str">
        <x:v>New customer</x:v>
      </x:c>
      <x:c r="K954" s="20" t="n">
        <x:v>46292.5</x:v>
      </x:c>
    </x:row>
  </x:sheetData>
  <x:pageMargins left="0.7" right="0.7" top="0.75" bottom="0.75" header="0.3" footer="0.3"/>
  <x:tableParts count="1">
    <x:tablePart xmlns:r="http://schemas.openxmlformats.org/officeDocument/2006/relationships" r:id="Rf2c9d720f1b64049"/>
  </x:tableParts>
</x:worksheet>
</file>

<file path=xl/worksheets/sheet17.xml><?xml version="1.0" encoding="utf-8"?>
<x:worksheet xmlns:x="http://schemas.openxmlformats.org/spreadsheetml/2006/main">
  <x:sheetPr>
    <x:tabColor rgb="FFED7D3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9" hidden="0" customWidth="1"/>
    <x:col min="4" max="4" width="17" hidden="0" customWidth="1"/>
    <x:col min="5" max="5" width="15" hidden="0" customWidth="1"/>
    <x:col min="6" max="6" width="14" hidden="0" customWidth="1"/>
    <x:col min="7" max="7" width="12" hidden="0" customWidth="1"/>
    <x:col min="8" max="8" width="14" hidden="0" customWidth="1"/>
    <x:col min="9" max="9" width="24" hidden="0" customWidth="1"/>
  </x:cols>
  <x:sheetData>
    <x:row r="1" ht="30" hidden="0" customHeight="1">
      <x:c r="A1" s="15" t="str">
        <x:v>target_id</x:v>
      </x:c>
      <x:c r="B1" s="16" t="str">
        <x:v>cycle_id</x:v>
      </x:c>
      <x:c r="C1" s="16" t="str">
        <x:v>target_scope_type</x:v>
      </x:c>
      <x:c r="D1" s="16" t="str">
        <x:v>target_scope_id</x:v>
      </x:c>
      <x:c r="E1" s="16" t="str">
        <x:v>target_metric</x:v>
      </x:c>
      <x:c r="F1" s="16" t="str">
        <x:v>target_value</x:v>
      </x:c>
      <x:c r="G1" s="16" t="str">
        <x:v>currency</x:v>
      </x:c>
      <x:c r="H1" s="16" t="str">
        <x:v>assigned_date</x:v>
      </x:c>
      <x:c r="I1" s="17" t="str">
        <x:v>approved_by_employee_id</x:v>
      </x:c>
    </x:row>
    <x:row r="2" ht="15" hidden="0" customHeight="1">
      <x:c r="A2" s="18" t="str">
        <x:v>TGT0001</x:v>
      </x:c>
      <x:c r="B2" s="18" t="str">
        <x:v>CY2025Q1</x:v>
      </x:c>
      <x:c r="C2" s="18" t="str">
        <x:v>Employee</x:v>
      </x:c>
      <x:c r="D2" s="18" t="str">
        <x:v>EMP001</x:v>
      </x:c>
      <x:c r="E2" s="18" t="str">
        <x:v>Funded loan amount</x:v>
      </x:c>
      <x:c r="F2" s="23" t="n">
        <x:v>250000</x:v>
      </x:c>
      <x:c r="G2" s="18" t="str">
        <x:v>USD</x:v>
      </x:c>
      <x:c r="H2" s="20" t="n">
        <x:v>45644.5</x:v>
      </x:c>
      <x:c r="I2" s="18" t="str">
        <x:v>MGR001</x:v>
      </x:c>
    </x:row>
    <x:row r="3" ht="15" hidden="0" customHeight="1">
      <x:c r="A3" s="18" t="str">
        <x:v>TGT0002</x:v>
      </x:c>
      <x:c r="B3" s="18" t="str">
        <x:v>CY2025Q1</x:v>
      </x:c>
      <x:c r="C3" s="18" t="str">
        <x:v>Employee</x:v>
      </x:c>
      <x:c r="D3" s="18" t="str">
        <x:v>EMP002</x:v>
      </x:c>
      <x:c r="E3" s="18" t="str">
        <x:v>Funded loan amount</x:v>
      </x:c>
      <x:c r="F3" s="23" t="n">
        <x:v>273500</x:v>
      </x:c>
      <x:c r="G3" s="18" t="str">
        <x:v>USD</x:v>
      </x:c>
      <x:c r="H3" s="20" t="n">
        <x:v>45644.5</x:v>
      </x:c>
      <x:c r="I3" s="18" t="str">
        <x:v>MGR001</x:v>
      </x:c>
    </x:row>
    <x:row r="4" ht="15" hidden="0" customHeight="1">
      <x:c r="A4" s="18" t="str">
        <x:v>TGT0003</x:v>
      </x:c>
      <x:c r="B4" s="18" t="str">
        <x:v>CY2025Q1</x:v>
      </x:c>
      <x:c r="C4" s="18" t="str">
        <x:v>Employee</x:v>
      </x:c>
      <x:c r="D4" s="18" t="str">
        <x:v>EMP003</x:v>
      </x:c>
      <x:c r="E4" s="18" t="str">
        <x:v>Funded loan amount</x:v>
      </x:c>
      <x:c r="F4" s="23" t="n">
        <x:v>297000</x:v>
      </x:c>
      <x:c r="G4" s="18" t="str">
        <x:v>USD</x:v>
      </x:c>
      <x:c r="H4" s="20" t="n">
        <x:v>45644.5</x:v>
      </x:c>
      <x:c r="I4" s="18" t="str">
        <x:v>MGR001</x:v>
      </x:c>
    </x:row>
    <x:row r="5" ht="15" hidden="0" customHeight="1">
      <x:c r="A5" s="18" t="str">
        <x:v>TGT0004</x:v>
      </x:c>
      <x:c r="B5" s="18" t="str">
        <x:v>CY2025Q1</x:v>
      </x:c>
      <x:c r="C5" s="18" t="str">
        <x:v>Employee</x:v>
      </x:c>
      <x:c r="D5" s="18" t="str">
        <x:v>EMP004</x:v>
      </x:c>
      <x:c r="E5" s="18" t="str">
        <x:v>Funded loan amount</x:v>
      </x:c>
      <x:c r="F5" s="23" t="n">
        <x:v>275500</x:v>
      </x:c>
      <x:c r="G5" s="18" t="str">
        <x:v>USD</x:v>
      </x:c>
      <x:c r="H5" s="20" t="n">
        <x:v>45644.5</x:v>
      </x:c>
      <x:c r="I5" s="18" t="str">
        <x:v>MGR002</x:v>
      </x:c>
    </x:row>
    <x:row r="6" ht="15" hidden="0" customHeight="1">
      <x:c r="A6" s="18" t="str">
        <x:v>TGT0005</x:v>
      </x:c>
      <x:c r="B6" s="18" t="str">
        <x:v>CY2025Q1</x:v>
      </x:c>
      <x:c r="C6" s="18" t="str">
        <x:v>Employee</x:v>
      </x:c>
      <x:c r="D6" s="18" t="str">
        <x:v>EMP005</x:v>
      </x:c>
      <x:c r="E6" s="18" t="str">
        <x:v>Funded loan amount</x:v>
      </x:c>
      <x:c r="F6" s="23" t="n">
        <x:v>299000</x:v>
      </x:c>
      <x:c r="G6" s="18" t="str">
        <x:v>USD</x:v>
      </x:c>
      <x:c r="H6" s="20" t="n">
        <x:v>45644.5</x:v>
      </x:c>
      <x:c r="I6" s="18" t="str">
        <x:v>MGR002</x:v>
      </x:c>
    </x:row>
    <x:row r="7" ht="15" hidden="0" customHeight="1">
      <x:c r="A7" s="18" t="str">
        <x:v>TGT0006</x:v>
      </x:c>
      <x:c r="B7" s="18" t="str">
        <x:v>CY2025Q1</x:v>
      </x:c>
      <x:c r="C7" s="18" t="str">
        <x:v>Employee</x:v>
      </x:c>
      <x:c r="D7" s="18" t="str">
        <x:v>EMP006</x:v>
      </x:c>
      <x:c r="E7" s="18" t="str">
        <x:v>Funded loan amount</x:v>
      </x:c>
      <x:c r="F7" s="23" t="n">
        <x:v>322500</x:v>
      </x:c>
      <x:c r="G7" s="18" t="str">
        <x:v>USD</x:v>
      </x:c>
      <x:c r="H7" s="20" t="n">
        <x:v>45644.5</x:v>
      </x:c>
      <x:c r="I7" s="18" t="str">
        <x:v>MGR002</x:v>
      </x:c>
    </x:row>
    <x:row r="8" ht="15" hidden="0" customHeight="1">
      <x:c r="A8" s="18" t="str">
        <x:v>TGT0007</x:v>
      </x:c>
      <x:c r="B8" s="18" t="str">
        <x:v>CY2025Q1</x:v>
      </x:c>
      <x:c r="C8" s="18" t="str">
        <x:v>Employee</x:v>
      </x:c>
      <x:c r="D8" s="18" t="str">
        <x:v>EMP007</x:v>
      </x:c>
      <x:c r="E8" s="18" t="str">
        <x:v>Funded loan amount</x:v>
      </x:c>
      <x:c r="F8" s="23" t="n">
        <x:v>301000</x:v>
      </x:c>
      <x:c r="G8" s="18" t="str">
        <x:v>USD</x:v>
      </x:c>
      <x:c r="H8" s="20" t="n">
        <x:v>45644.5</x:v>
      </x:c>
      <x:c r="I8" s="18" t="str">
        <x:v>MGR003</x:v>
      </x:c>
    </x:row>
    <x:row r="9" ht="15" hidden="0" customHeight="1">
      <x:c r="A9" s="18" t="str">
        <x:v>TGT0008</x:v>
      </x:c>
      <x:c r="B9" s="18" t="str">
        <x:v>CY2025Q1</x:v>
      </x:c>
      <x:c r="C9" s="18" t="str">
        <x:v>Employee</x:v>
      </x:c>
      <x:c r="D9" s="18" t="str">
        <x:v>EMP008</x:v>
      </x:c>
      <x:c r="E9" s="18" t="str">
        <x:v>Funded loan amount</x:v>
      </x:c>
      <x:c r="F9" s="23" t="n">
        <x:v>324500</x:v>
      </x:c>
      <x:c r="G9" s="18" t="str">
        <x:v>USD</x:v>
      </x:c>
      <x:c r="H9" s="20" t="n">
        <x:v>45644.5</x:v>
      </x:c>
      <x:c r="I9" s="18" t="str">
        <x:v>MGR003</x:v>
      </x:c>
    </x:row>
    <x:row r="10" ht="15" hidden="0" customHeight="1">
      <x:c r="A10" s="18" t="str">
        <x:v>TGT0009</x:v>
      </x:c>
      <x:c r="B10" s="18" t="str">
        <x:v>CY2025Q1</x:v>
      </x:c>
      <x:c r="C10" s="18" t="str">
        <x:v>Employee</x:v>
      </x:c>
      <x:c r="D10" s="18" t="str">
        <x:v>EMP009</x:v>
      </x:c>
      <x:c r="E10" s="18" t="str">
        <x:v>Funded loan amount</x:v>
      </x:c>
      <x:c r="F10" s="23" t="n">
        <x:v>348000</x:v>
      </x:c>
      <x:c r="G10" s="18" t="str">
        <x:v>USD</x:v>
      </x:c>
      <x:c r="H10" s="20" t="n">
        <x:v>45644.5</x:v>
      </x:c>
      <x:c r="I10" s="18" t="str">
        <x:v>MGR004</x:v>
      </x:c>
    </x:row>
    <x:row r="11" ht="15" hidden="0" customHeight="1">
      <x:c r="A11" s="18" t="str">
        <x:v>TGT0010</x:v>
      </x:c>
      <x:c r="B11" s="18" t="str">
        <x:v>CY2025Q1</x:v>
      </x:c>
      <x:c r="C11" s="18" t="str">
        <x:v>Employee</x:v>
      </x:c>
      <x:c r="D11" s="18" t="str">
        <x:v>EMP010</x:v>
      </x:c>
      <x:c r="E11" s="18" t="str">
        <x:v>Funded loan amount</x:v>
      </x:c>
      <x:c r="F11" s="23" t="n">
        <x:v>326500</x:v>
      </x:c>
      <x:c r="G11" s="18" t="str">
        <x:v>USD</x:v>
      </x:c>
      <x:c r="H11" s="20" t="n">
        <x:v>45644.5</x:v>
      </x:c>
      <x:c r="I11" s="18" t="str">
        <x:v>MGR004</x:v>
      </x:c>
    </x:row>
    <x:row r="12" ht="15" hidden="0" customHeight="1">
      <x:c r="A12" s="18" t="str">
        <x:v>TGT0011</x:v>
      </x:c>
      <x:c r="B12" s="18" t="str">
        <x:v>CY2025Q1</x:v>
      </x:c>
      <x:c r="C12" s="18" t="str">
        <x:v>Employee</x:v>
      </x:c>
      <x:c r="D12" s="18" t="str">
        <x:v>EMP011</x:v>
      </x:c>
      <x:c r="E12" s="18" t="str">
        <x:v>Funded loan amount</x:v>
      </x:c>
      <x:c r="F12" s="23" t="n">
        <x:v>350000</x:v>
      </x:c>
      <x:c r="G12" s="18" t="str">
        <x:v>USD</x:v>
      </x:c>
      <x:c r="H12" s="20" t="n">
        <x:v>45644.5</x:v>
      </x:c>
      <x:c r="I12" s="18" t="str">
        <x:v>MGR004</x:v>
      </x:c>
    </x:row>
    <x:row r="13" ht="15" hidden="0" customHeight="1">
      <x:c r="A13" s="18" t="str">
        <x:v>TGT0012</x:v>
      </x:c>
      <x:c r="B13" s="18" t="str">
        <x:v>CY2025Q1</x:v>
      </x:c>
      <x:c r="C13" s="18" t="str">
        <x:v>Employee</x:v>
      </x:c>
      <x:c r="D13" s="18" t="str">
        <x:v>EMP012</x:v>
      </x:c>
      <x:c r="E13" s="18" t="str">
        <x:v>Funded loan amount</x:v>
      </x:c>
      <x:c r="F13" s="23" t="n">
        <x:v>373500</x:v>
      </x:c>
      <x:c r="G13" s="18" t="str">
        <x:v>USD</x:v>
      </x:c>
      <x:c r="H13" s="20" t="n">
        <x:v>45644.5</x:v>
      </x:c>
      <x:c r="I13" s="18" t="str">
        <x:v>MGR005</x:v>
      </x:c>
    </x:row>
    <x:row r="14" ht="15" hidden="0" customHeight="1">
      <x:c r="A14" s="18" t="str">
        <x:v>TGT0013</x:v>
      </x:c>
      <x:c r="B14" s="18" t="str">
        <x:v>CY2025Q1</x:v>
      </x:c>
      <x:c r="C14" s="18" t="str">
        <x:v>Employee</x:v>
      </x:c>
      <x:c r="D14" s="18" t="str">
        <x:v>EMP013</x:v>
      </x:c>
      <x:c r="E14" s="18" t="str">
        <x:v>Funded loan amount</x:v>
      </x:c>
      <x:c r="F14" s="23" t="n">
        <x:v>352000</x:v>
      </x:c>
      <x:c r="G14" s="18" t="str">
        <x:v>USD</x:v>
      </x:c>
      <x:c r="H14" s="20" t="n">
        <x:v>45644.5</x:v>
      </x:c>
      <x:c r="I14" s="18" t="str">
        <x:v>MGR005</x:v>
      </x:c>
    </x:row>
    <x:row r="15" ht="15" hidden="0" customHeight="1">
      <x:c r="A15" s="18" t="str">
        <x:v>TGT0014</x:v>
      </x:c>
      <x:c r="B15" s="18" t="str">
        <x:v>CY2025Q1</x:v>
      </x:c>
      <x:c r="C15" s="18" t="str">
        <x:v>Employee</x:v>
      </x:c>
      <x:c r="D15" s="18" t="str">
        <x:v>EMP014</x:v>
      </x:c>
      <x:c r="E15" s="18" t="str">
        <x:v>Funded loan amount</x:v>
      </x:c>
      <x:c r="F15" s="23" t="n">
        <x:v>375500</x:v>
      </x:c>
      <x:c r="G15" s="18" t="str">
        <x:v>USD</x:v>
      </x:c>
      <x:c r="H15" s="20" t="n">
        <x:v>45644.5</x:v>
      </x:c>
      <x:c r="I15" s="18" t="str">
        <x:v>MGR006</x:v>
      </x:c>
    </x:row>
    <x:row r="16" ht="15" hidden="0" customHeight="1">
      <x:c r="A16" s="18" t="str">
        <x:v>TGT0015</x:v>
      </x:c>
      <x:c r="B16" s="18" t="str">
        <x:v>CY2025Q1</x:v>
      </x:c>
      <x:c r="C16" s="18" t="str">
        <x:v>Employee</x:v>
      </x:c>
      <x:c r="D16" s="18" t="str">
        <x:v>EMP015</x:v>
      </x:c>
      <x:c r="E16" s="18" t="str">
        <x:v>Funded loan amount</x:v>
      </x:c>
      <x:c r="F16" s="23" t="n">
        <x:v>399000</x:v>
      </x:c>
      <x:c r="G16" s="18" t="str">
        <x:v>USD</x:v>
      </x:c>
      <x:c r="H16" s="20" t="n">
        <x:v>45644.5</x:v>
      </x:c>
      <x:c r="I16" s="18" t="str">
        <x:v>MGR006</x:v>
      </x:c>
    </x:row>
    <x:row r="17" ht="15" hidden="0" customHeight="1">
      <x:c r="A17" s="18" t="str">
        <x:v>TGT0016</x:v>
      </x:c>
      <x:c r="B17" s="18" t="str">
        <x:v>CY2025Q1</x:v>
      </x:c>
      <x:c r="C17" s="18" t="str">
        <x:v>Branch</x:v>
      </x:c>
      <x:c r="D17" s="18" t="str">
        <x:v>BR001</x:v>
      </x:c>
      <x:c r="E17" s="18" t="str">
        <x:v>Funded loan amount</x:v>
      </x:c>
      <x:c r="F17" s="23" t="n">
        <x:v>820500</x:v>
      </x:c>
      <x:c r="G17" s="18" t="str">
        <x:v>USD</x:v>
      </x:c>
      <x:c r="H17" s="20" t="n">
        <x:v>45644.5</x:v>
      </x:c>
      <x:c r="I17" s="18" t="str">
        <x:v>VP001</x:v>
      </x:c>
    </x:row>
    <x:row r="18" ht="15" hidden="0" customHeight="1">
      <x:c r="A18" s="18" t="str">
        <x:v>TGT0017</x:v>
      </x:c>
      <x:c r="B18" s="18" t="str">
        <x:v>CY2025Q1</x:v>
      </x:c>
      <x:c r="C18" s="18" t="str">
        <x:v>Branch</x:v>
      </x:c>
      <x:c r="D18" s="18" t="str">
        <x:v>BR002</x:v>
      </x:c>
      <x:c r="E18" s="18" t="str">
        <x:v>Funded loan amount</x:v>
      </x:c>
      <x:c r="F18" s="23" t="n">
        <x:v>897000</x:v>
      </x:c>
      <x:c r="G18" s="18" t="str">
        <x:v>USD</x:v>
      </x:c>
      <x:c r="H18" s="20" t="n">
        <x:v>45644.5</x:v>
      </x:c>
      <x:c r="I18" s="18" t="str">
        <x:v>VP001</x:v>
      </x:c>
    </x:row>
    <x:row r="19" ht="15" hidden="0" customHeight="1">
      <x:c r="A19" s="18" t="str">
        <x:v>TGT0018</x:v>
      </x:c>
      <x:c r="B19" s="18" t="str">
        <x:v>CY2025Q1</x:v>
      </x:c>
      <x:c r="C19" s="18" t="str">
        <x:v>Branch</x:v>
      </x:c>
      <x:c r="D19" s="18" t="str">
        <x:v>BR003</x:v>
      </x:c>
      <x:c r="E19" s="18" t="str">
        <x:v>Funded loan amount</x:v>
      </x:c>
      <x:c r="F19" s="23" t="n">
        <x:v>625500</x:v>
      </x:c>
      <x:c r="G19" s="18" t="str">
        <x:v>USD</x:v>
      </x:c>
      <x:c r="H19" s="20" t="n">
        <x:v>45644.5</x:v>
      </x:c>
      <x:c r="I19" s="18" t="str">
        <x:v>VP001</x:v>
      </x:c>
    </x:row>
    <x:row r="20" ht="15" hidden="0" customHeight="1">
      <x:c r="A20" s="18" t="str">
        <x:v>TGT0019</x:v>
      </x:c>
      <x:c r="B20" s="18" t="str">
        <x:v>CY2025Q1</x:v>
      </x:c>
      <x:c r="C20" s="18" t="str">
        <x:v>Branch</x:v>
      </x:c>
      <x:c r="D20" s="18" t="str">
        <x:v>BR004</x:v>
      </x:c>
      <x:c r="E20" s="18" t="str">
        <x:v>Funded loan amount</x:v>
      </x:c>
      <x:c r="F20" s="23" t="n">
        <x:v>1024500</x:v>
      </x:c>
      <x:c r="G20" s="18" t="str">
        <x:v>USD</x:v>
      </x:c>
      <x:c r="H20" s="20" t="n">
        <x:v>45644.5</x:v>
      </x:c>
      <x:c r="I20" s="18" t="str">
        <x:v>VP002</x:v>
      </x:c>
    </x:row>
    <x:row r="21" ht="15" hidden="0" customHeight="1">
      <x:c r="A21" s="18" t="str">
        <x:v>TGT0020</x:v>
      </x:c>
      <x:c r="B21" s="18" t="str">
        <x:v>CY2025Q1</x:v>
      </x:c>
      <x:c r="C21" s="18" t="str">
        <x:v>Branch</x:v>
      </x:c>
      <x:c r="D21" s="18" t="str">
        <x:v>BR005</x:v>
      </x:c>
      <x:c r="E21" s="18" t="str">
        <x:v>Funded loan amount</x:v>
      </x:c>
      <x:c r="F21" s="23" t="n">
        <x:v>725500</x:v>
      </x:c>
      <x:c r="G21" s="18" t="str">
        <x:v>USD</x:v>
      </x:c>
      <x:c r="H21" s="20" t="n">
        <x:v>45644.5</x:v>
      </x:c>
      <x:c r="I21" s="18" t="str">
        <x:v>VP002</x:v>
      </x:c>
    </x:row>
    <x:row r="22" ht="15" hidden="0" customHeight="1">
      <x:c r="A22" s="18" t="str">
        <x:v>TGT0021</x:v>
      </x:c>
      <x:c r="B22" s="18" t="str">
        <x:v>CY2025Q1</x:v>
      </x:c>
      <x:c r="C22" s="18" t="str">
        <x:v>Branch</x:v>
      </x:c>
      <x:c r="D22" s="18" t="str">
        <x:v>BR006</x:v>
      </x:c>
      <x:c r="E22" s="18" t="str">
        <x:v>Funded loan amount</x:v>
      </x:c>
      <x:c r="F22" s="23" t="n">
        <x:v>774500</x:v>
      </x:c>
      <x:c r="G22" s="18" t="str">
        <x:v>USD</x:v>
      </x:c>
      <x:c r="H22" s="20" t="n">
        <x:v>45644.5</x:v>
      </x:c>
      <x:c r="I22" s="18" t="str">
        <x:v>VP002</x:v>
      </x:c>
    </x:row>
    <x:row r="23" ht="15" hidden="0" customHeight="1">
      <x:c r="A23" s="18" t="str">
        <x:v>TGT0022</x:v>
      </x:c>
      <x:c r="B23" s="18" t="str">
        <x:v>CY2025Q2</x:v>
      </x:c>
      <x:c r="C23" s="18" t="str">
        <x:v>Employee</x:v>
      </x:c>
      <x:c r="D23" s="18" t="str">
        <x:v>EMP001</x:v>
      </x:c>
      <x:c r="E23" s="18" t="str">
        <x:v>Funded loan amount</x:v>
      </x:c>
      <x:c r="F23" s="23" t="n">
        <x:v>262000</x:v>
      </x:c>
      <x:c r="G23" s="18" t="str">
        <x:v>USD</x:v>
      </x:c>
      <x:c r="H23" s="20" t="n">
        <x:v>45734.5</x:v>
      </x:c>
      <x:c r="I23" s="18" t="str">
        <x:v>MGR001</x:v>
      </x:c>
    </x:row>
    <x:row r="24" ht="15" hidden="0" customHeight="1">
      <x:c r="A24" s="18" t="str">
        <x:v>TGT0023</x:v>
      </x:c>
      <x:c r="B24" s="18" t="str">
        <x:v>CY2025Q2</x:v>
      </x:c>
      <x:c r="C24" s="18" t="str">
        <x:v>Employee</x:v>
      </x:c>
      <x:c r="D24" s="18" t="str">
        <x:v>EMP002</x:v>
      </x:c>
      <x:c r="E24" s="18" t="str">
        <x:v>Funded loan amount</x:v>
      </x:c>
      <x:c r="F24" s="23" t="n">
        <x:v>285500</x:v>
      </x:c>
      <x:c r="G24" s="18" t="str">
        <x:v>USD</x:v>
      </x:c>
      <x:c r="H24" s="20" t="n">
        <x:v>45734.5</x:v>
      </x:c>
      <x:c r="I24" s="18" t="str">
        <x:v>MGR001</x:v>
      </x:c>
    </x:row>
    <x:row r="25" ht="15" hidden="0" customHeight="1">
      <x:c r="A25" s="18" t="str">
        <x:v>TGT0024</x:v>
      </x:c>
      <x:c r="B25" s="18" t="str">
        <x:v>CY2025Q2</x:v>
      </x:c>
      <x:c r="C25" s="18" t="str">
        <x:v>Employee</x:v>
      </x:c>
      <x:c r="D25" s="18" t="str">
        <x:v>EMP003</x:v>
      </x:c>
      <x:c r="E25" s="18" t="str">
        <x:v>Funded loan amount</x:v>
      </x:c>
      <x:c r="F25" s="23" t="n">
        <x:v>309000</x:v>
      </x:c>
      <x:c r="G25" s="18" t="str">
        <x:v>USD</x:v>
      </x:c>
      <x:c r="H25" s="20" t="n">
        <x:v>45734.5</x:v>
      </x:c>
      <x:c r="I25" s="18" t="str">
        <x:v>MGR001</x:v>
      </x:c>
    </x:row>
    <x:row r="26" ht="15" hidden="0" customHeight="1">
      <x:c r="A26" s="18" t="str">
        <x:v>TGT0025</x:v>
      </x:c>
      <x:c r="B26" s="18" t="str">
        <x:v>CY2025Q2</x:v>
      </x:c>
      <x:c r="C26" s="18" t="str">
        <x:v>Employee</x:v>
      </x:c>
      <x:c r="D26" s="18" t="str">
        <x:v>EMP004</x:v>
      </x:c>
      <x:c r="E26" s="18" t="str">
        <x:v>Funded loan amount</x:v>
      </x:c>
      <x:c r="F26" s="23" t="n">
        <x:v>287500</x:v>
      </x:c>
      <x:c r="G26" s="18" t="str">
        <x:v>USD</x:v>
      </x:c>
      <x:c r="H26" s="20" t="n">
        <x:v>45734.5</x:v>
      </x:c>
      <x:c r="I26" s="18" t="str">
        <x:v>MGR002</x:v>
      </x:c>
    </x:row>
    <x:row r="27" ht="15" hidden="0" customHeight="1">
      <x:c r="A27" s="18" t="str">
        <x:v>TGT0026</x:v>
      </x:c>
      <x:c r="B27" s="18" t="str">
        <x:v>CY2025Q2</x:v>
      </x:c>
      <x:c r="C27" s="18" t="str">
        <x:v>Employee</x:v>
      </x:c>
      <x:c r="D27" s="18" t="str">
        <x:v>EMP005</x:v>
      </x:c>
      <x:c r="E27" s="18" t="str">
        <x:v>Funded loan amount</x:v>
      </x:c>
      <x:c r="F27" s="23" t="n">
        <x:v>311000</x:v>
      </x:c>
      <x:c r="G27" s="18" t="str">
        <x:v>USD</x:v>
      </x:c>
      <x:c r="H27" s="20" t="n">
        <x:v>45734.5</x:v>
      </x:c>
      <x:c r="I27" s="18" t="str">
        <x:v>MGR002</x:v>
      </x:c>
    </x:row>
    <x:row r="28" ht="15" hidden="0" customHeight="1">
      <x:c r="A28" s="18" t="str">
        <x:v>TGT0027</x:v>
      </x:c>
      <x:c r="B28" s="18" t="str">
        <x:v>CY2025Q2</x:v>
      </x:c>
      <x:c r="C28" s="18" t="str">
        <x:v>Employee</x:v>
      </x:c>
      <x:c r="D28" s="18" t="str">
        <x:v>EMP006</x:v>
      </x:c>
      <x:c r="E28" s="18" t="str">
        <x:v>Funded loan amount</x:v>
      </x:c>
      <x:c r="F28" s="23" t="n">
        <x:v>334500</x:v>
      </x:c>
      <x:c r="G28" s="18" t="str">
        <x:v>USD</x:v>
      </x:c>
      <x:c r="H28" s="20" t="n">
        <x:v>45734.5</x:v>
      </x:c>
      <x:c r="I28" s="18" t="str">
        <x:v>MGR002</x:v>
      </x:c>
    </x:row>
    <x:row r="29" ht="15" hidden="0" customHeight="1">
      <x:c r="A29" s="18" t="str">
        <x:v>TGT0028</x:v>
      </x:c>
      <x:c r="B29" s="18" t="str">
        <x:v>CY2025Q2</x:v>
      </x:c>
      <x:c r="C29" s="18" t="str">
        <x:v>Employee</x:v>
      </x:c>
      <x:c r="D29" s="18" t="str">
        <x:v>EMP007</x:v>
      </x:c>
      <x:c r="E29" s="18" t="str">
        <x:v>Funded loan amount</x:v>
      </x:c>
      <x:c r="F29" s="23" t="n">
        <x:v>313000</x:v>
      </x:c>
      <x:c r="G29" s="18" t="str">
        <x:v>USD</x:v>
      </x:c>
      <x:c r="H29" s="20" t="n">
        <x:v>45734.5</x:v>
      </x:c>
      <x:c r="I29" s="18" t="str">
        <x:v>MGR003</x:v>
      </x:c>
    </x:row>
    <x:row r="30" ht="15" hidden="0" customHeight="1">
      <x:c r="A30" s="18" t="str">
        <x:v>TGT0029</x:v>
      </x:c>
      <x:c r="B30" s="18" t="str">
        <x:v>CY2025Q2</x:v>
      </x:c>
      <x:c r="C30" s="18" t="str">
        <x:v>Employee</x:v>
      </x:c>
      <x:c r="D30" s="18" t="str">
        <x:v>EMP008</x:v>
      </x:c>
      <x:c r="E30" s="18" t="str">
        <x:v>Funded loan amount</x:v>
      </x:c>
      <x:c r="F30" s="23" t="n">
        <x:v>336500</x:v>
      </x:c>
      <x:c r="G30" s="18" t="str">
        <x:v>USD</x:v>
      </x:c>
      <x:c r="H30" s="20" t="n">
        <x:v>45734.5</x:v>
      </x:c>
      <x:c r="I30" s="18" t="str">
        <x:v>MGR003</x:v>
      </x:c>
    </x:row>
    <x:row r="31" ht="15" hidden="0" customHeight="1">
      <x:c r="A31" s="18" t="str">
        <x:v>TGT0030</x:v>
      </x:c>
      <x:c r="B31" s="18" t="str">
        <x:v>CY2025Q2</x:v>
      </x:c>
      <x:c r="C31" s="18" t="str">
        <x:v>Employee</x:v>
      </x:c>
      <x:c r="D31" s="18" t="str">
        <x:v>EMP009</x:v>
      </x:c>
      <x:c r="E31" s="18" t="str">
        <x:v>Funded loan amount</x:v>
      </x:c>
      <x:c r="F31" s="23" t="n">
        <x:v>360000</x:v>
      </x:c>
      <x:c r="G31" s="18" t="str">
        <x:v>USD</x:v>
      </x:c>
      <x:c r="H31" s="20" t="n">
        <x:v>45734.5</x:v>
      </x:c>
      <x:c r="I31" s="18" t="str">
        <x:v>MGR004</x:v>
      </x:c>
    </x:row>
    <x:row r="32" ht="15" hidden="0" customHeight="1">
      <x:c r="A32" s="18" t="str">
        <x:v>TGT0031</x:v>
      </x:c>
      <x:c r="B32" s="18" t="str">
        <x:v>CY2025Q2</x:v>
      </x:c>
      <x:c r="C32" s="18" t="str">
        <x:v>Employee</x:v>
      </x:c>
      <x:c r="D32" s="18" t="str">
        <x:v>EMP010</x:v>
      </x:c>
      <x:c r="E32" s="18" t="str">
        <x:v>Funded loan amount</x:v>
      </x:c>
      <x:c r="F32" s="23" t="n">
        <x:v>338500</x:v>
      </x:c>
      <x:c r="G32" s="18" t="str">
        <x:v>USD</x:v>
      </x:c>
      <x:c r="H32" s="20" t="n">
        <x:v>45734.5</x:v>
      </x:c>
      <x:c r="I32" s="18" t="str">
        <x:v>MGR004</x:v>
      </x:c>
    </x:row>
    <x:row r="33" ht="15" hidden="0" customHeight="1">
      <x:c r="A33" s="18" t="str">
        <x:v>TGT0032</x:v>
      </x:c>
      <x:c r="B33" s="18" t="str">
        <x:v>CY2025Q2</x:v>
      </x:c>
      <x:c r="C33" s="18" t="str">
        <x:v>Employee</x:v>
      </x:c>
      <x:c r="D33" s="18" t="str">
        <x:v>EMP011</x:v>
      </x:c>
      <x:c r="E33" s="18" t="str">
        <x:v>Funded loan amount</x:v>
      </x:c>
      <x:c r="F33" s="23" t="n">
        <x:v>362000</x:v>
      </x:c>
      <x:c r="G33" s="18" t="str">
        <x:v>USD</x:v>
      </x:c>
      <x:c r="H33" s="20" t="n">
        <x:v>45734.5</x:v>
      </x:c>
      <x:c r="I33" s="18" t="str">
        <x:v>MGR004</x:v>
      </x:c>
    </x:row>
    <x:row r="34" ht="15" hidden="0" customHeight="1">
      <x:c r="A34" s="18" t="str">
        <x:v>TGT0033</x:v>
      </x:c>
      <x:c r="B34" s="18" t="str">
        <x:v>CY2025Q2</x:v>
      </x:c>
      <x:c r="C34" s="18" t="str">
        <x:v>Employee</x:v>
      </x:c>
      <x:c r="D34" s="18" t="str">
        <x:v>EMP012</x:v>
      </x:c>
      <x:c r="E34" s="18" t="str">
        <x:v>Funded loan amount</x:v>
      </x:c>
      <x:c r="F34" s="23" t="n">
        <x:v>385500</x:v>
      </x:c>
      <x:c r="G34" s="18" t="str">
        <x:v>USD</x:v>
      </x:c>
      <x:c r="H34" s="20" t="n">
        <x:v>45734.5</x:v>
      </x:c>
      <x:c r="I34" s="18" t="str">
        <x:v>MGR005</x:v>
      </x:c>
    </x:row>
    <x:row r="35" ht="15" hidden="0" customHeight="1">
      <x:c r="A35" s="18" t="str">
        <x:v>TGT0034</x:v>
      </x:c>
      <x:c r="B35" s="18" t="str">
        <x:v>CY2025Q2</x:v>
      </x:c>
      <x:c r="C35" s="18" t="str">
        <x:v>Employee</x:v>
      </x:c>
      <x:c r="D35" s="18" t="str">
        <x:v>EMP013</x:v>
      </x:c>
      <x:c r="E35" s="18" t="str">
        <x:v>Funded loan amount</x:v>
      </x:c>
      <x:c r="F35" s="23" t="n">
        <x:v>364000</x:v>
      </x:c>
      <x:c r="G35" s="18" t="str">
        <x:v>USD</x:v>
      </x:c>
      <x:c r="H35" s="20" t="n">
        <x:v>45734.5</x:v>
      </x:c>
      <x:c r="I35" s="18" t="str">
        <x:v>MGR005</x:v>
      </x:c>
    </x:row>
    <x:row r="36" ht="15" hidden="0" customHeight="1">
      <x:c r="A36" s="18" t="str">
        <x:v>TGT0035</x:v>
      </x:c>
      <x:c r="B36" s="18" t="str">
        <x:v>CY2025Q2</x:v>
      </x:c>
      <x:c r="C36" s="18" t="str">
        <x:v>Employee</x:v>
      </x:c>
      <x:c r="D36" s="18" t="str">
        <x:v>EMP014</x:v>
      </x:c>
      <x:c r="E36" s="18" t="str">
        <x:v>Funded loan amount</x:v>
      </x:c>
      <x:c r="F36" s="23" t="n">
        <x:v>387500</x:v>
      </x:c>
      <x:c r="G36" s="18" t="str">
        <x:v>USD</x:v>
      </x:c>
      <x:c r="H36" s="20" t="n">
        <x:v>45734.5</x:v>
      </x:c>
      <x:c r="I36" s="18" t="str">
        <x:v>MGR006</x:v>
      </x:c>
    </x:row>
    <x:row r="37" ht="15" hidden="0" customHeight="1">
      <x:c r="A37" s="18" t="str">
        <x:v>TGT0036</x:v>
      </x:c>
      <x:c r="B37" s="18" t="str">
        <x:v>CY2025Q2</x:v>
      </x:c>
      <x:c r="C37" s="18" t="str">
        <x:v>Employee</x:v>
      </x:c>
      <x:c r="D37" s="18" t="str">
        <x:v>EMP015</x:v>
      </x:c>
      <x:c r="E37" s="18" t="str">
        <x:v>Funded loan amount</x:v>
      </x:c>
      <x:c r="F37" s="23" t="n">
        <x:v>411000</x:v>
      </x:c>
      <x:c r="G37" s="18" t="str">
        <x:v>USD</x:v>
      </x:c>
      <x:c r="H37" s="20" t="n">
        <x:v>45734.5</x:v>
      </x:c>
      <x:c r="I37" s="18" t="str">
        <x:v>MGR006</x:v>
      </x:c>
    </x:row>
    <x:row r="38" ht="15" hidden="0" customHeight="1">
      <x:c r="A38" s="18" t="str">
        <x:v>TGT0037</x:v>
      </x:c>
      <x:c r="B38" s="18" t="str">
        <x:v>CY2025Q2</x:v>
      </x:c>
      <x:c r="C38" s="18" t="str">
        <x:v>Branch</x:v>
      </x:c>
      <x:c r="D38" s="18" t="str">
        <x:v>BR001</x:v>
      </x:c>
      <x:c r="E38" s="18" t="str">
        <x:v>Funded loan amount</x:v>
      </x:c>
      <x:c r="F38" s="23" t="n">
        <x:v>856500</x:v>
      </x:c>
      <x:c r="G38" s="18" t="str">
        <x:v>USD</x:v>
      </x:c>
      <x:c r="H38" s="20" t="n">
        <x:v>45734.5</x:v>
      </x:c>
      <x:c r="I38" s="18" t="str">
        <x:v>VP001</x:v>
      </x:c>
    </x:row>
    <x:row r="39" ht="15" hidden="0" customHeight="1">
      <x:c r="A39" s="18" t="str">
        <x:v>TGT0038</x:v>
      </x:c>
      <x:c r="B39" s="18" t="str">
        <x:v>CY2025Q2</x:v>
      </x:c>
      <x:c r="C39" s="18" t="str">
        <x:v>Branch</x:v>
      </x:c>
      <x:c r="D39" s="18" t="str">
        <x:v>BR002</x:v>
      </x:c>
      <x:c r="E39" s="18" t="str">
        <x:v>Funded loan amount</x:v>
      </x:c>
      <x:c r="F39" s="23" t="n">
        <x:v>933000</x:v>
      </x:c>
      <x:c r="G39" s="18" t="str">
        <x:v>USD</x:v>
      </x:c>
      <x:c r="H39" s="20" t="n">
        <x:v>45734.5</x:v>
      </x:c>
      <x:c r="I39" s="18" t="str">
        <x:v>VP001</x:v>
      </x:c>
    </x:row>
    <x:row r="40" ht="15" hidden="0" customHeight="1">
      <x:c r="A40" s="18" t="str">
        <x:v>TGT0039</x:v>
      </x:c>
      <x:c r="B40" s="18" t="str">
        <x:v>CY2025Q2</x:v>
      </x:c>
      <x:c r="C40" s="18" t="str">
        <x:v>Branch</x:v>
      </x:c>
      <x:c r="D40" s="18" t="str">
        <x:v>BR003</x:v>
      </x:c>
      <x:c r="E40" s="18" t="str">
        <x:v>Funded loan amount</x:v>
      </x:c>
      <x:c r="F40" s="23" t="n">
        <x:v>649500</x:v>
      </x:c>
      <x:c r="G40" s="18" t="str">
        <x:v>USD</x:v>
      </x:c>
      <x:c r="H40" s="20" t="n">
        <x:v>45734.5</x:v>
      </x:c>
      <x:c r="I40" s="18" t="str">
        <x:v>VP001</x:v>
      </x:c>
    </x:row>
    <x:row r="41" ht="15" hidden="0" customHeight="1">
      <x:c r="A41" s="18" t="str">
        <x:v>TGT0040</x:v>
      </x:c>
      <x:c r="B41" s="18" t="str">
        <x:v>CY2025Q2</x:v>
      </x:c>
      <x:c r="C41" s="18" t="str">
        <x:v>Branch</x:v>
      </x:c>
      <x:c r="D41" s="18" t="str">
        <x:v>BR004</x:v>
      </x:c>
      <x:c r="E41" s="18" t="str">
        <x:v>Funded loan amount</x:v>
      </x:c>
      <x:c r="F41" s="23" t="n">
        <x:v>1060500</x:v>
      </x:c>
      <x:c r="G41" s="18" t="str">
        <x:v>USD</x:v>
      </x:c>
      <x:c r="H41" s="20" t="n">
        <x:v>45734.5</x:v>
      </x:c>
      <x:c r="I41" s="18" t="str">
        <x:v>VP002</x:v>
      </x:c>
    </x:row>
    <x:row r="42" ht="15" hidden="0" customHeight="1">
      <x:c r="A42" s="18" t="str">
        <x:v>TGT0041</x:v>
      </x:c>
      <x:c r="B42" s="18" t="str">
        <x:v>CY2025Q2</x:v>
      </x:c>
      <x:c r="C42" s="18" t="str">
        <x:v>Branch</x:v>
      </x:c>
      <x:c r="D42" s="18" t="str">
        <x:v>BR005</x:v>
      </x:c>
      <x:c r="E42" s="18" t="str">
        <x:v>Funded loan amount</x:v>
      </x:c>
      <x:c r="F42" s="23" t="n">
        <x:v>749500</x:v>
      </x:c>
      <x:c r="G42" s="18" t="str">
        <x:v>USD</x:v>
      </x:c>
      <x:c r="H42" s="20" t="n">
        <x:v>45734.5</x:v>
      </x:c>
      <x:c r="I42" s="18" t="str">
        <x:v>VP002</x:v>
      </x:c>
    </x:row>
    <x:row r="43" ht="15" hidden="0" customHeight="1">
      <x:c r="A43" s="18" t="str">
        <x:v>TGT0042</x:v>
      </x:c>
      <x:c r="B43" s="18" t="str">
        <x:v>CY2025Q2</x:v>
      </x:c>
      <x:c r="C43" s="18" t="str">
        <x:v>Branch</x:v>
      </x:c>
      <x:c r="D43" s="18" t="str">
        <x:v>BR006</x:v>
      </x:c>
      <x:c r="E43" s="18" t="str">
        <x:v>Funded loan amount</x:v>
      </x:c>
      <x:c r="F43" s="23" t="n">
        <x:v>798500</x:v>
      </x:c>
      <x:c r="G43" s="18" t="str">
        <x:v>USD</x:v>
      </x:c>
      <x:c r="H43" s="20" t="n">
        <x:v>45734.5</x:v>
      </x:c>
      <x:c r="I43" s="18" t="str">
        <x:v>VP002</x:v>
      </x:c>
    </x:row>
    <x:row r="44" ht="15" hidden="0" customHeight="1">
      <x:c r="A44" s="18" t="str">
        <x:v>TGT0043</x:v>
      </x:c>
      <x:c r="B44" s="18" t="str">
        <x:v>CY2025Q3</x:v>
      </x:c>
      <x:c r="C44" s="18" t="str">
        <x:v>Employee</x:v>
      </x:c>
      <x:c r="D44" s="18" t="str">
        <x:v>EMP001</x:v>
      </x:c>
      <x:c r="E44" s="18" t="str">
        <x:v>Funded loan amount</x:v>
      </x:c>
      <x:c r="F44" s="23" t="n">
        <x:v>274000</x:v>
      </x:c>
      <x:c r="G44" s="18" t="str">
        <x:v>USD</x:v>
      </x:c>
      <x:c r="H44" s="20" t="n">
        <x:v>45825.5</x:v>
      </x:c>
      <x:c r="I44" s="18" t="str">
        <x:v>MGR001</x:v>
      </x:c>
    </x:row>
    <x:row r="45" ht="15" hidden="0" customHeight="1">
      <x:c r="A45" s="18" t="str">
        <x:v>TGT0044</x:v>
      </x:c>
      <x:c r="B45" s="18" t="str">
        <x:v>CY2025Q3</x:v>
      </x:c>
      <x:c r="C45" s="18" t="str">
        <x:v>Employee</x:v>
      </x:c>
      <x:c r="D45" s="18" t="str">
        <x:v>EMP002</x:v>
      </x:c>
      <x:c r="E45" s="18" t="str">
        <x:v>Funded loan amount</x:v>
      </x:c>
      <x:c r="F45" s="23" t="n">
        <x:v>297500</x:v>
      </x:c>
      <x:c r="G45" s="18" t="str">
        <x:v>USD</x:v>
      </x:c>
      <x:c r="H45" s="20" t="n">
        <x:v>45825.5</x:v>
      </x:c>
      <x:c r="I45" s="18" t="str">
        <x:v>MGR001</x:v>
      </x:c>
    </x:row>
    <x:row r="46" ht="15" hidden="0" customHeight="1">
      <x:c r="A46" s="18" t="str">
        <x:v>TGT0045</x:v>
      </x:c>
      <x:c r="B46" s="18" t="str">
        <x:v>CY2025Q3</x:v>
      </x:c>
      <x:c r="C46" s="18" t="str">
        <x:v>Employee</x:v>
      </x:c>
      <x:c r="D46" s="18" t="str">
        <x:v>EMP003</x:v>
      </x:c>
      <x:c r="E46" s="18" t="str">
        <x:v>Funded loan amount</x:v>
      </x:c>
      <x:c r="F46" s="23" t="n">
        <x:v>321000</x:v>
      </x:c>
      <x:c r="G46" s="18" t="str">
        <x:v>USD</x:v>
      </x:c>
      <x:c r="H46" s="20" t="n">
        <x:v>45825.5</x:v>
      </x:c>
      <x:c r="I46" s="18" t="str">
        <x:v>MGR001</x:v>
      </x:c>
    </x:row>
    <x:row r="47" ht="15" hidden="0" customHeight="1">
      <x:c r="A47" s="18" t="str">
        <x:v>TGT0046</x:v>
      </x:c>
      <x:c r="B47" s="18" t="str">
        <x:v>CY2025Q3</x:v>
      </x:c>
      <x:c r="C47" s="18" t="str">
        <x:v>Employee</x:v>
      </x:c>
      <x:c r="D47" s="18" t="str">
        <x:v>EMP004</x:v>
      </x:c>
      <x:c r="E47" s="18" t="str">
        <x:v>Funded loan amount</x:v>
      </x:c>
      <x:c r="F47" s="23" t="n">
        <x:v>299500</x:v>
      </x:c>
      <x:c r="G47" s="18" t="str">
        <x:v>USD</x:v>
      </x:c>
      <x:c r="H47" s="20" t="n">
        <x:v>45825.5</x:v>
      </x:c>
      <x:c r="I47" s="18" t="str">
        <x:v>MGR002</x:v>
      </x:c>
    </x:row>
    <x:row r="48" ht="15" hidden="0" customHeight="1">
      <x:c r="A48" s="18" t="str">
        <x:v>TGT0047</x:v>
      </x:c>
      <x:c r="B48" s="18" t="str">
        <x:v>CY2025Q3</x:v>
      </x:c>
      <x:c r="C48" s="18" t="str">
        <x:v>Employee</x:v>
      </x:c>
      <x:c r="D48" s="18" t="str">
        <x:v>EMP005</x:v>
      </x:c>
      <x:c r="E48" s="18" t="str">
        <x:v>Funded loan amount</x:v>
      </x:c>
      <x:c r="F48" s="23" t="n">
        <x:v>323000</x:v>
      </x:c>
      <x:c r="G48" s="18" t="str">
        <x:v>USD</x:v>
      </x:c>
      <x:c r="H48" s="20" t="n">
        <x:v>45825.5</x:v>
      </x:c>
      <x:c r="I48" s="18" t="str">
        <x:v>MGR002</x:v>
      </x:c>
    </x:row>
    <x:row r="49" ht="15" hidden="0" customHeight="1">
      <x:c r="A49" s="18" t="str">
        <x:v>TGT0048</x:v>
      </x:c>
      <x:c r="B49" s="18" t="str">
        <x:v>CY2025Q3</x:v>
      </x:c>
      <x:c r="C49" s="18" t="str">
        <x:v>Employee</x:v>
      </x:c>
      <x:c r="D49" s="18" t="str">
        <x:v>EMP006</x:v>
      </x:c>
      <x:c r="E49" s="18" t="str">
        <x:v>Funded loan amount</x:v>
      </x:c>
      <x:c r="F49" s="23" t="n">
        <x:v>346500</x:v>
      </x:c>
      <x:c r="G49" s="18" t="str">
        <x:v>USD</x:v>
      </x:c>
      <x:c r="H49" s="20" t="n">
        <x:v>45825.5</x:v>
      </x:c>
      <x:c r="I49" s="18" t="str">
        <x:v>MGR002</x:v>
      </x:c>
    </x:row>
    <x:row r="50" ht="15" hidden="0" customHeight="1">
      <x:c r="A50" s="18" t="str">
        <x:v>TGT0049</x:v>
      </x:c>
      <x:c r="B50" s="18" t="str">
        <x:v>CY2025Q3</x:v>
      </x:c>
      <x:c r="C50" s="18" t="str">
        <x:v>Employee</x:v>
      </x:c>
      <x:c r="D50" s="18" t="str">
        <x:v>EMP007</x:v>
      </x:c>
      <x:c r="E50" s="18" t="str">
        <x:v>Funded loan amount</x:v>
      </x:c>
      <x:c r="F50" s="23" t="n">
        <x:v>325000</x:v>
      </x:c>
      <x:c r="G50" s="18" t="str">
        <x:v>USD</x:v>
      </x:c>
      <x:c r="H50" s="20" t="n">
        <x:v>45825.5</x:v>
      </x:c>
      <x:c r="I50" s="18" t="str">
        <x:v>MGR003</x:v>
      </x:c>
    </x:row>
    <x:row r="51" ht="15" hidden="0" customHeight="1">
      <x:c r="A51" s="18" t="str">
        <x:v>TGT0050</x:v>
      </x:c>
      <x:c r="B51" s="18" t="str">
        <x:v>CY2025Q3</x:v>
      </x:c>
      <x:c r="C51" s="18" t="str">
        <x:v>Employee</x:v>
      </x:c>
      <x:c r="D51" s="18" t="str">
        <x:v>EMP008</x:v>
      </x:c>
      <x:c r="E51" s="18" t="str">
        <x:v>Funded loan amount</x:v>
      </x:c>
      <x:c r="F51" s="23" t="n">
        <x:v>348500</x:v>
      </x:c>
      <x:c r="G51" s="18" t="str">
        <x:v>USD</x:v>
      </x:c>
      <x:c r="H51" s="20" t="n">
        <x:v>45825.5</x:v>
      </x:c>
      <x:c r="I51" s="18" t="str">
        <x:v>MGR003</x:v>
      </x:c>
    </x:row>
    <x:row r="52" ht="15" hidden="0" customHeight="1">
      <x:c r="A52" s="18" t="str">
        <x:v>TGT0051</x:v>
      </x:c>
      <x:c r="B52" s="18" t="str">
        <x:v>CY2025Q3</x:v>
      </x:c>
      <x:c r="C52" s="18" t="str">
        <x:v>Employee</x:v>
      </x:c>
      <x:c r="D52" s="18" t="str">
        <x:v>EMP009</x:v>
      </x:c>
      <x:c r="E52" s="18" t="str">
        <x:v>Funded loan amount</x:v>
      </x:c>
      <x:c r="F52" s="23" t="n">
        <x:v>372000</x:v>
      </x:c>
      <x:c r="G52" s="18" t="str">
        <x:v>USD</x:v>
      </x:c>
      <x:c r="H52" s="20" t="n">
        <x:v>45825.5</x:v>
      </x:c>
      <x:c r="I52" s="18" t="str">
        <x:v>MGR004</x:v>
      </x:c>
    </x:row>
    <x:row r="53" ht="15" hidden="0" customHeight="1">
      <x:c r="A53" s="18" t="str">
        <x:v>TGT0052</x:v>
      </x:c>
      <x:c r="B53" s="18" t="str">
        <x:v>CY2025Q3</x:v>
      </x:c>
      <x:c r="C53" s="18" t="str">
        <x:v>Employee</x:v>
      </x:c>
      <x:c r="D53" s="18" t="str">
        <x:v>EMP010</x:v>
      </x:c>
      <x:c r="E53" s="18" t="str">
        <x:v>Funded loan amount</x:v>
      </x:c>
      <x:c r="F53" s="23" t="n">
        <x:v>350500</x:v>
      </x:c>
      <x:c r="G53" s="18" t="str">
        <x:v>USD</x:v>
      </x:c>
      <x:c r="H53" s="20" t="n">
        <x:v>45825.5</x:v>
      </x:c>
      <x:c r="I53" s="18" t="str">
        <x:v>MGR004</x:v>
      </x:c>
    </x:row>
    <x:row r="54" ht="15" hidden="0" customHeight="1">
      <x:c r="A54" s="18" t="str">
        <x:v>TGT0053</x:v>
      </x:c>
      <x:c r="B54" s="18" t="str">
        <x:v>CY2025Q3</x:v>
      </x:c>
      <x:c r="C54" s="18" t="str">
        <x:v>Employee</x:v>
      </x:c>
      <x:c r="D54" s="18" t="str">
        <x:v>EMP011</x:v>
      </x:c>
      <x:c r="E54" s="18" t="str">
        <x:v>Funded loan amount</x:v>
      </x:c>
      <x:c r="F54" s="23" t="n">
        <x:v>374000</x:v>
      </x:c>
      <x:c r="G54" s="18" t="str">
        <x:v>USD</x:v>
      </x:c>
      <x:c r="H54" s="20" t="n">
        <x:v>45825.5</x:v>
      </x:c>
      <x:c r="I54" s="18" t="str">
        <x:v>MGR004</x:v>
      </x:c>
    </x:row>
    <x:row r="55" ht="15" hidden="0" customHeight="1">
      <x:c r="A55" s="18" t="str">
        <x:v>TGT0054</x:v>
      </x:c>
      <x:c r="B55" s="18" t="str">
        <x:v>CY2025Q3</x:v>
      </x:c>
      <x:c r="C55" s="18" t="str">
        <x:v>Employee</x:v>
      </x:c>
      <x:c r="D55" s="18" t="str">
        <x:v>EMP012</x:v>
      </x:c>
      <x:c r="E55" s="18" t="str">
        <x:v>Funded loan amount</x:v>
      </x:c>
      <x:c r="F55" s="23" t="n">
        <x:v>397500</x:v>
      </x:c>
      <x:c r="G55" s="18" t="str">
        <x:v>USD</x:v>
      </x:c>
      <x:c r="H55" s="20" t="n">
        <x:v>45825.5</x:v>
      </x:c>
      <x:c r="I55" s="18" t="str">
        <x:v>MGR005</x:v>
      </x:c>
    </x:row>
    <x:row r="56" ht="15" hidden="0" customHeight="1">
      <x:c r="A56" s="18" t="str">
        <x:v>TGT0055</x:v>
      </x:c>
      <x:c r="B56" s="18" t="str">
        <x:v>CY2025Q3</x:v>
      </x:c>
      <x:c r="C56" s="18" t="str">
        <x:v>Employee</x:v>
      </x:c>
      <x:c r="D56" s="18" t="str">
        <x:v>EMP013</x:v>
      </x:c>
      <x:c r="E56" s="18" t="str">
        <x:v>Funded loan amount</x:v>
      </x:c>
      <x:c r="F56" s="23" t="n">
        <x:v>376000</x:v>
      </x:c>
      <x:c r="G56" s="18" t="str">
        <x:v>USD</x:v>
      </x:c>
      <x:c r="H56" s="20" t="n">
        <x:v>45825.5</x:v>
      </x:c>
      <x:c r="I56" s="18" t="str">
        <x:v>MGR005</x:v>
      </x:c>
    </x:row>
    <x:row r="57" ht="15" hidden="0" customHeight="1">
      <x:c r="A57" s="18" t="str">
        <x:v>TGT0056</x:v>
      </x:c>
      <x:c r="B57" s="18" t="str">
        <x:v>CY2025Q3</x:v>
      </x:c>
      <x:c r="C57" s="18" t="str">
        <x:v>Employee</x:v>
      </x:c>
      <x:c r="D57" s="18" t="str">
        <x:v>EMP014</x:v>
      </x:c>
      <x:c r="E57" s="18" t="str">
        <x:v>Funded loan amount</x:v>
      </x:c>
      <x:c r="F57" s="23" t="n">
        <x:v>399500</x:v>
      </x:c>
      <x:c r="G57" s="18" t="str">
        <x:v>USD</x:v>
      </x:c>
      <x:c r="H57" s="20" t="n">
        <x:v>45825.5</x:v>
      </x:c>
      <x:c r="I57" s="18" t="str">
        <x:v>MGR006</x:v>
      </x:c>
    </x:row>
    <x:row r="58" ht="15" hidden="0" customHeight="1">
      <x:c r="A58" s="18" t="str">
        <x:v>TGT0057</x:v>
      </x:c>
      <x:c r="B58" s="18" t="str">
        <x:v>CY2025Q3</x:v>
      </x:c>
      <x:c r="C58" s="18" t="str">
        <x:v>Employee</x:v>
      </x:c>
      <x:c r="D58" s="18" t="str">
        <x:v>EMP015</x:v>
      </x:c>
      <x:c r="E58" s="18" t="str">
        <x:v>Funded loan amount</x:v>
      </x:c>
      <x:c r="F58" s="23" t="n">
        <x:v>423000</x:v>
      </x:c>
      <x:c r="G58" s="18" t="str">
        <x:v>USD</x:v>
      </x:c>
      <x:c r="H58" s="20" t="n">
        <x:v>45825.5</x:v>
      </x:c>
      <x:c r="I58" s="18" t="str">
        <x:v>MGR006</x:v>
      </x:c>
    </x:row>
    <x:row r="59" ht="15" hidden="0" customHeight="1">
      <x:c r="A59" s="18" t="str">
        <x:v>TGT0058</x:v>
      </x:c>
      <x:c r="B59" s="18" t="str">
        <x:v>CY2025Q3</x:v>
      </x:c>
      <x:c r="C59" s="18" t="str">
        <x:v>Branch</x:v>
      </x:c>
      <x:c r="D59" s="18" t="str">
        <x:v>BR001</x:v>
      </x:c>
      <x:c r="E59" s="18" t="str">
        <x:v>Funded loan amount</x:v>
      </x:c>
      <x:c r="F59" s="23" t="n">
        <x:v>892500</x:v>
      </x:c>
      <x:c r="G59" s="18" t="str">
        <x:v>USD</x:v>
      </x:c>
      <x:c r="H59" s="20" t="n">
        <x:v>45825.5</x:v>
      </x:c>
      <x:c r="I59" s="18" t="str">
        <x:v>VP001</x:v>
      </x:c>
    </x:row>
    <x:row r="60" ht="15" hidden="0" customHeight="1">
      <x:c r="A60" s="18" t="str">
        <x:v>TGT0059</x:v>
      </x:c>
      <x:c r="B60" s="18" t="str">
        <x:v>CY2025Q3</x:v>
      </x:c>
      <x:c r="C60" s="18" t="str">
        <x:v>Branch</x:v>
      </x:c>
      <x:c r="D60" s="18" t="str">
        <x:v>BR002</x:v>
      </x:c>
      <x:c r="E60" s="18" t="str">
        <x:v>Funded loan amount</x:v>
      </x:c>
      <x:c r="F60" s="23" t="n">
        <x:v>969000</x:v>
      </x:c>
      <x:c r="G60" s="18" t="str">
        <x:v>USD</x:v>
      </x:c>
      <x:c r="H60" s="20" t="n">
        <x:v>45825.5</x:v>
      </x:c>
      <x:c r="I60" s="18" t="str">
        <x:v>VP001</x:v>
      </x:c>
    </x:row>
    <x:row r="61" ht="15" hidden="0" customHeight="1">
      <x:c r="A61" s="18" t="str">
        <x:v>TGT0060</x:v>
      </x:c>
      <x:c r="B61" s="18" t="str">
        <x:v>CY2025Q3</x:v>
      </x:c>
      <x:c r="C61" s="18" t="str">
        <x:v>Branch</x:v>
      </x:c>
      <x:c r="D61" s="18" t="str">
        <x:v>BR003</x:v>
      </x:c>
      <x:c r="E61" s="18" t="str">
        <x:v>Funded loan amount</x:v>
      </x:c>
      <x:c r="F61" s="23" t="n">
        <x:v>673500</x:v>
      </x:c>
      <x:c r="G61" s="18" t="str">
        <x:v>USD</x:v>
      </x:c>
      <x:c r="H61" s="20" t="n">
        <x:v>45825.5</x:v>
      </x:c>
      <x:c r="I61" s="18" t="str">
        <x:v>VP001</x:v>
      </x:c>
    </x:row>
    <x:row r="62" ht="15" hidden="0" customHeight="1">
      <x:c r="A62" s="18" t="str">
        <x:v>TGT0061</x:v>
      </x:c>
      <x:c r="B62" s="18" t="str">
        <x:v>CY2025Q3</x:v>
      </x:c>
      <x:c r="C62" s="18" t="str">
        <x:v>Branch</x:v>
      </x:c>
      <x:c r="D62" s="18" t="str">
        <x:v>BR004</x:v>
      </x:c>
      <x:c r="E62" s="18" t="str">
        <x:v>Funded loan amount</x:v>
      </x:c>
      <x:c r="F62" s="23" t="n">
        <x:v>1096500</x:v>
      </x:c>
      <x:c r="G62" s="18" t="str">
        <x:v>USD</x:v>
      </x:c>
      <x:c r="H62" s="20" t="n">
        <x:v>45825.5</x:v>
      </x:c>
      <x:c r="I62" s="18" t="str">
        <x:v>VP002</x:v>
      </x:c>
    </x:row>
    <x:row r="63" ht="15" hidden="0" customHeight="1">
      <x:c r="A63" s="18" t="str">
        <x:v>TGT0062</x:v>
      </x:c>
      <x:c r="B63" s="18" t="str">
        <x:v>CY2025Q3</x:v>
      </x:c>
      <x:c r="C63" s="18" t="str">
        <x:v>Branch</x:v>
      </x:c>
      <x:c r="D63" s="18" t="str">
        <x:v>BR005</x:v>
      </x:c>
      <x:c r="E63" s="18" t="str">
        <x:v>Funded loan amount</x:v>
      </x:c>
      <x:c r="F63" s="23" t="n">
        <x:v>773500</x:v>
      </x:c>
      <x:c r="G63" s="18" t="str">
        <x:v>USD</x:v>
      </x:c>
      <x:c r="H63" s="20" t="n">
        <x:v>45825.5</x:v>
      </x:c>
      <x:c r="I63" s="18" t="str">
        <x:v>VP002</x:v>
      </x:c>
    </x:row>
    <x:row r="64" ht="15" hidden="0" customHeight="1">
      <x:c r="A64" s="18" t="str">
        <x:v>TGT0063</x:v>
      </x:c>
      <x:c r="B64" s="18" t="str">
        <x:v>CY2025Q3</x:v>
      </x:c>
      <x:c r="C64" s="18" t="str">
        <x:v>Branch</x:v>
      </x:c>
      <x:c r="D64" s="18" t="str">
        <x:v>BR006</x:v>
      </x:c>
      <x:c r="E64" s="18" t="str">
        <x:v>Funded loan amount</x:v>
      </x:c>
      <x:c r="F64" s="23" t="n">
        <x:v>822500</x:v>
      </x:c>
      <x:c r="G64" s="18" t="str">
        <x:v>USD</x:v>
      </x:c>
      <x:c r="H64" s="20" t="n">
        <x:v>45825.5</x:v>
      </x:c>
      <x:c r="I64" s="18" t="str">
        <x:v>VP002</x:v>
      </x:c>
    </x:row>
    <x:row r="65" ht="15" hidden="0" customHeight="1">
      <x:c r="A65" s="18" t="str">
        <x:v>TGT0064</x:v>
      </x:c>
      <x:c r="B65" s="18" t="str">
        <x:v>CY2025Q4</x:v>
      </x:c>
      <x:c r="C65" s="18" t="str">
        <x:v>Employee</x:v>
      </x:c>
      <x:c r="D65" s="18" t="str">
        <x:v>EMP001</x:v>
      </x:c>
      <x:c r="E65" s="18" t="str">
        <x:v>Funded loan amount</x:v>
      </x:c>
      <x:c r="F65" s="23" t="n">
        <x:v>286000</x:v>
      </x:c>
      <x:c r="G65" s="18" t="str">
        <x:v>USD</x:v>
      </x:c>
      <x:c r="H65" s="20" t="n">
        <x:v>45917.5</x:v>
      </x:c>
      <x:c r="I65" s="18" t="str">
        <x:v>MGR001</x:v>
      </x:c>
    </x:row>
    <x:row r="66" ht="15" hidden="0" customHeight="1">
      <x:c r="A66" s="18" t="str">
        <x:v>TGT0065</x:v>
      </x:c>
      <x:c r="B66" s="18" t="str">
        <x:v>CY2025Q4</x:v>
      </x:c>
      <x:c r="C66" s="18" t="str">
        <x:v>Employee</x:v>
      </x:c>
      <x:c r="D66" s="18" t="str">
        <x:v>EMP002</x:v>
      </x:c>
      <x:c r="E66" s="18" t="str">
        <x:v>Funded loan amount</x:v>
      </x:c>
      <x:c r="F66" s="23" t="n">
        <x:v>309500</x:v>
      </x:c>
      <x:c r="G66" s="18" t="str">
        <x:v>USD</x:v>
      </x:c>
      <x:c r="H66" s="20" t="n">
        <x:v>45917.5</x:v>
      </x:c>
      <x:c r="I66" s="18" t="str">
        <x:v>MGR001</x:v>
      </x:c>
    </x:row>
    <x:row r="67" ht="15" hidden="0" customHeight="1">
      <x:c r="A67" s="18" t="str">
        <x:v>TGT0066</x:v>
      </x:c>
      <x:c r="B67" s="18" t="str">
        <x:v>CY2025Q4</x:v>
      </x:c>
      <x:c r="C67" s="18" t="str">
        <x:v>Employee</x:v>
      </x:c>
      <x:c r="D67" s="18" t="str">
        <x:v>EMP003</x:v>
      </x:c>
      <x:c r="E67" s="18" t="str">
        <x:v>Funded loan amount</x:v>
      </x:c>
      <x:c r="F67" s="23" t="n">
        <x:v>333000</x:v>
      </x:c>
      <x:c r="G67" s="18" t="str">
        <x:v>USD</x:v>
      </x:c>
      <x:c r="H67" s="20" t="n">
        <x:v>45917.5</x:v>
      </x:c>
      <x:c r="I67" s="18" t="str">
        <x:v>MGR001</x:v>
      </x:c>
    </x:row>
    <x:row r="68" ht="15" hidden="0" customHeight="1">
      <x:c r="A68" s="18" t="str">
        <x:v>TGT0067</x:v>
      </x:c>
      <x:c r="B68" s="18" t="str">
        <x:v>CY2025Q4</x:v>
      </x:c>
      <x:c r="C68" s="18" t="str">
        <x:v>Employee</x:v>
      </x:c>
      <x:c r="D68" s="18" t="str">
        <x:v>EMP004</x:v>
      </x:c>
      <x:c r="E68" s="18" t="str">
        <x:v>Funded loan amount</x:v>
      </x:c>
      <x:c r="F68" s="23" t="n">
        <x:v>311500</x:v>
      </x:c>
      <x:c r="G68" s="18" t="str">
        <x:v>USD</x:v>
      </x:c>
      <x:c r="H68" s="20" t="n">
        <x:v>45917.5</x:v>
      </x:c>
      <x:c r="I68" s="18" t="str">
        <x:v>MGR002</x:v>
      </x:c>
    </x:row>
    <x:row r="69" ht="15" hidden="0" customHeight="1">
      <x:c r="A69" s="18" t="str">
        <x:v>TGT0068</x:v>
      </x:c>
      <x:c r="B69" s="18" t="str">
        <x:v>CY2025Q4</x:v>
      </x:c>
      <x:c r="C69" s="18" t="str">
        <x:v>Employee</x:v>
      </x:c>
      <x:c r="D69" s="18" t="str">
        <x:v>EMP005</x:v>
      </x:c>
      <x:c r="E69" s="18" t="str">
        <x:v>Funded loan amount</x:v>
      </x:c>
      <x:c r="F69" s="23" t="n">
        <x:v>335000</x:v>
      </x:c>
      <x:c r="G69" s="18" t="str">
        <x:v>USD</x:v>
      </x:c>
      <x:c r="H69" s="20" t="n">
        <x:v>45917.5</x:v>
      </x:c>
      <x:c r="I69" s="18" t="str">
        <x:v>MGR002</x:v>
      </x:c>
    </x:row>
    <x:row r="70" ht="15" hidden="0" customHeight="1">
      <x:c r="A70" s="18" t="str">
        <x:v>TGT0069</x:v>
      </x:c>
      <x:c r="B70" s="18" t="str">
        <x:v>CY2025Q4</x:v>
      </x:c>
      <x:c r="C70" s="18" t="str">
        <x:v>Employee</x:v>
      </x:c>
      <x:c r="D70" s="18" t="str">
        <x:v>EMP006</x:v>
      </x:c>
      <x:c r="E70" s="18" t="str">
        <x:v>Funded loan amount</x:v>
      </x:c>
      <x:c r="F70" s="23" t="n">
        <x:v>358500</x:v>
      </x:c>
      <x:c r="G70" s="18" t="str">
        <x:v>USD</x:v>
      </x:c>
      <x:c r="H70" s="20" t="n">
        <x:v>45917.5</x:v>
      </x:c>
      <x:c r="I70" s="18" t="str">
        <x:v>MGR002</x:v>
      </x:c>
    </x:row>
    <x:row r="71" ht="15" hidden="0" customHeight="1">
      <x:c r="A71" s="18" t="str">
        <x:v>TGT0070</x:v>
      </x:c>
      <x:c r="B71" s="18" t="str">
        <x:v>CY2025Q4</x:v>
      </x:c>
      <x:c r="C71" s="18" t="str">
        <x:v>Employee</x:v>
      </x:c>
      <x:c r="D71" s="18" t="str">
        <x:v>EMP007</x:v>
      </x:c>
      <x:c r="E71" s="18" t="str">
        <x:v>Funded loan amount</x:v>
      </x:c>
      <x:c r="F71" s="23" t="n">
        <x:v>337000</x:v>
      </x:c>
      <x:c r="G71" s="18" t="str">
        <x:v>USD</x:v>
      </x:c>
      <x:c r="H71" s="20" t="n">
        <x:v>45917.5</x:v>
      </x:c>
      <x:c r="I71" s="18" t="str">
        <x:v>MGR003</x:v>
      </x:c>
    </x:row>
    <x:row r="72" ht="15" hidden="0" customHeight="1">
      <x:c r="A72" s="18" t="str">
        <x:v>TGT0071</x:v>
      </x:c>
      <x:c r="B72" s="18" t="str">
        <x:v>CY2025Q4</x:v>
      </x:c>
      <x:c r="C72" s="18" t="str">
        <x:v>Employee</x:v>
      </x:c>
      <x:c r="D72" s="18" t="str">
        <x:v>EMP008</x:v>
      </x:c>
      <x:c r="E72" s="18" t="str">
        <x:v>Funded loan amount</x:v>
      </x:c>
      <x:c r="F72" s="23" t="n">
        <x:v>360500</x:v>
      </x:c>
      <x:c r="G72" s="18" t="str">
        <x:v>USD</x:v>
      </x:c>
      <x:c r="H72" s="20" t="n">
        <x:v>45917.5</x:v>
      </x:c>
      <x:c r="I72" s="18" t="str">
        <x:v>MGR003</x:v>
      </x:c>
    </x:row>
    <x:row r="73" ht="15" hidden="0" customHeight="1">
      <x:c r="A73" s="18" t="str">
        <x:v>TGT0072</x:v>
      </x:c>
      <x:c r="B73" s="18" t="str">
        <x:v>CY2025Q4</x:v>
      </x:c>
      <x:c r="C73" s="18" t="str">
        <x:v>Employee</x:v>
      </x:c>
      <x:c r="D73" s="18" t="str">
        <x:v>EMP009</x:v>
      </x:c>
      <x:c r="E73" s="18" t="str">
        <x:v>Funded loan amount</x:v>
      </x:c>
      <x:c r="F73" s="23" t="n">
        <x:v>384000</x:v>
      </x:c>
      <x:c r="G73" s="18" t="str">
        <x:v>USD</x:v>
      </x:c>
      <x:c r="H73" s="20" t="n">
        <x:v>45917.5</x:v>
      </x:c>
      <x:c r="I73" s="18" t="str">
        <x:v>MGR004</x:v>
      </x:c>
    </x:row>
    <x:row r="74" ht="15" hidden="0" customHeight="1">
      <x:c r="A74" s="18" t="str">
        <x:v>TGT0073</x:v>
      </x:c>
      <x:c r="B74" s="18" t="str">
        <x:v>CY2025Q4</x:v>
      </x:c>
      <x:c r="C74" s="18" t="str">
        <x:v>Employee</x:v>
      </x:c>
      <x:c r="D74" s="18" t="str">
        <x:v>EMP010</x:v>
      </x:c>
      <x:c r="E74" s="18" t="str">
        <x:v>Funded loan amount</x:v>
      </x:c>
      <x:c r="F74" s="23" t="n">
        <x:v>362500</x:v>
      </x:c>
      <x:c r="G74" s="18" t="str">
        <x:v>USD</x:v>
      </x:c>
      <x:c r="H74" s="20" t="n">
        <x:v>45917.5</x:v>
      </x:c>
      <x:c r="I74" s="18" t="str">
        <x:v>MGR004</x:v>
      </x:c>
    </x:row>
    <x:row r="75" ht="15" hidden="0" customHeight="1">
      <x:c r="A75" s="18" t="str">
        <x:v>TGT0074</x:v>
      </x:c>
      <x:c r="B75" s="18" t="str">
        <x:v>CY2025Q4</x:v>
      </x:c>
      <x:c r="C75" s="18" t="str">
        <x:v>Employee</x:v>
      </x:c>
      <x:c r="D75" s="18" t="str">
        <x:v>EMP011</x:v>
      </x:c>
      <x:c r="E75" s="18" t="str">
        <x:v>Funded loan amount</x:v>
      </x:c>
      <x:c r="F75" s="23" t="n">
        <x:v>386000</x:v>
      </x:c>
      <x:c r="G75" s="18" t="str">
        <x:v>USD</x:v>
      </x:c>
      <x:c r="H75" s="20" t="n">
        <x:v>45917.5</x:v>
      </x:c>
      <x:c r="I75" s="18" t="str">
        <x:v>MGR004</x:v>
      </x:c>
    </x:row>
    <x:row r="76" ht="15" hidden="0" customHeight="1">
      <x:c r="A76" s="18" t="str">
        <x:v>TGT0075</x:v>
      </x:c>
      <x:c r="B76" s="18" t="str">
        <x:v>CY2025Q4</x:v>
      </x:c>
      <x:c r="C76" s="18" t="str">
        <x:v>Employee</x:v>
      </x:c>
      <x:c r="D76" s="18" t="str">
        <x:v>EMP012</x:v>
      </x:c>
      <x:c r="E76" s="18" t="str">
        <x:v>Funded loan amount</x:v>
      </x:c>
      <x:c r="F76" s="23" t="n">
        <x:v>409500</x:v>
      </x:c>
      <x:c r="G76" s="18" t="str">
        <x:v>USD</x:v>
      </x:c>
      <x:c r="H76" s="20" t="n">
        <x:v>45917.5</x:v>
      </x:c>
      <x:c r="I76" s="18" t="str">
        <x:v>MGR005</x:v>
      </x:c>
    </x:row>
    <x:row r="77" ht="15" hidden="0" customHeight="1">
      <x:c r="A77" s="18" t="str">
        <x:v>TGT0076</x:v>
      </x:c>
      <x:c r="B77" s="18" t="str">
        <x:v>CY2025Q4</x:v>
      </x:c>
      <x:c r="C77" s="18" t="str">
        <x:v>Employee</x:v>
      </x:c>
      <x:c r="D77" s="18" t="str">
        <x:v>EMP013</x:v>
      </x:c>
      <x:c r="E77" s="18" t="str">
        <x:v>Funded loan amount</x:v>
      </x:c>
      <x:c r="F77" s="23" t="n">
        <x:v>388000</x:v>
      </x:c>
      <x:c r="G77" s="18" t="str">
        <x:v>USD</x:v>
      </x:c>
      <x:c r="H77" s="20" t="n">
        <x:v>45917.5</x:v>
      </x:c>
      <x:c r="I77" s="18" t="str">
        <x:v>MGR005</x:v>
      </x:c>
    </x:row>
    <x:row r="78" ht="15" hidden="0" customHeight="1">
      <x:c r="A78" s="18" t="str">
        <x:v>TGT0077</x:v>
      </x:c>
      <x:c r="B78" s="18" t="str">
        <x:v>CY2025Q4</x:v>
      </x:c>
      <x:c r="C78" s="18" t="str">
        <x:v>Employee</x:v>
      </x:c>
      <x:c r="D78" s="18" t="str">
        <x:v>EMP014</x:v>
      </x:c>
      <x:c r="E78" s="18" t="str">
        <x:v>Funded loan amount</x:v>
      </x:c>
      <x:c r="F78" s="23" t="n">
        <x:v>411500</x:v>
      </x:c>
      <x:c r="G78" s="18" t="str">
        <x:v>USD</x:v>
      </x:c>
      <x:c r="H78" s="20" t="n">
        <x:v>45917.5</x:v>
      </x:c>
      <x:c r="I78" s="18" t="str">
        <x:v>MGR006</x:v>
      </x:c>
    </x:row>
    <x:row r="79" ht="15" hidden="0" customHeight="1">
      <x:c r="A79" s="18" t="str">
        <x:v>TGT0078</x:v>
      </x:c>
      <x:c r="B79" s="18" t="str">
        <x:v>CY2025Q4</x:v>
      </x:c>
      <x:c r="C79" s="18" t="str">
        <x:v>Employee</x:v>
      </x:c>
      <x:c r="D79" s="18" t="str">
        <x:v>EMP015</x:v>
      </x:c>
      <x:c r="E79" s="18" t="str">
        <x:v>Funded loan amount</x:v>
      </x:c>
      <x:c r="F79" s="23" t="n">
        <x:v>435000</x:v>
      </x:c>
      <x:c r="G79" s="18" t="str">
        <x:v>USD</x:v>
      </x:c>
      <x:c r="H79" s="20" t="n">
        <x:v>45917.5</x:v>
      </x:c>
      <x:c r="I79" s="18" t="str">
        <x:v>MGR006</x:v>
      </x:c>
    </x:row>
    <x:row r="80" ht="15" hidden="0" customHeight="1">
      <x:c r="A80" s="18" t="str">
        <x:v>TGT0079</x:v>
      </x:c>
      <x:c r="B80" s="18" t="str">
        <x:v>CY2025Q4</x:v>
      </x:c>
      <x:c r="C80" s="18" t="str">
        <x:v>Branch</x:v>
      </x:c>
      <x:c r="D80" s="18" t="str">
        <x:v>BR001</x:v>
      </x:c>
      <x:c r="E80" s="18" t="str">
        <x:v>Funded loan amount</x:v>
      </x:c>
      <x:c r="F80" s="23" t="n">
        <x:v>928500</x:v>
      </x:c>
      <x:c r="G80" s="18" t="str">
        <x:v>USD</x:v>
      </x:c>
      <x:c r="H80" s="20" t="n">
        <x:v>45917.5</x:v>
      </x:c>
      <x:c r="I80" s="18" t="str">
        <x:v>VP001</x:v>
      </x:c>
    </x:row>
    <x:row r="81" ht="15" hidden="0" customHeight="1">
      <x:c r="A81" s="18" t="str">
        <x:v>TGT0080</x:v>
      </x:c>
      <x:c r="B81" s="18" t="str">
        <x:v>CY2025Q4</x:v>
      </x:c>
      <x:c r="C81" s="18" t="str">
        <x:v>Branch</x:v>
      </x:c>
      <x:c r="D81" s="18" t="str">
        <x:v>BR002</x:v>
      </x:c>
      <x:c r="E81" s="18" t="str">
        <x:v>Funded loan amount</x:v>
      </x:c>
      <x:c r="F81" s="23" t="n">
        <x:v>1005000</x:v>
      </x:c>
      <x:c r="G81" s="18" t="str">
        <x:v>USD</x:v>
      </x:c>
      <x:c r="H81" s="20" t="n">
        <x:v>45917.5</x:v>
      </x:c>
      <x:c r="I81" s="18" t="str">
        <x:v>VP001</x:v>
      </x:c>
    </x:row>
    <x:row r="82" ht="15" hidden="0" customHeight="1">
      <x:c r="A82" s="18" t="str">
        <x:v>TGT0081</x:v>
      </x:c>
      <x:c r="B82" s="18" t="str">
        <x:v>CY2025Q4</x:v>
      </x:c>
      <x:c r="C82" s="18" t="str">
        <x:v>Branch</x:v>
      </x:c>
      <x:c r="D82" s="18" t="str">
        <x:v>BR003</x:v>
      </x:c>
      <x:c r="E82" s="18" t="str">
        <x:v>Funded loan amount</x:v>
      </x:c>
      <x:c r="F82" s="23" t="n">
        <x:v>697500</x:v>
      </x:c>
      <x:c r="G82" s="18" t="str">
        <x:v>USD</x:v>
      </x:c>
      <x:c r="H82" s="20" t="n">
        <x:v>45917.5</x:v>
      </x:c>
      <x:c r="I82" s="18" t="str">
        <x:v>VP001</x:v>
      </x:c>
    </x:row>
    <x:row r="83" ht="15" hidden="0" customHeight="1">
      <x:c r="A83" s="18" t="str">
        <x:v>TGT0082</x:v>
      </x:c>
      <x:c r="B83" s="18" t="str">
        <x:v>CY2025Q4</x:v>
      </x:c>
      <x:c r="C83" s="18" t="str">
        <x:v>Branch</x:v>
      </x:c>
      <x:c r="D83" s="18" t="str">
        <x:v>BR004</x:v>
      </x:c>
      <x:c r="E83" s="18" t="str">
        <x:v>Funded loan amount</x:v>
      </x:c>
      <x:c r="F83" s="23" t="n">
        <x:v>1132500</x:v>
      </x:c>
      <x:c r="G83" s="18" t="str">
        <x:v>USD</x:v>
      </x:c>
      <x:c r="H83" s="20" t="n">
        <x:v>45917.5</x:v>
      </x:c>
      <x:c r="I83" s="18" t="str">
        <x:v>VP002</x:v>
      </x:c>
    </x:row>
    <x:row r="84" ht="15" hidden="0" customHeight="1">
      <x:c r="A84" s="18" t="str">
        <x:v>TGT0083</x:v>
      </x:c>
      <x:c r="B84" s="18" t="str">
        <x:v>CY2025Q4</x:v>
      </x:c>
      <x:c r="C84" s="18" t="str">
        <x:v>Branch</x:v>
      </x:c>
      <x:c r="D84" s="18" t="str">
        <x:v>BR005</x:v>
      </x:c>
      <x:c r="E84" s="18" t="str">
        <x:v>Funded loan amount</x:v>
      </x:c>
      <x:c r="F84" s="23" t="n">
        <x:v>797500</x:v>
      </x:c>
      <x:c r="G84" s="18" t="str">
        <x:v>USD</x:v>
      </x:c>
      <x:c r="H84" s="20" t="n">
        <x:v>45917.5</x:v>
      </x:c>
      <x:c r="I84" s="18" t="str">
        <x:v>VP002</x:v>
      </x:c>
    </x:row>
    <x:row r="85" ht="15" hidden="0" customHeight="1">
      <x:c r="A85" s="18" t="str">
        <x:v>TGT0084</x:v>
      </x:c>
      <x:c r="B85" s="18" t="str">
        <x:v>CY2025Q4</x:v>
      </x:c>
      <x:c r="C85" s="18" t="str">
        <x:v>Branch</x:v>
      </x:c>
      <x:c r="D85" s="18" t="str">
        <x:v>BR006</x:v>
      </x:c>
      <x:c r="E85" s="18" t="str">
        <x:v>Funded loan amount</x:v>
      </x:c>
      <x:c r="F85" s="23" t="n">
        <x:v>846500</x:v>
      </x:c>
      <x:c r="G85" s="18" t="str">
        <x:v>USD</x:v>
      </x:c>
      <x:c r="H85" s="20" t="n">
        <x:v>45917.5</x:v>
      </x:c>
      <x:c r="I85" s="18" t="str">
        <x:v>VP002</x:v>
      </x:c>
    </x:row>
    <x:row r="86" ht="15" hidden="0" customHeight="1">
      <x:c r="A86" s="18" t="str">
        <x:v>TGT0085</x:v>
      </x:c>
      <x:c r="B86" s="18" t="str">
        <x:v>CY2026Q1</x:v>
      </x:c>
      <x:c r="C86" s="18" t="str">
        <x:v>Employee</x:v>
      </x:c>
      <x:c r="D86" s="18" t="str">
        <x:v>EMP001</x:v>
      </x:c>
      <x:c r="E86" s="18" t="str">
        <x:v>Funded loan amount</x:v>
      </x:c>
      <x:c r="F86" s="23" t="n">
        <x:v>298000</x:v>
      </x:c>
      <x:c r="G86" s="18" t="str">
        <x:v>USD</x:v>
      </x:c>
      <x:c r="H86" s="20" t="n">
        <x:v>46009.5</x:v>
      </x:c>
      <x:c r="I86" s="18" t="str">
        <x:v>MGR001</x:v>
      </x:c>
    </x:row>
    <x:row r="87" ht="15" hidden="0" customHeight="1">
      <x:c r="A87" s="18" t="str">
        <x:v>TGT0086</x:v>
      </x:c>
      <x:c r="B87" s="18" t="str">
        <x:v>CY2026Q1</x:v>
      </x:c>
      <x:c r="C87" s="18" t="str">
        <x:v>Employee</x:v>
      </x:c>
      <x:c r="D87" s="18" t="str">
        <x:v>EMP002</x:v>
      </x:c>
      <x:c r="E87" s="18" t="str">
        <x:v>Funded loan amount</x:v>
      </x:c>
      <x:c r="F87" s="23" t="n">
        <x:v>321500</x:v>
      </x:c>
      <x:c r="G87" s="18" t="str">
        <x:v>USD</x:v>
      </x:c>
      <x:c r="H87" s="20" t="n">
        <x:v>46009.5</x:v>
      </x:c>
      <x:c r="I87" s="18" t="str">
        <x:v>MGR001</x:v>
      </x:c>
    </x:row>
    <x:row r="88" ht="15" hidden="0" customHeight="1">
      <x:c r="A88" s="18" t="str">
        <x:v>TGT0087</x:v>
      </x:c>
      <x:c r="B88" s="18" t="str">
        <x:v>CY2026Q1</x:v>
      </x:c>
      <x:c r="C88" s="18" t="str">
        <x:v>Employee</x:v>
      </x:c>
      <x:c r="D88" s="18" t="str">
        <x:v>EMP003</x:v>
      </x:c>
      <x:c r="E88" s="18" t="str">
        <x:v>Funded loan amount</x:v>
      </x:c>
      <x:c r="F88" s="23" t="n">
        <x:v>345000</x:v>
      </x:c>
      <x:c r="G88" s="18" t="str">
        <x:v>USD</x:v>
      </x:c>
      <x:c r="H88" s="20" t="n">
        <x:v>46009.5</x:v>
      </x:c>
      <x:c r="I88" s="18" t="str">
        <x:v>MGR001</x:v>
      </x:c>
    </x:row>
    <x:row r="89" ht="15" hidden="0" customHeight="1">
      <x:c r="A89" s="18" t="str">
        <x:v>TGT0088</x:v>
      </x:c>
      <x:c r="B89" s="18" t="str">
        <x:v>CY2026Q1</x:v>
      </x:c>
      <x:c r="C89" s="18" t="str">
        <x:v>Employee</x:v>
      </x:c>
      <x:c r="D89" s="18" t="str">
        <x:v>EMP004</x:v>
      </x:c>
      <x:c r="E89" s="18" t="str">
        <x:v>Funded loan amount</x:v>
      </x:c>
      <x:c r="F89" s="23" t="n">
        <x:v>323500</x:v>
      </x:c>
      <x:c r="G89" s="18" t="str">
        <x:v>USD</x:v>
      </x:c>
      <x:c r="H89" s="20" t="n">
        <x:v>46009.5</x:v>
      </x:c>
      <x:c r="I89" s="18" t="str">
        <x:v>MGR002</x:v>
      </x:c>
    </x:row>
    <x:row r="90" ht="15" hidden="0" customHeight="1">
      <x:c r="A90" s="18" t="str">
        <x:v>TGT0089</x:v>
      </x:c>
      <x:c r="B90" s="18" t="str">
        <x:v>CY2026Q1</x:v>
      </x:c>
      <x:c r="C90" s="18" t="str">
        <x:v>Employee</x:v>
      </x:c>
      <x:c r="D90" s="18" t="str">
        <x:v>EMP005</x:v>
      </x:c>
      <x:c r="E90" s="18" t="str">
        <x:v>Funded loan amount</x:v>
      </x:c>
      <x:c r="F90" s="23" t="n">
        <x:v>347000</x:v>
      </x:c>
      <x:c r="G90" s="18" t="str">
        <x:v>USD</x:v>
      </x:c>
      <x:c r="H90" s="20" t="n">
        <x:v>46009.5</x:v>
      </x:c>
      <x:c r="I90" s="18" t="str">
        <x:v>MGR002</x:v>
      </x:c>
    </x:row>
    <x:row r="91" ht="15" hidden="0" customHeight="1">
      <x:c r="A91" s="18" t="str">
        <x:v>TGT0090</x:v>
      </x:c>
      <x:c r="B91" s="18" t="str">
        <x:v>CY2026Q1</x:v>
      </x:c>
      <x:c r="C91" s="18" t="str">
        <x:v>Employee</x:v>
      </x:c>
      <x:c r="D91" s="18" t="str">
        <x:v>EMP006</x:v>
      </x:c>
      <x:c r="E91" s="18" t="str">
        <x:v>Funded loan amount</x:v>
      </x:c>
      <x:c r="F91" s="23" t="n">
        <x:v>370500</x:v>
      </x:c>
      <x:c r="G91" s="18" t="str">
        <x:v>USD</x:v>
      </x:c>
      <x:c r="H91" s="20" t="n">
        <x:v>46009.5</x:v>
      </x:c>
      <x:c r="I91" s="18" t="str">
        <x:v>MGR002</x:v>
      </x:c>
    </x:row>
    <x:row r="92" ht="15" hidden="0" customHeight="1">
      <x:c r="A92" s="18" t="str">
        <x:v>TGT0091</x:v>
      </x:c>
      <x:c r="B92" s="18" t="str">
        <x:v>CY2026Q1</x:v>
      </x:c>
      <x:c r="C92" s="18" t="str">
        <x:v>Employee</x:v>
      </x:c>
      <x:c r="D92" s="18" t="str">
        <x:v>EMP007</x:v>
      </x:c>
      <x:c r="E92" s="18" t="str">
        <x:v>Funded loan amount</x:v>
      </x:c>
      <x:c r="F92" s="23" t="n">
        <x:v>349000</x:v>
      </x:c>
      <x:c r="G92" s="18" t="str">
        <x:v>USD</x:v>
      </x:c>
      <x:c r="H92" s="20" t="n">
        <x:v>46009.5</x:v>
      </x:c>
      <x:c r="I92" s="18" t="str">
        <x:v>MGR003</x:v>
      </x:c>
    </x:row>
    <x:row r="93" ht="15" hidden="0" customHeight="1">
      <x:c r="A93" s="18" t="str">
        <x:v>TGT0092</x:v>
      </x:c>
      <x:c r="B93" s="18" t="str">
        <x:v>CY2026Q1</x:v>
      </x:c>
      <x:c r="C93" s="18" t="str">
        <x:v>Employee</x:v>
      </x:c>
      <x:c r="D93" s="18" t="str">
        <x:v>EMP008</x:v>
      </x:c>
      <x:c r="E93" s="18" t="str">
        <x:v>Funded loan amount</x:v>
      </x:c>
      <x:c r="F93" s="23" t="n">
        <x:v>372500</x:v>
      </x:c>
      <x:c r="G93" s="18" t="str">
        <x:v>USD</x:v>
      </x:c>
      <x:c r="H93" s="20" t="n">
        <x:v>46009.5</x:v>
      </x:c>
      <x:c r="I93" s="18" t="str">
        <x:v>MGR003</x:v>
      </x:c>
    </x:row>
    <x:row r="94" ht="15" hidden="0" customHeight="1">
      <x:c r="A94" s="18" t="str">
        <x:v>TGT0093</x:v>
      </x:c>
      <x:c r="B94" s="18" t="str">
        <x:v>CY2026Q1</x:v>
      </x:c>
      <x:c r="C94" s="18" t="str">
        <x:v>Employee</x:v>
      </x:c>
      <x:c r="D94" s="18" t="str">
        <x:v>EMP009</x:v>
      </x:c>
      <x:c r="E94" s="18" t="str">
        <x:v>Funded loan amount</x:v>
      </x:c>
      <x:c r="F94" s="23" t="n">
        <x:v>396000</x:v>
      </x:c>
      <x:c r="G94" s="18" t="str">
        <x:v>USD</x:v>
      </x:c>
      <x:c r="H94" s="20" t="n">
        <x:v>46009.5</x:v>
      </x:c>
      <x:c r="I94" s="18" t="str">
        <x:v>MGR004</x:v>
      </x:c>
    </x:row>
    <x:row r="95" ht="15" hidden="0" customHeight="1">
      <x:c r="A95" s="18" t="str">
        <x:v>TGT0094</x:v>
      </x:c>
      <x:c r="B95" s="18" t="str">
        <x:v>CY2026Q1</x:v>
      </x:c>
      <x:c r="C95" s="18" t="str">
        <x:v>Employee</x:v>
      </x:c>
      <x:c r="D95" s="18" t="str">
        <x:v>EMP010</x:v>
      </x:c>
      <x:c r="E95" s="18" t="str">
        <x:v>Funded loan amount</x:v>
      </x:c>
      <x:c r="F95" s="23" t="n">
        <x:v>374500</x:v>
      </x:c>
      <x:c r="G95" s="18" t="str">
        <x:v>USD</x:v>
      </x:c>
      <x:c r="H95" s="20" t="n">
        <x:v>46009.5</x:v>
      </x:c>
      <x:c r="I95" s="18" t="str">
        <x:v>MGR004</x:v>
      </x:c>
    </x:row>
    <x:row r="96" ht="15" hidden="0" customHeight="1">
      <x:c r="A96" s="18" t="str">
        <x:v>TGT0095</x:v>
      </x:c>
      <x:c r="B96" s="18" t="str">
        <x:v>CY2026Q1</x:v>
      </x:c>
      <x:c r="C96" s="18" t="str">
        <x:v>Employee</x:v>
      </x:c>
      <x:c r="D96" s="18" t="str">
        <x:v>EMP011</x:v>
      </x:c>
      <x:c r="E96" s="18" t="str">
        <x:v>Funded loan amount</x:v>
      </x:c>
      <x:c r="F96" s="23" t="n">
        <x:v>398000</x:v>
      </x:c>
      <x:c r="G96" s="18" t="str">
        <x:v>USD</x:v>
      </x:c>
      <x:c r="H96" s="20" t="n">
        <x:v>46009.5</x:v>
      </x:c>
      <x:c r="I96" s="18" t="str">
        <x:v>MGR004</x:v>
      </x:c>
    </x:row>
    <x:row r="97" ht="15" hidden="0" customHeight="1">
      <x:c r="A97" s="18" t="str">
        <x:v>TGT0096</x:v>
      </x:c>
      <x:c r="B97" s="18" t="str">
        <x:v>CY2026Q1</x:v>
      </x:c>
      <x:c r="C97" s="18" t="str">
        <x:v>Employee</x:v>
      </x:c>
      <x:c r="D97" s="18" t="str">
        <x:v>EMP012</x:v>
      </x:c>
      <x:c r="E97" s="18" t="str">
        <x:v>Funded loan amount</x:v>
      </x:c>
      <x:c r="F97" s="23" t="n">
        <x:v>421500</x:v>
      </x:c>
      <x:c r="G97" s="18" t="str">
        <x:v>USD</x:v>
      </x:c>
      <x:c r="H97" s="20" t="n">
        <x:v>46009.5</x:v>
      </x:c>
      <x:c r="I97" s="18" t="str">
        <x:v>MGR005</x:v>
      </x:c>
    </x:row>
    <x:row r="98" ht="15" hidden="0" customHeight="1">
      <x:c r="A98" s="18" t="str">
        <x:v>TGT0097</x:v>
      </x:c>
      <x:c r="B98" s="18" t="str">
        <x:v>CY2026Q1</x:v>
      </x:c>
      <x:c r="C98" s="18" t="str">
        <x:v>Employee</x:v>
      </x:c>
      <x:c r="D98" s="18" t="str">
        <x:v>EMP013</x:v>
      </x:c>
      <x:c r="E98" s="18" t="str">
        <x:v>Funded loan amount</x:v>
      </x:c>
      <x:c r="F98" s="23" t="n">
        <x:v>400000</x:v>
      </x:c>
      <x:c r="G98" s="18" t="str">
        <x:v>USD</x:v>
      </x:c>
      <x:c r="H98" s="20" t="n">
        <x:v>46009.5</x:v>
      </x:c>
      <x:c r="I98" s="18" t="str">
        <x:v>MGR005</x:v>
      </x:c>
    </x:row>
    <x:row r="99" ht="15" hidden="0" customHeight="1">
      <x:c r="A99" s="18" t="str">
        <x:v>TGT0098</x:v>
      </x:c>
      <x:c r="B99" s="18" t="str">
        <x:v>CY2026Q1</x:v>
      </x:c>
      <x:c r="C99" s="18" t="str">
        <x:v>Employee</x:v>
      </x:c>
      <x:c r="D99" s="18" t="str">
        <x:v>EMP014</x:v>
      </x:c>
      <x:c r="E99" s="18" t="str">
        <x:v>Funded loan amount</x:v>
      </x:c>
      <x:c r="F99" s="23" t="n">
        <x:v>423500</x:v>
      </x:c>
      <x:c r="G99" s="18" t="str">
        <x:v>USD</x:v>
      </x:c>
      <x:c r="H99" s="20" t="n">
        <x:v>46009.5</x:v>
      </x:c>
      <x:c r="I99" s="18" t="str">
        <x:v>MGR006</x:v>
      </x:c>
    </x:row>
    <x:row r="100" ht="15" hidden="0" customHeight="1">
      <x:c r="A100" s="18" t="str">
        <x:v>TGT0099</x:v>
      </x:c>
      <x:c r="B100" s="18" t="str">
        <x:v>CY2026Q1</x:v>
      </x:c>
      <x:c r="C100" s="18" t="str">
        <x:v>Employee</x:v>
      </x:c>
      <x:c r="D100" s="18" t="str">
        <x:v>EMP015</x:v>
      </x:c>
      <x:c r="E100" s="18" t="str">
        <x:v>Funded loan amount</x:v>
      </x:c>
      <x:c r="F100" s="23" t="n">
        <x:v>447000</x:v>
      </x:c>
      <x:c r="G100" s="18" t="str">
        <x:v>USD</x:v>
      </x:c>
      <x:c r="H100" s="20" t="n">
        <x:v>46009.5</x:v>
      </x:c>
      <x:c r="I100" s="18" t="str">
        <x:v>MGR006</x:v>
      </x:c>
    </x:row>
    <x:row r="101" ht="15" hidden="0" customHeight="1">
      <x:c r="A101" s="18" t="str">
        <x:v>TGT0100</x:v>
      </x:c>
      <x:c r="B101" s="18" t="str">
        <x:v>CY2026Q1</x:v>
      </x:c>
      <x:c r="C101" s="18" t="str">
        <x:v>Branch</x:v>
      </x:c>
      <x:c r="D101" s="18" t="str">
        <x:v>BR001</x:v>
      </x:c>
      <x:c r="E101" s="18" t="str">
        <x:v>Funded loan amount</x:v>
      </x:c>
      <x:c r="F101" s="23" t="n">
        <x:v>964500</x:v>
      </x:c>
      <x:c r="G101" s="18" t="str">
        <x:v>USD</x:v>
      </x:c>
      <x:c r="H101" s="20" t="n">
        <x:v>46009.5</x:v>
      </x:c>
      <x:c r="I101" s="18" t="str">
        <x:v>VP001</x:v>
      </x:c>
    </x:row>
    <x:row r="102" ht="15" hidden="0" customHeight="1">
      <x:c r="A102" s="18" t="str">
        <x:v>TGT0101</x:v>
      </x:c>
      <x:c r="B102" s="18" t="str">
        <x:v>CY2026Q1</x:v>
      </x:c>
      <x:c r="C102" s="18" t="str">
        <x:v>Branch</x:v>
      </x:c>
      <x:c r="D102" s="18" t="str">
        <x:v>BR002</x:v>
      </x:c>
      <x:c r="E102" s="18" t="str">
        <x:v>Funded loan amount</x:v>
      </x:c>
      <x:c r="F102" s="23" t="n">
        <x:v>1041000</x:v>
      </x:c>
      <x:c r="G102" s="18" t="str">
        <x:v>USD</x:v>
      </x:c>
      <x:c r="H102" s="20" t="n">
        <x:v>46009.5</x:v>
      </x:c>
      <x:c r="I102" s="18" t="str">
        <x:v>VP001</x:v>
      </x:c>
    </x:row>
    <x:row r="103" ht="15" hidden="0" customHeight="1">
      <x:c r="A103" s="18" t="str">
        <x:v>TGT0102</x:v>
      </x:c>
      <x:c r="B103" s="18" t="str">
        <x:v>CY2026Q1</x:v>
      </x:c>
      <x:c r="C103" s="18" t="str">
        <x:v>Branch</x:v>
      </x:c>
      <x:c r="D103" s="18" t="str">
        <x:v>BR003</x:v>
      </x:c>
      <x:c r="E103" s="18" t="str">
        <x:v>Funded loan amount</x:v>
      </x:c>
      <x:c r="F103" s="23" t="n">
        <x:v>721500</x:v>
      </x:c>
      <x:c r="G103" s="18" t="str">
        <x:v>USD</x:v>
      </x:c>
      <x:c r="H103" s="20" t="n">
        <x:v>46009.5</x:v>
      </x:c>
      <x:c r="I103" s="18" t="str">
        <x:v>VP001</x:v>
      </x:c>
    </x:row>
    <x:row r="104" ht="15" hidden="0" customHeight="1">
      <x:c r="A104" s="18" t="str">
        <x:v>TGT0103</x:v>
      </x:c>
      <x:c r="B104" s="18" t="str">
        <x:v>CY2026Q1</x:v>
      </x:c>
      <x:c r="C104" s="18" t="str">
        <x:v>Branch</x:v>
      </x:c>
      <x:c r="D104" s="18" t="str">
        <x:v>BR004</x:v>
      </x:c>
      <x:c r="E104" s="18" t="str">
        <x:v>Funded loan amount</x:v>
      </x:c>
      <x:c r="F104" s="23" t="n">
        <x:v>1168500</x:v>
      </x:c>
      <x:c r="G104" s="18" t="str">
        <x:v>USD</x:v>
      </x:c>
      <x:c r="H104" s="20" t="n">
        <x:v>46009.5</x:v>
      </x:c>
      <x:c r="I104" s="18" t="str">
        <x:v>VP002</x:v>
      </x:c>
    </x:row>
    <x:row r="105" ht="15" hidden="0" customHeight="1">
      <x:c r="A105" s="18" t="str">
        <x:v>TGT0104</x:v>
      </x:c>
      <x:c r="B105" s="18" t="str">
        <x:v>CY2026Q1</x:v>
      </x:c>
      <x:c r="C105" s="18" t="str">
        <x:v>Branch</x:v>
      </x:c>
      <x:c r="D105" s="18" t="str">
        <x:v>BR005</x:v>
      </x:c>
      <x:c r="E105" s="18" t="str">
        <x:v>Funded loan amount</x:v>
      </x:c>
      <x:c r="F105" s="23" t="n">
        <x:v>821500</x:v>
      </x:c>
      <x:c r="G105" s="18" t="str">
        <x:v>USD</x:v>
      </x:c>
      <x:c r="H105" s="20" t="n">
        <x:v>46009.5</x:v>
      </x:c>
      <x:c r="I105" s="18" t="str">
        <x:v>VP002</x:v>
      </x:c>
    </x:row>
    <x:row r="106" ht="15" hidden="0" customHeight="1">
      <x:c r="A106" s="18" t="str">
        <x:v>TGT0105</x:v>
      </x:c>
      <x:c r="B106" s="18" t="str">
        <x:v>CY2026Q1</x:v>
      </x:c>
      <x:c r="C106" s="18" t="str">
        <x:v>Branch</x:v>
      </x:c>
      <x:c r="D106" s="18" t="str">
        <x:v>BR006</x:v>
      </x:c>
      <x:c r="E106" s="18" t="str">
        <x:v>Funded loan amount</x:v>
      </x:c>
      <x:c r="F106" s="23" t="n">
        <x:v>870500</x:v>
      </x:c>
      <x:c r="G106" s="18" t="str">
        <x:v>USD</x:v>
      </x:c>
      <x:c r="H106" s="20" t="n">
        <x:v>46009.5</x:v>
      </x:c>
      <x:c r="I106" s="18" t="str">
        <x:v>VP002</x:v>
      </x:c>
    </x:row>
    <x:row r="107" ht="15" hidden="0" customHeight="1">
      <x:c r="A107" s="18" t="str">
        <x:v>TGT0106</x:v>
      </x:c>
      <x:c r="B107" s="18" t="str">
        <x:v>CY2026Q2</x:v>
      </x:c>
      <x:c r="C107" s="18" t="str">
        <x:v>Employee</x:v>
      </x:c>
      <x:c r="D107" s="18" t="str">
        <x:v>EMP001</x:v>
      </x:c>
      <x:c r="E107" s="18" t="str">
        <x:v>Funded loan amount</x:v>
      </x:c>
      <x:c r="F107" s="23" t="n">
        <x:v>310000</x:v>
      </x:c>
      <x:c r="G107" s="18" t="str">
        <x:v>USD</x:v>
      </x:c>
      <x:c r="H107" s="20" t="n">
        <x:v>46099.5</x:v>
      </x:c>
      <x:c r="I107" s="18" t="str">
        <x:v>MGR001</x:v>
      </x:c>
    </x:row>
    <x:row r="108" ht="15" hidden="0" customHeight="1">
      <x:c r="A108" s="18" t="str">
        <x:v>TGT0107</x:v>
      </x:c>
      <x:c r="B108" s="18" t="str">
        <x:v>CY2026Q2</x:v>
      </x:c>
      <x:c r="C108" s="18" t="str">
        <x:v>Employee</x:v>
      </x:c>
      <x:c r="D108" s="18" t="str">
        <x:v>EMP002</x:v>
      </x:c>
      <x:c r="E108" s="18" t="str">
        <x:v>Funded loan amount</x:v>
      </x:c>
      <x:c r="F108" s="23" t="n">
        <x:v>333500</x:v>
      </x:c>
      <x:c r="G108" s="18" t="str">
        <x:v>USD</x:v>
      </x:c>
      <x:c r="H108" s="20" t="n">
        <x:v>46099.5</x:v>
      </x:c>
      <x:c r="I108" s="18" t="str">
        <x:v>MGR001</x:v>
      </x:c>
    </x:row>
    <x:row r="109" ht="15" hidden="0" customHeight="1">
      <x:c r="A109" s="18" t="str">
        <x:v>TGT0108</x:v>
      </x:c>
      <x:c r="B109" s="18" t="str">
        <x:v>CY2026Q2</x:v>
      </x:c>
      <x:c r="C109" s="18" t="str">
        <x:v>Employee</x:v>
      </x:c>
      <x:c r="D109" s="18" t="str">
        <x:v>EMP003</x:v>
      </x:c>
      <x:c r="E109" s="18" t="str">
        <x:v>Funded loan amount</x:v>
      </x:c>
      <x:c r="F109" s="23" t="n">
        <x:v>357000</x:v>
      </x:c>
      <x:c r="G109" s="18" t="str">
        <x:v>USD</x:v>
      </x:c>
      <x:c r="H109" s="20" t="n">
        <x:v>46099.5</x:v>
      </x:c>
      <x:c r="I109" s="18" t="str">
        <x:v>MGR001</x:v>
      </x:c>
    </x:row>
    <x:row r="110" ht="15" hidden="0" customHeight="1">
      <x:c r="A110" s="18" t="str">
        <x:v>TGT0109</x:v>
      </x:c>
      <x:c r="B110" s="18" t="str">
        <x:v>CY2026Q2</x:v>
      </x:c>
      <x:c r="C110" s="18" t="str">
        <x:v>Employee</x:v>
      </x:c>
      <x:c r="D110" s="18" t="str">
        <x:v>EMP004</x:v>
      </x:c>
      <x:c r="E110" s="18" t="str">
        <x:v>Funded loan amount</x:v>
      </x:c>
      <x:c r="F110" s="23" t="n">
        <x:v>335500</x:v>
      </x:c>
      <x:c r="G110" s="18" t="str">
        <x:v>USD</x:v>
      </x:c>
      <x:c r="H110" s="20" t="n">
        <x:v>46099.5</x:v>
      </x:c>
      <x:c r="I110" s="18" t="str">
        <x:v>MGR002</x:v>
      </x:c>
    </x:row>
    <x:row r="111" ht="15" hidden="0" customHeight="1">
      <x:c r="A111" s="18" t="str">
        <x:v>TGT0110</x:v>
      </x:c>
      <x:c r="B111" s="18" t="str">
        <x:v>CY2026Q2</x:v>
      </x:c>
      <x:c r="C111" s="18" t="str">
        <x:v>Employee</x:v>
      </x:c>
      <x:c r="D111" s="18" t="str">
        <x:v>EMP005</x:v>
      </x:c>
      <x:c r="E111" s="18" t="str">
        <x:v>Funded loan amount</x:v>
      </x:c>
      <x:c r="F111" s="23" t="n">
        <x:v>359000</x:v>
      </x:c>
      <x:c r="G111" s="18" t="str">
        <x:v>USD</x:v>
      </x:c>
      <x:c r="H111" s="20" t="n">
        <x:v>46099.5</x:v>
      </x:c>
      <x:c r="I111" s="18" t="str">
        <x:v>MGR002</x:v>
      </x:c>
    </x:row>
    <x:row r="112" ht="15" hidden="0" customHeight="1">
      <x:c r="A112" s="18" t="str">
        <x:v>TGT0111</x:v>
      </x:c>
      <x:c r="B112" s="18" t="str">
        <x:v>CY2026Q2</x:v>
      </x:c>
      <x:c r="C112" s="18" t="str">
        <x:v>Employee</x:v>
      </x:c>
      <x:c r="D112" s="18" t="str">
        <x:v>EMP006</x:v>
      </x:c>
      <x:c r="E112" s="18" t="str">
        <x:v>Funded loan amount</x:v>
      </x:c>
      <x:c r="F112" s="23" t="n">
        <x:v>382500</x:v>
      </x:c>
      <x:c r="G112" s="18" t="str">
        <x:v>USD</x:v>
      </x:c>
      <x:c r="H112" s="20" t="n">
        <x:v>46099.5</x:v>
      </x:c>
      <x:c r="I112" s="18" t="str">
        <x:v>MGR002</x:v>
      </x:c>
    </x:row>
    <x:row r="113" ht="15" hidden="0" customHeight="1">
      <x:c r="A113" s="18" t="str">
        <x:v>TGT0112</x:v>
      </x:c>
      <x:c r="B113" s="18" t="str">
        <x:v>CY2026Q2</x:v>
      </x:c>
      <x:c r="C113" s="18" t="str">
        <x:v>Employee</x:v>
      </x:c>
      <x:c r="D113" s="18" t="str">
        <x:v>EMP007</x:v>
      </x:c>
      <x:c r="E113" s="18" t="str">
        <x:v>Funded loan amount</x:v>
      </x:c>
      <x:c r="F113" s="23" t="n">
        <x:v>361000</x:v>
      </x:c>
      <x:c r="G113" s="18" t="str">
        <x:v>USD</x:v>
      </x:c>
      <x:c r="H113" s="20" t="n">
        <x:v>46099.5</x:v>
      </x:c>
      <x:c r="I113" s="18" t="str">
        <x:v>MGR003</x:v>
      </x:c>
    </x:row>
    <x:row r="114" ht="15" hidden="0" customHeight="1">
      <x:c r="A114" s="18" t="str">
        <x:v>TGT0113</x:v>
      </x:c>
      <x:c r="B114" s="18" t="str">
        <x:v>CY2026Q2</x:v>
      </x:c>
      <x:c r="C114" s="18" t="str">
        <x:v>Employee</x:v>
      </x:c>
      <x:c r="D114" s="18" t="str">
        <x:v>EMP008</x:v>
      </x:c>
      <x:c r="E114" s="18" t="str">
        <x:v>Funded loan amount</x:v>
      </x:c>
      <x:c r="F114" s="23" t="n">
        <x:v>384500</x:v>
      </x:c>
      <x:c r="G114" s="18" t="str">
        <x:v>USD</x:v>
      </x:c>
      <x:c r="H114" s="20" t="n">
        <x:v>46099.5</x:v>
      </x:c>
      <x:c r="I114" s="18" t="str">
        <x:v>MGR003</x:v>
      </x:c>
    </x:row>
    <x:row r="115" ht="15" hidden="0" customHeight="1">
      <x:c r="A115" s="18" t="str">
        <x:v>TGT0114</x:v>
      </x:c>
      <x:c r="B115" s="18" t="str">
        <x:v>CY2026Q2</x:v>
      </x:c>
      <x:c r="C115" s="18" t="str">
        <x:v>Employee</x:v>
      </x:c>
      <x:c r="D115" s="18" t="str">
        <x:v>EMP009</x:v>
      </x:c>
      <x:c r="E115" s="18" t="str">
        <x:v>Funded loan amount</x:v>
      </x:c>
      <x:c r="F115" s="23" t="n">
        <x:v>408000</x:v>
      </x:c>
      <x:c r="G115" s="18" t="str">
        <x:v>USD</x:v>
      </x:c>
      <x:c r="H115" s="20" t="n">
        <x:v>46099.5</x:v>
      </x:c>
      <x:c r="I115" s="18" t="str">
        <x:v>MGR004</x:v>
      </x:c>
    </x:row>
    <x:row r="116" ht="15" hidden="0" customHeight="1">
      <x:c r="A116" s="18" t="str">
        <x:v>TGT0115</x:v>
      </x:c>
      <x:c r="B116" s="18" t="str">
        <x:v>CY2026Q2</x:v>
      </x:c>
      <x:c r="C116" s="18" t="str">
        <x:v>Employee</x:v>
      </x:c>
      <x:c r="D116" s="18" t="str">
        <x:v>EMP010</x:v>
      </x:c>
      <x:c r="E116" s="18" t="str">
        <x:v>Funded loan amount</x:v>
      </x:c>
      <x:c r="F116" s="23" t="n">
        <x:v>386500</x:v>
      </x:c>
      <x:c r="G116" s="18" t="str">
        <x:v>USD</x:v>
      </x:c>
      <x:c r="H116" s="20" t="n">
        <x:v>46099.5</x:v>
      </x:c>
      <x:c r="I116" s="18" t="str">
        <x:v>MGR004</x:v>
      </x:c>
    </x:row>
    <x:row r="117" ht="15" hidden="0" customHeight="1">
      <x:c r="A117" s="18" t="str">
        <x:v>TGT0116</x:v>
      </x:c>
      <x:c r="B117" s="18" t="str">
        <x:v>CY2026Q2</x:v>
      </x:c>
      <x:c r="C117" s="18" t="str">
        <x:v>Employee</x:v>
      </x:c>
      <x:c r="D117" s="18" t="str">
        <x:v>EMP011</x:v>
      </x:c>
      <x:c r="E117" s="18" t="str">
        <x:v>Funded loan amount</x:v>
      </x:c>
      <x:c r="F117" s="23" t="n">
        <x:v>410000</x:v>
      </x:c>
      <x:c r="G117" s="18" t="str">
        <x:v>USD</x:v>
      </x:c>
      <x:c r="H117" s="20" t="n">
        <x:v>46099.5</x:v>
      </x:c>
      <x:c r="I117" s="18" t="str">
        <x:v>MGR004</x:v>
      </x:c>
    </x:row>
    <x:row r="118" ht="15" hidden="0" customHeight="1">
      <x:c r="A118" s="18" t="str">
        <x:v>TGT0117</x:v>
      </x:c>
      <x:c r="B118" s="18" t="str">
        <x:v>CY2026Q2</x:v>
      </x:c>
      <x:c r="C118" s="18" t="str">
        <x:v>Employee</x:v>
      </x:c>
      <x:c r="D118" s="18" t="str">
        <x:v>EMP012</x:v>
      </x:c>
      <x:c r="E118" s="18" t="str">
        <x:v>Funded loan amount</x:v>
      </x:c>
      <x:c r="F118" s="23" t="n">
        <x:v>433500</x:v>
      </x:c>
      <x:c r="G118" s="18" t="str">
        <x:v>USD</x:v>
      </x:c>
      <x:c r="H118" s="20" t="n">
        <x:v>46099.5</x:v>
      </x:c>
      <x:c r="I118" s="18" t="str">
        <x:v>MGR005</x:v>
      </x:c>
    </x:row>
    <x:row r="119" ht="15" hidden="0" customHeight="1">
      <x:c r="A119" s="18" t="str">
        <x:v>TGT0118</x:v>
      </x:c>
      <x:c r="B119" s="18" t="str">
        <x:v>CY2026Q2</x:v>
      </x:c>
      <x:c r="C119" s="18" t="str">
        <x:v>Employee</x:v>
      </x:c>
      <x:c r="D119" s="18" t="str">
        <x:v>EMP013</x:v>
      </x:c>
      <x:c r="E119" s="18" t="str">
        <x:v>Funded loan amount</x:v>
      </x:c>
      <x:c r="F119" s="23" t="n">
        <x:v>412000</x:v>
      </x:c>
      <x:c r="G119" s="18" t="str">
        <x:v>USD</x:v>
      </x:c>
      <x:c r="H119" s="20" t="n">
        <x:v>46099.5</x:v>
      </x:c>
      <x:c r="I119" s="18" t="str">
        <x:v>MGR005</x:v>
      </x:c>
    </x:row>
    <x:row r="120" ht="15" hidden="0" customHeight="1">
      <x:c r="A120" s="18" t="str">
        <x:v>TGT0119</x:v>
      </x:c>
      <x:c r="B120" s="18" t="str">
        <x:v>CY2026Q2</x:v>
      </x:c>
      <x:c r="C120" s="18" t="str">
        <x:v>Employee</x:v>
      </x:c>
      <x:c r="D120" s="18" t="str">
        <x:v>EMP014</x:v>
      </x:c>
      <x:c r="E120" s="18" t="str">
        <x:v>Funded loan amount</x:v>
      </x:c>
      <x:c r="F120" s="23" t="n">
        <x:v>435500</x:v>
      </x:c>
      <x:c r="G120" s="18" t="str">
        <x:v>USD</x:v>
      </x:c>
      <x:c r="H120" s="20" t="n">
        <x:v>46099.5</x:v>
      </x:c>
      <x:c r="I120" s="18" t="str">
        <x:v>MGR006</x:v>
      </x:c>
    </x:row>
    <x:row r="121" ht="15" hidden="0" customHeight="1">
      <x:c r="A121" s="18" t="str">
        <x:v>TGT0120</x:v>
      </x:c>
      <x:c r="B121" s="18" t="str">
        <x:v>CY2026Q2</x:v>
      </x:c>
      <x:c r="C121" s="18" t="str">
        <x:v>Employee</x:v>
      </x:c>
      <x:c r="D121" s="18" t="str">
        <x:v>EMP015</x:v>
      </x:c>
      <x:c r="E121" s="18" t="str">
        <x:v>Funded loan amount</x:v>
      </x:c>
      <x:c r="F121" s="23" t="n">
        <x:v>459000</x:v>
      </x:c>
      <x:c r="G121" s="18" t="str">
        <x:v>USD</x:v>
      </x:c>
      <x:c r="H121" s="20" t="n">
        <x:v>46099.5</x:v>
      </x:c>
      <x:c r="I121" s="18" t="str">
        <x:v>MGR006</x:v>
      </x:c>
    </x:row>
    <x:row r="122" ht="15" hidden="0" customHeight="1">
      <x:c r="A122" s="18" t="str">
        <x:v>TGT0121</x:v>
      </x:c>
      <x:c r="B122" s="18" t="str">
        <x:v>CY2026Q2</x:v>
      </x:c>
      <x:c r="C122" s="18" t="str">
        <x:v>Branch</x:v>
      </x:c>
      <x:c r="D122" s="18" t="str">
        <x:v>BR001</x:v>
      </x:c>
      <x:c r="E122" s="18" t="str">
        <x:v>Funded loan amount</x:v>
      </x:c>
      <x:c r="F122" s="23" t="n">
        <x:v>1000500</x:v>
      </x:c>
      <x:c r="G122" s="18" t="str">
        <x:v>USD</x:v>
      </x:c>
      <x:c r="H122" s="20" t="n">
        <x:v>46099.5</x:v>
      </x:c>
      <x:c r="I122" s="18" t="str">
        <x:v>VP001</x:v>
      </x:c>
    </x:row>
    <x:row r="123" ht="15" hidden="0" customHeight="1">
      <x:c r="A123" s="18" t="str">
        <x:v>TGT0122</x:v>
      </x:c>
      <x:c r="B123" s="18" t="str">
        <x:v>CY2026Q2</x:v>
      </x:c>
      <x:c r="C123" s="18" t="str">
        <x:v>Branch</x:v>
      </x:c>
      <x:c r="D123" s="18" t="str">
        <x:v>BR002</x:v>
      </x:c>
      <x:c r="E123" s="18" t="str">
        <x:v>Funded loan amount</x:v>
      </x:c>
      <x:c r="F123" s="23" t="n">
        <x:v>1077000</x:v>
      </x:c>
      <x:c r="G123" s="18" t="str">
        <x:v>USD</x:v>
      </x:c>
      <x:c r="H123" s="20" t="n">
        <x:v>46099.5</x:v>
      </x:c>
      <x:c r="I123" s="18" t="str">
        <x:v>VP001</x:v>
      </x:c>
    </x:row>
    <x:row r="124" ht="15" hidden="0" customHeight="1">
      <x:c r="A124" s="18" t="str">
        <x:v>TGT0123</x:v>
      </x:c>
      <x:c r="B124" s="18" t="str">
        <x:v>CY2026Q2</x:v>
      </x:c>
      <x:c r="C124" s="18" t="str">
        <x:v>Branch</x:v>
      </x:c>
      <x:c r="D124" s="18" t="str">
        <x:v>BR003</x:v>
      </x:c>
      <x:c r="E124" s="18" t="str">
        <x:v>Funded loan amount</x:v>
      </x:c>
      <x:c r="F124" s="23" t="n">
        <x:v>745500</x:v>
      </x:c>
      <x:c r="G124" s="18" t="str">
        <x:v>USD</x:v>
      </x:c>
      <x:c r="H124" s="20" t="n">
        <x:v>46099.5</x:v>
      </x:c>
      <x:c r="I124" s="18" t="str">
        <x:v>VP001</x:v>
      </x:c>
    </x:row>
    <x:row r="125" ht="15" hidden="0" customHeight="1">
      <x:c r="A125" s="18" t="str">
        <x:v>TGT0124</x:v>
      </x:c>
      <x:c r="B125" s="18" t="str">
        <x:v>CY2026Q2</x:v>
      </x:c>
      <x:c r="C125" s="18" t="str">
        <x:v>Branch</x:v>
      </x:c>
      <x:c r="D125" s="18" t="str">
        <x:v>BR004</x:v>
      </x:c>
      <x:c r="E125" s="18" t="str">
        <x:v>Funded loan amount</x:v>
      </x:c>
      <x:c r="F125" s="23" t="n">
        <x:v>1204500</x:v>
      </x:c>
      <x:c r="G125" s="18" t="str">
        <x:v>USD</x:v>
      </x:c>
      <x:c r="H125" s="20" t="n">
        <x:v>46099.5</x:v>
      </x:c>
      <x:c r="I125" s="18" t="str">
        <x:v>VP002</x:v>
      </x:c>
    </x:row>
    <x:row r="126" ht="15" hidden="0" customHeight="1">
      <x:c r="A126" s="18" t="str">
        <x:v>TGT0125</x:v>
      </x:c>
      <x:c r="B126" s="18" t="str">
        <x:v>CY2026Q2</x:v>
      </x:c>
      <x:c r="C126" s="18" t="str">
        <x:v>Branch</x:v>
      </x:c>
      <x:c r="D126" s="18" t="str">
        <x:v>BR005</x:v>
      </x:c>
      <x:c r="E126" s="18" t="str">
        <x:v>Funded loan amount</x:v>
      </x:c>
      <x:c r="F126" s="23" t="n">
        <x:v>845500</x:v>
      </x:c>
      <x:c r="G126" s="18" t="str">
        <x:v>USD</x:v>
      </x:c>
      <x:c r="H126" s="20" t="n">
        <x:v>46099.5</x:v>
      </x:c>
      <x:c r="I126" s="18" t="str">
        <x:v>VP002</x:v>
      </x:c>
    </x:row>
    <x:row r="127" ht="15" hidden="0" customHeight="1">
      <x:c r="A127" s="18" t="str">
        <x:v>TGT0126</x:v>
      </x:c>
      <x:c r="B127" s="18" t="str">
        <x:v>CY2026Q2</x:v>
      </x:c>
      <x:c r="C127" s="18" t="str">
        <x:v>Branch</x:v>
      </x:c>
      <x:c r="D127" s="18" t="str">
        <x:v>BR006</x:v>
      </x:c>
      <x:c r="E127" s="18" t="str">
        <x:v>Funded loan amount</x:v>
      </x:c>
      <x:c r="F127" s="23" t="n">
        <x:v>894500</x:v>
      </x:c>
      <x:c r="G127" s="18" t="str">
        <x:v>USD</x:v>
      </x:c>
      <x:c r="H127" s="20" t="n">
        <x:v>46099.5</x:v>
      </x:c>
      <x:c r="I127" s="18" t="str">
        <x:v>VP002</x:v>
      </x:c>
    </x:row>
    <x:row r="128" ht="15" hidden="0" customHeight="1">
      <x:c r="A128" s="18" t="str">
        <x:v>TGT0127</x:v>
      </x:c>
      <x:c r="B128" s="18" t="str">
        <x:v>CY2026Q3</x:v>
      </x:c>
      <x:c r="C128" s="18" t="str">
        <x:v>Employee</x:v>
      </x:c>
      <x:c r="D128" s="18" t="str">
        <x:v>EMP001</x:v>
      </x:c>
      <x:c r="E128" s="18" t="str">
        <x:v>Funded loan amount</x:v>
      </x:c>
      <x:c r="F128" s="23" t="n">
        <x:v>322000</x:v>
      </x:c>
      <x:c r="G128" s="18" t="str">
        <x:v>USD</x:v>
      </x:c>
      <x:c r="H128" s="20" t="n">
        <x:v>46190.5</x:v>
      </x:c>
      <x:c r="I128" s="18" t="str">
        <x:v>MGR001</x:v>
      </x:c>
    </x:row>
    <x:row r="129" ht="15" hidden="0" customHeight="1">
      <x:c r="A129" s="18" t="str">
        <x:v>TGT0128</x:v>
      </x:c>
      <x:c r="B129" s="18" t="str">
        <x:v>CY2026Q3</x:v>
      </x:c>
      <x:c r="C129" s="18" t="str">
        <x:v>Employee</x:v>
      </x:c>
      <x:c r="D129" s="18" t="str">
        <x:v>EMP002</x:v>
      </x:c>
      <x:c r="E129" s="18" t="str">
        <x:v>Funded loan amount</x:v>
      </x:c>
      <x:c r="F129" s="23" t="n">
        <x:v>345500</x:v>
      </x:c>
      <x:c r="G129" s="18" t="str">
        <x:v>USD</x:v>
      </x:c>
      <x:c r="H129" s="20" t="n">
        <x:v>46190.5</x:v>
      </x:c>
      <x:c r="I129" s="18" t="str">
        <x:v>MGR001</x:v>
      </x:c>
    </x:row>
    <x:row r="130" ht="15" hidden="0" customHeight="1">
      <x:c r="A130" s="18" t="str">
        <x:v>TGT0129</x:v>
      </x:c>
      <x:c r="B130" s="18" t="str">
        <x:v>CY2026Q3</x:v>
      </x:c>
      <x:c r="C130" s="18" t="str">
        <x:v>Employee</x:v>
      </x:c>
      <x:c r="D130" s="18" t="str">
        <x:v>EMP003</x:v>
      </x:c>
      <x:c r="E130" s="18" t="str">
        <x:v>Funded loan amount</x:v>
      </x:c>
      <x:c r="F130" s="23" t="n">
        <x:v>369000</x:v>
      </x:c>
      <x:c r="G130" s="18" t="str">
        <x:v>USD</x:v>
      </x:c>
      <x:c r="H130" s="20" t="n">
        <x:v>46190.5</x:v>
      </x:c>
      <x:c r="I130" s="18" t="str">
        <x:v>MGR001</x:v>
      </x:c>
    </x:row>
    <x:row r="131" ht="15" hidden="0" customHeight="1">
      <x:c r="A131" s="18" t="str">
        <x:v>TGT0130</x:v>
      </x:c>
      <x:c r="B131" s="18" t="str">
        <x:v>CY2026Q3</x:v>
      </x:c>
      <x:c r="C131" s="18" t="str">
        <x:v>Employee</x:v>
      </x:c>
      <x:c r="D131" s="18" t="str">
        <x:v>EMP004</x:v>
      </x:c>
      <x:c r="E131" s="18" t="str">
        <x:v>Funded loan amount</x:v>
      </x:c>
      <x:c r="F131" s="23" t="n">
        <x:v>347500</x:v>
      </x:c>
      <x:c r="G131" s="18" t="str">
        <x:v>USD</x:v>
      </x:c>
      <x:c r="H131" s="20" t="n">
        <x:v>46190.5</x:v>
      </x:c>
      <x:c r="I131" s="18" t="str">
        <x:v>MGR002</x:v>
      </x:c>
    </x:row>
    <x:row r="132" ht="15" hidden="0" customHeight="1">
      <x:c r="A132" s="18" t="str">
        <x:v>TGT0131</x:v>
      </x:c>
      <x:c r="B132" s="18" t="str">
        <x:v>CY2026Q3</x:v>
      </x:c>
      <x:c r="C132" s="18" t="str">
        <x:v>Employee</x:v>
      </x:c>
      <x:c r="D132" s="18" t="str">
        <x:v>EMP005</x:v>
      </x:c>
      <x:c r="E132" s="18" t="str">
        <x:v>Funded loan amount</x:v>
      </x:c>
      <x:c r="F132" s="23" t="n">
        <x:v>371000</x:v>
      </x:c>
      <x:c r="G132" s="18" t="str">
        <x:v>USD</x:v>
      </x:c>
      <x:c r="H132" s="20" t="n">
        <x:v>46190.5</x:v>
      </x:c>
      <x:c r="I132" s="18" t="str">
        <x:v>MGR002</x:v>
      </x:c>
    </x:row>
    <x:row r="133" ht="15" hidden="0" customHeight="1">
      <x:c r="A133" s="18" t="str">
        <x:v>TGT0132</x:v>
      </x:c>
      <x:c r="B133" s="18" t="str">
        <x:v>CY2026Q3</x:v>
      </x:c>
      <x:c r="C133" s="18" t="str">
        <x:v>Employee</x:v>
      </x:c>
      <x:c r="D133" s="18" t="str">
        <x:v>EMP006</x:v>
      </x:c>
      <x:c r="E133" s="18" t="str">
        <x:v>Funded loan amount</x:v>
      </x:c>
      <x:c r="F133" s="23" t="n">
        <x:v>394500</x:v>
      </x:c>
      <x:c r="G133" s="18" t="str">
        <x:v>USD</x:v>
      </x:c>
      <x:c r="H133" s="20" t="n">
        <x:v>46190.5</x:v>
      </x:c>
      <x:c r="I133" s="18" t="str">
        <x:v>MGR002</x:v>
      </x:c>
    </x:row>
    <x:row r="134" ht="15" hidden="0" customHeight="1">
      <x:c r="A134" s="18" t="str">
        <x:v>TGT0133</x:v>
      </x:c>
      <x:c r="B134" s="18" t="str">
        <x:v>CY2026Q3</x:v>
      </x:c>
      <x:c r="C134" s="18" t="str">
        <x:v>Employee</x:v>
      </x:c>
      <x:c r="D134" s="18" t="str">
        <x:v>EMP007</x:v>
      </x:c>
      <x:c r="E134" s="18" t="str">
        <x:v>Funded loan amount</x:v>
      </x:c>
      <x:c r="F134" s="23" t="n">
        <x:v>373000</x:v>
      </x:c>
      <x:c r="G134" s="18" t="str">
        <x:v>USD</x:v>
      </x:c>
      <x:c r="H134" s="20" t="n">
        <x:v>46190.5</x:v>
      </x:c>
      <x:c r="I134" s="18" t="str">
        <x:v>MGR003</x:v>
      </x:c>
    </x:row>
    <x:row r="135" ht="15" hidden="0" customHeight="1">
      <x:c r="A135" s="18" t="str">
        <x:v>TGT0134</x:v>
      </x:c>
      <x:c r="B135" s="18" t="str">
        <x:v>CY2026Q3</x:v>
      </x:c>
      <x:c r="C135" s="18" t="str">
        <x:v>Employee</x:v>
      </x:c>
      <x:c r="D135" s="18" t="str">
        <x:v>EMP008</x:v>
      </x:c>
      <x:c r="E135" s="18" t="str">
        <x:v>Funded loan amount</x:v>
      </x:c>
      <x:c r="F135" s="23" t="n">
        <x:v>396500</x:v>
      </x:c>
      <x:c r="G135" s="18" t="str">
        <x:v>USD</x:v>
      </x:c>
      <x:c r="H135" s="20" t="n">
        <x:v>46190.5</x:v>
      </x:c>
      <x:c r="I135" s="18" t="str">
        <x:v>MGR003</x:v>
      </x:c>
    </x:row>
    <x:row r="136" ht="15" hidden="0" customHeight="1">
      <x:c r="A136" s="18" t="str">
        <x:v>TGT0135</x:v>
      </x:c>
      <x:c r="B136" s="18" t="str">
        <x:v>CY2026Q3</x:v>
      </x:c>
      <x:c r="C136" s="18" t="str">
        <x:v>Employee</x:v>
      </x:c>
      <x:c r="D136" s="18" t="str">
        <x:v>EMP009</x:v>
      </x:c>
      <x:c r="E136" s="18" t="str">
        <x:v>Funded loan amount</x:v>
      </x:c>
      <x:c r="F136" s="23" t="n">
        <x:v>420000</x:v>
      </x:c>
      <x:c r="G136" s="18" t="str">
        <x:v>USD</x:v>
      </x:c>
      <x:c r="H136" s="20" t="n">
        <x:v>46190.5</x:v>
      </x:c>
      <x:c r="I136" s="18" t="str">
        <x:v>MGR004</x:v>
      </x:c>
    </x:row>
    <x:row r="137" ht="15" hidden="0" customHeight="1">
      <x:c r="A137" s="18" t="str">
        <x:v>TGT0136</x:v>
      </x:c>
      <x:c r="B137" s="18" t="str">
        <x:v>CY2026Q3</x:v>
      </x:c>
      <x:c r="C137" s="18" t="str">
        <x:v>Employee</x:v>
      </x:c>
      <x:c r="D137" s="18" t="str">
        <x:v>EMP010</x:v>
      </x:c>
      <x:c r="E137" s="18" t="str">
        <x:v>Funded loan amount</x:v>
      </x:c>
      <x:c r="F137" s="23" t="n">
        <x:v>398500</x:v>
      </x:c>
      <x:c r="G137" s="18" t="str">
        <x:v>USD</x:v>
      </x:c>
      <x:c r="H137" s="20" t="n">
        <x:v>46190.5</x:v>
      </x:c>
      <x:c r="I137" s="18" t="str">
        <x:v>MGR004</x:v>
      </x:c>
    </x:row>
    <x:row r="138" ht="15" hidden="0" customHeight="1">
      <x:c r="A138" s="18" t="str">
        <x:v>TGT0137</x:v>
      </x:c>
      <x:c r="B138" s="18" t="str">
        <x:v>CY2026Q3</x:v>
      </x:c>
      <x:c r="C138" s="18" t="str">
        <x:v>Employee</x:v>
      </x:c>
      <x:c r="D138" s="18" t="str">
        <x:v>EMP011</x:v>
      </x:c>
      <x:c r="E138" s="18" t="str">
        <x:v>Funded loan amount</x:v>
      </x:c>
      <x:c r="F138" s="23" t="n">
        <x:v>422000</x:v>
      </x:c>
      <x:c r="G138" s="18" t="str">
        <x:v>USD</x:v>
      </x:c>
      <x:c r="H138" s="20" t="n">
        <x:v>46190.5</x:v>
      </x:c>
      <x:c r="I138" s="18" t="str">
        <x:v>MGR004</x:v>
      </x:c>
    </x:row>
    <x:row r="139" ht="15" hidden="0" customHeight="1">
      <x:c r="A139" s="18" t="str">
        <x:v>TGT0138</x:v>
      </x:c>
      <x:c r="B139" s="18" t="str">
        <x:v>CY2026Q3</x:v>
      </x:c>
      <x:c r="C139" s="18" t="str">
        <x:v>Employee</x:v>
      </x:c>
      <x:c r="D139" s="18" t="str">
        <x:v>EMP012</x:v>
      </x:c>
      <x:c r="E139" s="18" t="str">
        <x:v>Funded loan amount</x:v>
      </x:c>
      <x:c r="F139" s="23" t="n">
        <x:v>445500</x:v>
      </x:c>
      <x:c r="G139" s="18" t="str">
        <x:v>USD</x:v>
      </x:c>
      <x:c r="H139" s="20" t="n">
        <x:v>46190.5</x:v>
      </x:c>
      <x:c r="I139" s="18" t="str">
        <x:v>MGR005</x:v>
      </x:c>
    </x:row>
    <x:row r="140" ht="15" hidden="0" customHeight="1">
      <x:c r="A140" s="18" t="str">
        <x:v>TGT0139</x:v>
      </x:c>
      <x:c r="B140" s="18" t="str">
        <x:v>CY2026Q3</x:v>
      </x:c>
      <x:c r="C140" s="18" t="str">
        <x:v>Employee</x:v>
      </x:c>
      <x:c r="D140" s="18" t="str">
        <x:v>EMP013</x:v>
      </x:c>
      <x:c r="E140" s="18" t="str">
        <x:v>Funded loan amount</x:v>
      </x:c>
      <x:c r="F140" s="23" t="n">
        <x:v>424000</x:v>
      </x:c>
      <x:c r="G140" s="18" t="str">
        <x:v>USD</x:v>
      </x:c>
      <x:c r="H140" s="20" t="n">
        <x:v>46190.5</x:v>
      </x:c>
      <x:c r="I140" s="18" t="str">
        <x:v>MGR005</x:v>
      </x:c>
    </x:row>
    <x:row r="141" ht="15" hidden="0" customHeight="1">
      <x:c r="A141" s="18" t="str">
        <x:v>TGT0140</x:v>
      </x:c>
      <x:c r="B141" s="18" t="str">
        <x:v>CY2026Q3</x:v>
      </x:c>
      <x:c r="C141" s="18" t="str">
        <x:v>Employee</x:v>
      </x:c>
      <x:c r="D141" s="18" t="str">
        <x:v>EMP014</x:v>
      </x:c>
      <x:c r="E141" s="18" t="str">
        <x:v>Funded loan amount</x:v>
      </x:c>
      <x:c r="F141" s="23" t="n">
        <x:v>447500</x:v>
      </x:c>
      <x:c r="G141" s="18" t="str">
        <x:v>USD</x:v>
      </x:c>
      <x:c r="H141" s="20" t="n">
        <x:v>46190.5</x:v>
      </x:c>
      <x:c r="I141" s="18" t="str">
        <x:v>MGR006</x:v>
      </x:c>
    </x:row>
    <x:row r="142" ht="15" hidden="0" customHeight="1">
      <x:c r="A142" s="18" t="str">
        <x:v>TGT0141</x:v>
      </x:c>
      <x:c r="B142" s="18" t="str">
        <x:v>CY2026Q3</x:v>
      </x:c>
      <x:c r="C142" s="18" t="str">
        <x:v>Employee</x:v>
      </x:c>
      <x:c r="D142" s="18" t="str">
        <x:v>EMP015</x:v>
      </x:c>
      <x:c r="E142" s="18" t="str">
        <x:v>Funded loan amount</x:v>
      </x:c>
      <x:c r="F142" s="23" t="n">
        <x:v>471000</x:v>
      </x:c>
      <x:c r="G142" s="18" t="str">
        <x:v>USD</x:v>
      </x:c>
      <x:c r="H142" s="20" t="n">
        <x:v>46190.5</x:v>
      </x:c>
      <x:c r="I142" s="18" t="str">
        <x:v>MGR006</x:v>
      </x:c>
    </x:row>
    <x:row r="143" ht="15" hidden="0" customHeight="1">
      <x:c r="A143" s="18" t="str">
        <x:v>TGT0142</x:v>
      </x:c>
      <x:c r="B143" s="18" t="str">
        <x:v>CY2026Q3</x:v>
      </x:c>
      <x:c r="C143" s="18" t="str">
        <x:v>Branch</x:v>
      </x:c>
      <x:c r="D143" s="18" t="str">
        <x:v>BR001</x:v>
      </x:c>
      <x:c r="E143" s="18" t="str">
        <x:v>Funded loan amount</x:v>
      </x:c>
      <x:c r="F143" s="23" t="n">
        <x:v>1036500</x:v>
      </x:c>
      <x:c r="G143" s="18" t="str">
        <x:v>USD</x:v>
      </x:c>
      <x:c r="H143" s="20" t="n">
        <x:v>46190.5</x:v>
      </x:c>
      <x:c r="I143" s="18" t="str">
        <x:v>VP001</x:v>
      </x:c>
    </x:row>
    <x:row r="144" ht="15" hidden="0" customHeight="1">
      <x:c r="A144" s="18" t="str">
        <x:v>TGT0143</x:v>
      </x:c>
      <x:c r="B144" s="18" t="str">
        <x:v>CY2026Q3</x:v>
      </x:c>
      <x:c r="C144" s="18" t="str">
        <x:v>Branch</x:v>
      </x:c>
      <x:c r="D144" s="18" t="str">
        <x:v>BR002</x:v>
      </x:c>
      <x:c r="E144" s="18" t="str">
        <x:v>Funded loan amount</x:v>
      </x:c>
      <x:c r="F144" s="23" t="n">
        <x:v>1113000</x:v>
      </x:c>
      <x:c r="G144" s="18" t="str">
        <x:v>USD</x:v>
      </x:c>
      <x:c r="H144" s="20" t="n">
        <x:v>46190.5</x:v>
      </x:c>
      <x:c r="I144" s="18" t="str">
        <x:v>VP001</x:v>
      </x:c>
    </x:row>
    <x:row r="145" ht="15" hidden="0" customHeight="1">
      <x:c r="A145" s="18" t="str">
        <x:v>TGT0144</x:v>
      </x:c>
      <x:c r="B145" s="18" t="str">
        <x:v>CY2026Q3</x:v>
      </x:c>
      <x:c r="C145" s="18" t="str">
        <x:v>Branch</x:v>
      </x:c>
      <x:c r="D145" s="18" t="str">
        <x:v>BR003</x:v>
      </x:c>
      <x:c r="E145" s="18" t="str">
        <x:v>Funded loan amount</x:v>
      </x:c>
      <x:c r="F145" s="23" t="n">
        <x:v>769500</x:v>
      </x:c>
      <x:c r="G145" s="18" t="str">
        <x:v>USD</x:v>
      </x:c>
      <x:c r="H145" s="20" t="n">
        <x:v>46190.5</x:v>
      </x:c>
      <x:c r="I145" s="18" t="str">
        <x:v>VP001</x:v>
      </x:c>
    </x:row>
    <x:row r="146" ht="15" hidden="0" customHeight="1">
      <x:c r="A146" s="18" t="str">
        <x:v>TGT0145</x:v>
      </x:c>
      <x:c r="B146" s="18" t="str">
        <x:v>CY2026Q3</x:v>
      </x:c>
      <x:c r="C146" s="18" t="str">
        <x:v>Branch</x:v>
      </x:c>
      <x:c r="D146" s="18" t="str">
        <x:v>BR004</x:v>
      </x:c>
      <x:c r="E146" s="18" t="str">
        <x:v>Funded loan amount</x:v>
      </x:c>
      <x:c r="F146" s="23" t="n">
        <x:v>1240500</x:v>
      </x:c>
      <x:c r="G146" s="18" t="str">
        <x:v>USD</x:v>
      </x:c>
      <x:c r="H146" s="20" t="n">
        <x:v>46190.5</x:v>
      </x:c>
      <x:c r="I146" s="18" t="str">
        <x:v>VP002</x:v>
      </x:c>
    </x:row>
    <x:row r="147" ht="15" hidden="0" customHeight="1">
      <x:c r="A147" s="18" t="str">
        <x:v>TGT0146</x:v>
      </x:c>
      <x:c r="B147" s="18" t="str">
        <x:v>CY2026Q3</x:v>
      </x:c>
      <x:c r="C147" s="18" t="str">
        <x:v>Branch</x:v>
      </x:c>
      <x:c r="D147" s="18" t="str">
        <x:v>BR005</x:v>
      </x:c>
      <x:c r="E147" s="18" t="str">
        <x:v>Funded loan amount</x:v>
      </x:c>
      <x:c r="F147" s="23" t="n">
        <x:v>869500</x:v>
      </x:c>
      <x:c r="G147" s="18" t="str">
        <x:v>USD</x:v>
      </x:c>
      <x:c r="H147" s="20" t="n">
        <x:v>46190.5</x:v>
      </x:c>
      <x:c r="I147" s="18" t="str">
        <x:v>VP002</x:v>
      </x:c>
    </x:row>
    <x:row r="148" ht="15" hidden="0" customHeight="1">
      <x:c r="A148" s="18" t="str">
        <x:v>TGT0147</x:v>
      </x:c>
      <x:c r="B148" s="18" t="str">
        <x:v>CY2026Q3</x:v>
      </x:c>
      <x:c r="C148" s="18" t="str">
        <x:v>Branch</x:v>
      </x:c>
      <x:c r="D148" s="18" t="str">
        <x:v>BR006</x:v>
      </x:c>
      <x:c r="E148" s="18" t="str">
        <x:v>Funded loan amount</x:v>
      </x:c>
      <x:c r="F148" s="23" t="n">
        <x:v>918500</x:v>
      </x:c>
      <x:c r="G148" s="18" t="str">
        <x:v>USD</x:v>
      </x:c>
      <x:c r="H148" s="20" t="n">
        <x:v>46190.5</x:v>
      </x:c>
      <x:c r="I148" s="18" t="str">
        <x:v>VP002</x:v>
      </x:c>
    </x:row>
  </x:sheetData>
  <x:pageMargins left="0.7" right="0.7" top="0.75" bottom="0.75" header="0.3" footer="0.3"/>
  <x:tableParts count="1">
    <x:tablePart xmlns:r="http://schemas.openxmlformats.org/officeDocument/2006/relationships" r:id="R2e8734d250054f70"/>
  </x:tableParts>
</x:worksheet>
</file>

<file path=xl/worksheets/sheet18.xml><?xml version="1.0" encoding="utf-8"?>
<x:worksheet xmlns:x="http://schemas.openxmlformats.org/spreadsheetml/2006/main">
  <x:sheetPr>
    <x:tabColor rgb="FFED7D3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3" hidden="0" customWidth="1"/>
    <x:col min="4" max="4" width="12" hidden="0" customWidth="1"/>
    <x:col min="5" max="5" width="15" hidden="0" customWidth="1"/>
    <x:col min="6" max="6" width="19" hidden="0" customWidth="1"/>
    <x:col min="7" max="7" width="15" hidden="0" customWidth="1"/>
    <x:col min="8" max="8" width="20" hidden="0" customWidth="1"/>
    <x:col min="9" max="9" width="13" hidden="0" customWidth="1"/>
    <x:col min="10" max="10" width="14" hidden="0" customWidth="1"/>
    <x:col min="11" max="11" width="17" hidden="0" customWidth="1"/>
  </x:cols>
  <x:sheetData>
    <x:row r="1" ht="30" hidden="0" customHeight="1">
      <x:c r="A1" s="15" t="str">
        <x:v>snapshot_id</x:v>
      </x:c>
      <x:c r="B1" s="16" t="str">
        <x:v>review_id</x:v>
      </x:c>
      <x:c r="C1" s="16" t="str">
        <x:v>employee_id</x:v>
      </x:c>
      <x:c r="D1" s="16" t="str">
        <x:v>cycle_id</x:v>
      </x:c>
      <x:c r="E1" s="16" t="str">
        <x:v>target_amount</x:v>
      </x:c>
      <x:c r="F1" s="16" t="str">
        <x:v>funded_loan_count</x:v>
      </x:c>
      <x:c r="G1" s="16" t="str">
        <x:v>funded_amount</x:v>
      </x:c>
      <x:c r="H1" s="16" t="str">
        <x:v>attainment_percent</x:v>
      </x:c>
      <x:c r="I1" s="16" t="str">
        <x:v>loan_rating</x:v>
      </x:c>
      <x:c r="J1" s="16" t="str">
        <x:v>snapshot_date</x:v>
      </x:c>
      <x:c r="K1" s="17" t="str">
        <x:v>snapshot_status</x:v>
      </x:c>
    </x:row>
    <x:row r="2" ht="15" hidden="0" customHeight="1">
      <x:c r="A2" s="18" t="str">
        <x:v>SNP0001</x:v>
      </x:c>
      <x:c r="B2" s="18" t="str">
        <x:v>REV0001</x:v>
      </x:c>
      <x:c r="C2" s="18" t="str">
        <x:v>EMP001</x:v>
      </x:c>
      <x:c r="D2" s="18" t="str">
        <x:v>CY2025Q1</x:v>
      </x:c>
      <x:c r="E2" s="23" t="n">
        <x:f>SUMIFS(performance_target!$F$2:$F$148,performance_target!$B$2:$B$148,D2,performance_target!$C$2:$C$148,"Employee",performance_target!$D$2:$D$148,C2)</x:f>
        <x:v>250000</x:v>
      </x:c>
      <x:c r="F2" s="25" t="n">
        <x:f>COUNTIFS(loan_transaction!$C$2:$C$954,C2,loan_transaction!$D$2:$D$954,D2,loan_transaction!$G$2:$G$954,"Funded")</x:f>
        <x:v>9</x:v>
      </x:c>
      <x:c r="G2" s="23" t="n">
        <x:f>SUMIFS(loan_transaction!$H$2:$H$954,loan_transaction!$C$2:$C$954,C2,loan_transaction!$D$2:$D$954,D2,loan_transaction!$G$2:$G$954,"Funded")</x:f>
        <x:v>353000</x:v>
      </x:c>
      <x:c r="H2" s="24" t="n">
        <x:f>IF(E2=0,"n.a.",G2/E2)</x:f>
        <x:v>1.412</x:v>
      </x:c>
      <x:c r="I2" s="26" t="n">
        <x:f>IF(H2&lt;0.7,1,IF(H2&lt;0.9,2,IF(H2&lt;1.1,3,IF(H2&lt;1.3,4,5))))</x:f>
        <x:v>5</x:v>
      </x:c>
      <x:c r="J2" s="20" t="n">
        <x:v>45748.5</x:v>
      </x:c>
      <x:c r="K2" s="18" t="str">
        <x:v>Final</x:v>
      </x:c>
    </x:row>
    <x:row r="3" ht="15" hidden="0" customHeight="1">
      <x:c r="A3" s="18" t="str">
        <x:v>SNP0002</x:v>
      </x:c>
      <x:c r="B3" s="18" t="str">
        <x:v>REV0002</x:v>
      </x:c>
      <x:c r="C3" s="18" t="str">
        <x:v>EMP002</x:v>
      </x:c>
      <x:c r="D3" s="18" t="str">
        <x:v>CY2025Q1</x:v>
      </x:c>
      <x:c r="E3" s="23" t="n">
        <x:f>SUMIFS(performance_target!$F$2:$F$148,performance_target!$B$2:$B$148,D3,performance_target!$C$2:$C$148,"Employee",performance_target!$D$2:$D$148,C3)</x:f>
        <x:v>273500</x:v>
      </x:c>
      <x:c r="F3" s="25" t="n">
        <x:f>COUNTIFS(loan_transaction!$C$2:$C$954,C3,loan_transaction!$D$2:$D$954,D3,loan_transaction!$G$2:$G$954,"Funded")</x:f>
        <x:v>7</x:v>
      </x:c>
      <x:c r="G3" s="23" t="n">
        <x:f>SUMIFS(loan_transaction!$H$2:$H$954,loan_transaction!$C$2:$C$954,C3,loan_transaction!$D$2:$D$954,D3,loan_transaction!$G$2:$G$954,"Funded")</x:f>
        <x:v>325000</x:v>
      </x:c>
      <x:c r="H3" s="24" t="n">
        <x:f>IF(E3=0,"n.a.",G3/E3)</x:f>
        <x:v>1.1882998171846435</x:v>
      </x:c>
      <x:c r="I3" s="26" t="n">
        <x:f>IF(H3&lt;0.7,1,IF(H3&lt;0.9,2,IF(H3&lt;1.1,3,IF(H3&lt;1.3,4,5))))</x:f>
        <x:v>4</x:v>
      </x:c>
      <x:c r="J3" s="20" t="n">
        <x:v>45748.5</x:v>
      </x:c>
      <x:c r="K3" s="18" t="str">
        <x:v>Final</x:v>
      </x:c>
    </x:row>
    <x:row r="4" ht="15" hidden="0" customHeight="1">
      <x:c r="A4" s="18" t="str">
        <x:v>SNP0003</x:v>
      </x:c>
      <x:c r="B4" s="18" t="str">
        <x:v>REV0003</x:v>
      </x:c>
      <x:c r="C4" s="18" t="str">
        <x:v>EMP003</x:v>
      </x:c>
      <x:c r="D4" s="18" t="str">
        <x:v>CY2025Q1</x:v>
      </x:c>
      <x:c r="E4" s="23" t="n">
        <x:f>SUMIFS(performance_target!$F$2:$F$148,performance_target!$B$2:$B$148,D4,performance_target!$C$2:$C$148,"Employee",performance_target!$D$2:$D$148,C4)</x:f>
        <x:v>297000</x:v>
      </x:c>
      <x:c r="F4" s="25" t="n">
        <x:f>COUNTIFS(loan_transaction!$C$2:$C$954,C4,loan_transaction!$D$2:$D$954,D4,loan_transaction!$G$2:$G$954,"Funded")</x:f>
        <x:v>6</x:v>
      </x:c>
      <x:c r="G4" s="23" t="n">
        <x:f>SUMIFS(loan_transaction!$H$2:$H$954,loan_transaction!$C$2:$C$954,C4,loan_transaction!$D$2:$D$954,D4,loan_transaction!$G$2:$G$954,"Funded")</x:f>
        <x:v>283000</x:v>
      </x:c>
      <x:c r="H4" s="24" t="n">
        <x:f>IF(E4=0,"n.a.",G4/E4)</x:f>
        <x:v>0.9528619528619529</x:v>
      </x:c>
      <x:c r="I4" s="26" t="n">
        <x:f>IF(H4&lt;0.7,1,IF(H4&lt;0.9,2,IF(H4&lt;1.1,3,IF(H4&lt;1.3,4,5))))</x:f>
        <x:v>3</x:v>
      </x:c>
      <x:c r="J4" s="20" t="n">
        <x:v>45748.5</x:v>
      </x:c>
      <x:c r="K4" s="18" t="str">
        <x:v>Final</x:v>
      </x:c>
    </x:row>
    <x:row r="5" ht="15" hidden="0" customHeight="1">
      <x:c r="A5" s="18" t="str">
        <x:v>SNP0004</x:v>
      </x:c>
      <x:c r="B5" s="18" t="str">
        <x:v>REV0004</x:v>
      </x:c>
      <x:c r="C5" s="18" t="str">
        <x:v>EMP004</x:v>
      </x:c>
      <x:c r="D5" s="18" t="str">
        <x:v>CY2025Q1</x:v>
      </x:c>
      <x:c r="E5" s="23" t="n">
        <x:f>SUMIFS(performance_target!$F$2:$F$148,performance_target!$B$2:$B$148,D5,performance_target!$C$2:$C$148,"Employee",performance_target!$D$2:$D$148,C5)</x:f>
        <x:v>275500</x:v>
      </x:c>
      <x:c r="F5" s="25" t="n">
        <x:f>COUNTIFS(loan_transaction!$C$2:$C$954,C5,loan_transaction!$D$2:$D$954,D5,loan_transaction!$G$2:$G$954,"Funded")</x:f>
        <x:v>5</x:v>
      </x:c>
      <x:c r="G5" s="23" t="n">
        <x:f>SUMIFS(loan_transaction!$H$2:$H$954,loan_transaction!$C$2:$C$954,C5,loan_transaction!$D$2:$D$954,D5,loan_transaction!$G$2:$G$954,"Funded")</x:f>
        <x:v>218000</x:v>
      </x:c>
      <x:c r="H5" s="24" t="n">
        <x:f>IF(E5=0,"n.a.",G5/E5)</x:f>
        <x:v>0.7912885662431942</x:v>
      </x:c>
      <x:c r="I5" s="26" t="n">
        <x:f>IF(H5&lt;0.7,1,IF(H5&lt;0.9,2,IF(H5&lt;1.1,3,IF(H5&lt;1.3,4,5))))</x:f>
        <x:v>2</x:v>
      </x:c>
      <x:c r="J5" s="20" t="n">
        <x:v>45748.5</x:v>
      </x:c>
      <x:c r="K5" s="18" t="str">
        <x:v>Final</x:v>
      </x:c>
    </x:row>
    <x:row r="6" ht="15" hidden="0" customHeight="1">
      <x:c r="A6" s="18" t="str">
        <x:v>SNP0005</x:v>
      </x:c>
      <x:c r="B6" s="18" t="str">
        <x:v>REV0005</x:v>
      </x:c>
      <x:c r="C6" s="18" t="str">
        <x:v>EMP005</x:v>
      </x:c>
      <x:c r="D6" s="18" t="str">
        <x:v>CY2025Q1</x:v>
      </x:c>
      <x:c r="E6" s="23" t="n">
        <x:f>SUMIFS(performance_target!$F$2:$F$148,performance_target!$B$2:$B$148,D6,performance_target!$C$2:$C$148,"Employee",performance_target!$D$2:$D$148,C6)</x:f>
        <x:v>299000</x:v>
      </x:c>
      <x:c r="F6" s="25" t="n">
        <x:f>COUNTIFS(loan_transaction!$C$2:$C$954,C6,loan_transaction!$D$2:$D$954,D6,loan_transaction!$G$2:$G$954,"Funded")</x:f>
        <x:v>8</x:v>
      </x:c>
      <x:c r="G6" s="23" t="n">
        <x:f>SUMIFS(loan_transaction!$H$2:$H$954,loan_transaction!$C$2:$C$954,C6,loan_transaction!$D$2:$D$954,D6,loan_transaction!$G$2:$G$954,"Funded")</x:f>
        <x:v>377000</x:v>
      </x:c>
      <x:c r="H6" s="24" t="n">
        <x:f>IF(E6=0,"n.a.",G6/E6)</x:f>
        <x:v>1.2608695652173914</x:v>
      </x:c>
      <x:c r="I6" s="26" t="n">
        <x:f>IF(H6&lt;0.7,1,IF(H6&lt;0.9,2,IF(H6&lt;1.1,3,IF(H6&lt;1.3,4,5))))</x:f>
        <x:v>4</x:v>
      </x:c>
      <x:c r="J6" s="20" t="n">
        <x:v>45748.5</x:v>
      </x:c>
      <x:c r="K6" s="18" t="str">
        <x:v>Final</x:v>
      </x:c>
    </x:row>
    <x:row r="7" ht="15" hidden="0" customHeight="1">
      <x:c r="A7" s="18" t="str">
        <x:v>SNP0006</x:v>
      </x:c>
      <x:c r="B7" s="18" t="str">
        <x:v>REV0006</x:v>
      </x:c>
      <x:c r="C7" s="18" t="str">
        <x:v>EMP006</x:v>
      </x:c>
      <x:c r="D7" s="18" t="str">
        <x:v>CY2025Q1</x:v>
      </x:c>
      <x:c r="E7" s="23" t="n">
        <x:f>SUMIFS(performance_target!$F$2:$F$148,performance_target!$B$2:$B$148,D7,performance_target!$C$2:$C$148,"Employee",performance_target!$D$2:$D$148,C7)</x:f>
        <x:v>322500</x:v>
      </x:c>
      <x:c r="F7" s="25" t="n">
        <x:f>COUNTIFS(loan_transaction!$C$2:$C$954,C7,loan_transaction!$D$2:$D$954,D7,loan_transaction!$G$2:$G$954,"Funded")</x:f>
        <x:v>9</x:v>
      </x:c>
      <x:c r="G7" s="23" t="n">
        <x:f>SUMIFS(loan_transaction!$H$2:$H$954,loan_transaction!$C$2:$C$954,C7,loan_transaction!$D$2:$D$954,D7,loan_transaction!$G$2:$G$954,"Funded")</x:f>
        <x:v>397000</x:v>
      </x:c>
      <x:c r="H7" s="24" t="n">
        <x:f>IF(E7=0,"n.a.",G7/E7)</x:f>
        <x:v>1.2310077519379845</x:v>
      </x:c>
      <x:c r="I7" s="26" t="n">
        <x:f>IF(H7&lt;0.7,1,IF(H7&lt;0.9,2,IF(H7&lt;1.1,3,IF(H7&lt;1.3,4,5))))</x:f>
        <x:v>4</x:v>
      </x:c>
      <x:c r="J7" s="20" t="n">
        <x:v>45748.5</x:v>
      </x:c>
      <x:c r="K7" s="18" t="str">
        <x:v>Final</x:v>
      </x:c>
    </x:row>
    <x:row r="8" ht="15" hidden="0" customHeight="1">
      <x:c r="A8" s="18" t="str">
        <x:v>SNP0007</x:v>
      </x:c>
      <x:c r="B8" s="18" t="str">
        <x:v>REV0007</x:v>
      </x:c>
      <x:c r="C8" s="18" t="str">
        <x:v>EMP007</x:v>
      </x:c>
      <x:c r="D8" s="18" t="str">
        <x:v>CY2025Q1</x:v>
      </x:c>
      <x:c r="E8" s="23" t="n">
        <x:f>SUMIFS(performance_target!$F$2:$F$148,performance_target!$B$2:$B$148,D8,performance_target!$C$2:$C$148,"Employee",performance_target!$D$2:$D$148,C8)</x:f>
        <x:v>301000</x:v>
      </x:c>
      <x:c r="F8" s="25" t="n">
        <x:f>COUNTIFS(loan_transaction!$C$2:$C$954,C8,loan_transaction!$D$2:$D$954,D8,loan_transaction!$G$2:$G$954,"Funded")</x:f>
        <x:v>6</x:v>
      </x:c>
      <x:c r="G8" s="23" t="n">
        <x:f>SUMIFS(loan_transaction!$H$2:$H$954,loan_transaction!$C$2:$C$954,C8,loan_transaction!$D$2:$D$954,D8,loan_transaction!$G$2:$G$954,"Funded")</x:f>
        <x:v>237000</x:v>
      </x:c>
      <x:c r="H8" s="24" t="n">
        <x:f>IF(E8=0,"n.a.",G8/E8)</x:f>
        <x:v>0.7873754152823921</x:v>
      </x:c>
      <x:c r="I8" s="26" t="n">
        <x:f>IF(H8&lt;0.7,1,IF(H8&lt;0.9,2,IF(H8&lt;1.1,3,IF(H8&lt;1.3,4,5))))</x:f>
        <x:v>2</x:v>
      </x:c>
      <x:c r="J8" s="20" t="n">
        <x:v>45748.5</x:v>
      </x:c>
      <x:c r="K8" s="18" t="str">
        <x:v>Final</x:v>
      </x:c>
    </x:row>
    <x:row r="9" ht="15" hidden="0" customHeight="1">
      <x:c r="A9" s="18" t="str">
        <x:v>SNP0008</x:v>
      </x:c>
      <x:c r="B9" s="18" t="str">
        <x:v>REV0008</x:v>
      </x:c>
      <x:c r="C9" s="18" t="str">
        <x:v>EMP008</x:v>
      </x:c>
      <x:c r="D9" s="18" t="str">
        <x:v>CY2025Q1</x:v>
      </x:c>
      <x:c r="E9" s="23" t="n">
        <x:f>SUMIFS(performance_target!$F$2:$F$148,performance_target!$B$2:$B$148,D9,performance_target!$C$2:$C$148,"Employee",performance_target!$D$2:$D$148,C9)</x:f>
        <x:v>324500</x:v>
      </x:c>
      <x:c r="F9" s="25" t="n">
        <x:f>COUNTIFS(loan_transaction!$C$2:$C$954,C9,loan_transaction!$D$2:$D$954,D9,loan_transaction!$G$2:$G$954,"Funded")</x:f>
        <x:v>4</x:v>
      </x:c>
      <x:c r="G9" s="23" t="n">
        <x:f>SUMIFS(loan_transaction!$H$2:$H$954,loan_transaction!$C$2:$C$954,C9,loan_transaction!$D$2:$D$954,D9,loan_transaction!$G$2:$G$954,"Funded")</x:f>
        <x:v>192000</x:v>
      </x:c>
      <x:c r="H9" s="24" t="n">
        <x:f>IF(E9=0,"n.a.",G9/E9)</x:f>
        <x:v>0.5916795069337443</x:v>
      </x:c>
      <x:c r="I9" s="26" t="n">
        <x:f>IF(H9&lt;0.7,1,IF(H9&lt;0.9,2,IF(H9&lt;1.1,3,IF(H9&lt;1.3,4,5))))</x:f>
        <x:v>1</x:v>
      </x:c>
      <x:c r="J9" s="20" t="n">
        <x:v>45748.5</x:v>
      </x:c>
      <x:c r="K9" s="18" t="str">
        <x:v>Final</x:v>
      </x:c>
    </x:row>
    <x:row r="10" ht="15" hidden="0" customHeight="1">
      <x:c r="A10" s="18" t="str">
        <x:v>SNP0009</x:v>
      </x:c>
      <x:c r="B10" s="18" t="str">
        <x:v>REV0009</x:v>
      </x:c>
      <x:c r="C10" s="18" t="str">
        <x:v>EMP009</x:v>
      </x:c>
      <x:c r="D10" s="18" t="str">
        <x:v>CY2025Q1</x:v>
      </x:c>
      <x:c r="E10" s="23" t="n">
        <x:f>SUMIFS(performance_target!$F$2:$F$148,performance_target!$B$2:$B$148,D10,performance_target!$C$2:$C$148,"Employee",performance_target!$D$2:$D$148,C10)</x:f>
        <x:v>348000</x:v>
      </x:c>
      <x:c r="F10" s="25" t="n">
        <x:f>COUNTIFS(loan_transaction!$C$2:$C$954,C10,loan_transaction!$D$2:$D$954,D10,loan_transaction!$G$2:$G$954,"Funded")</x:f>
        <x:v>12</x:v>
      </x:c>
      <x:c r="G10" s="23" t="n">
        <x:f>SUMIFS(loan_transaction!$H$2:$H$954,loan_transaction!$C$2:$C$954,C10,loan_transaction!$D$2:$D$954,D10,loan_transaction!$G$2:$G$954,"Funded")</x:f>
        <x:v>474000</x:v>
      </x:c>
      <x:c r="H10" s="24" t="n">
        <x:f>IF(E10=0,"n.a.",G10/E10)</x:f>
        <x:v>1.3620689655172413</x:v>
      </x:c>
      <x:c r="I10" s="26" t="n">
        <x:f>IF(H10&lt;0.7,1,IF(H10&lt;0.9,2,IF(H10&lt;1.1,3,IF(H10&lt;1.3,4,5))))</x:f>
        <x:v>5</x:v>
      </x:c>
      <x:c r="J10" s="20" t="n">
        <x:v>45748.5</x:v>
      </x:c>
      <x:c r="K10" s="18" t="str">
        <x:v>Final</x:v>
      </x:c>
    </x:row>
    <x:row r="11" ht="15" hidden="0" customHeight="1">
      <x:c r="A11" s="18" t="str">
        <x:v>SNP0010</x:v>
      </x:c>
      <x:c r="B11" s="18" t="str">
        <x:v>REV0010</x:v>
      </x:c>
      <x:c r="C11" s="18" t="str">
        <x:v>EMP010</x:v>
      </x:c>
      <x:c r="D11" s="18" t="str">
        <x:v>CY2025Q1</x:v>
      </x:c>
      <x:c r="E11" s="23" t="n">
        <x:f>SUMIFS(performance_target!$F$2:$F$148,performance_target!$B$2:$B$148,D11,performance_target!$C$2:$C$148,"Employee",performance_target!$D$2:$D$148,C11)</x:f>
        <x:v>326500</x:v>
      </x:c>
      <x:c r="F11" s="25" t="n">
        <x:f>COUNTIFS(loan_transaction!$C$2:$C$954,C11,loan_transaction!$D$2:$D$954,D11,loan_transaction!$G$2:$G$954,"Funded")</x:f>
        <x:v>10</x:v>
      </x:c>
      <x:c r="G11" s="23" t="n">
        <x:f>SUMIFS(loan_transaction!$H$2:$H$954,loan_transaction!$C$2:$C$954,C11,loan_transaction!$D$2:$D$954,D11,loan_transaction!$G$2:$G$954,"Funded")</x:f>
        <x:v>389000</x:v>
      </x:c>
      <x:c r="H11" s="24" t="n">
        <x:f>IF(E11=0,"n.a.",G11/E11)</x:f>
        <x:v>1.1914241960183767</x:v>
      </x:c>
      <x:c r="I11" s="26" t="n">
        <x:f>IF(H11&lt;0.7,1,IF(H11&lt;0.9,2,IF(H11&lt;1.1,3,IF(H11&lt;1.3,4,5))))</x:f>
        <x:v>4</x:v>
      </x:c>
      <x:c r="J11" s="20" t="n">
        <x:v>45748.5</x:v>
      </x:c>
      <x:c r="K11" s="18" t="str">
        <x:v>Final</x:v>
      </x:c>
    </x:row>
    <x:row r="12" ht="15" hidden="0" customHeight="1">
      <x:c r="A12" s="18" t="str">
        <x:v>SNP0011</x:v>
      </x:c>
      <x:c r="B12" s="18" t="str">
        <x:v>REV0011</x:v>
      </x:c>
      <x:c r="C12" s="18" t="str">
        <x:v>EMP011</x:v>
      </x:c>
      <x:c r="D12" s="18" t="str">
        <x:v>CY2025Q1</x:v>
      </x:c>
      <x:c r="E12" s="23" t="n">
        <x:f>SUMIFS(performance_target!$F$2:$F$148,performance_target!$B$2:$B$148,D12,performance_target!$C$2:$C$148,"Employee",performance_target!$D$2:$D$148,C12)</x:f>
        <x:v>350000</x:v>
      </x:c>
      <x:c r="F12" s="25" t="n">
        <x:f>COUNTIFS(loan_transaction!$C$2:$C$954,C12,loan_transaction!$D$2:$D$954,D12,loan_transaction!$G$2:$G$954,"Funded")</x:f>
        <x:v>8</x:v>
      </x:c>
      <x:c r="G12" s="23" t="n">
        <x:f>SUMIFS(loan_transaction!$H$2:$H$954,loan_transaction!$C$2:$C$954,C12,loan_transaction!$D$2:$D$954,D12,loan_transaction!$G$2:$G$954,"Funded")</x:f>
        <x:v>362000</x:v>
      </x:c>
      <x:c r="H12" s="24" t="n">
        <x:f>IF(E12=0,"n.a.",G12/E12)</x:f>
        <x:v>1.0342857142857143</x:v>
      </x:c>
      <x:c r="I12" s="26" t="n">
        <x:f>IF(H12&lt;0.7,1,IF(H12&lt;0.9,2,IF(H12&lt;1.1,3,IF(H12&lt;1.3,4,5))))</x:f>
        <x:v>3</x:v>
      </x:c>
      <x:c r="J12" s="20" t="n">
        <x:v>45748.5</x:v>
      </x:c>
      <x:c r="K12" s="18" t="str">
        <x:v>Final</x:v>
      </x:c>
    </x:row>
    <x:row r="13" ht="15" hidden="0" customHeight="1">
      <x:c r="A13" s="18" t="str">
        <x:v>SNP0012</x:v>
      </x:c>
      <x:c r="B13" s="18" t="str">
        <x:v>REV0012</x:v>
      </x:c>
      <x:c r="C13" s="18" t="str">
        <x:v>EMP012</x:v>
      </x:c>
      <x:c r="D13" s="18" t="str">
        <x:v>CY2025Q1</x:v>
      </x:c>
      <x:c r="E13" s="23" t="n">
        <x:f>SUMIFS(performance_target!$F$2:$F$148,performance_target!$B$2:$B$148,D13,performance_target!$C$2:$C$148,"Employee",performance_target!$D$2:$D$148,C13)</x:f>
        <x:v>373500</x:v>
      </x:c>
      <x:c r="F13" s="25" t="n">
        <x:f>COUNTIFS(loan_transaction!$C$2:$C$954,C13,loan_transaction!$D$2:$D$954,D13,loan_transaction!$G$2:$G$954,"Funded")</x:f>
        <x:v>10</x:v>
      </x:c>
      <x:c r="G13" s="23" t="n">
        <x:f>SUMIFS(loan_transaction!$H$2:$H$954,loan_transaction!$C$2:$C$954,C13,loan_transaction!$D$2:$D$954,D13,loan_transaction!$G$2:$G$954,"Funded")</x:f>
        <x:v>371000</x:v>
      </x:c>
      <x:c r="H13" s="24" t="n">
        <x:f>IF(E13=0,"n.a.",G13/E13)</x:f>
        <x:v>0.9933065595716198</x:v>
      </x:c>
      <x:c r="I13" s="26" t="n">
        <x:f>IF(H13&lt;0.7,1,IF(H13&lt;0.9,2,IF(H13&lt;1.1,3,IF(H13&lt;1.3,4,5))))</x:f>
        <x:v>3</x:v>
      </x:c>
      <x:c r="J13" s="20" t="n">
        <x:v>45748.5</x:v>
      </x:c>
      <x:c r="K13" s="18" t="str">
        <x:v>Final</x:v>
      </x:c>
    </x:row>
    <x:row r="14" ht="15" hidden="0" customHeight="1">
      <x:c r="A14" s="18" t="str">
        <x:v>SNP0013</x:v>
      </x:c>
      <x:c r="B14" s="18" t="str">
        <x:v>REV0013</x:v>
      </x:c>
      <x:c r="C14" s="18" t="str">
        <x:v>EMP013</x:v>
      </x:c>
      <x:c r="D14" s="18" t="str">
        <x:v>CY2025Q1</x:v>
      </x:c>
      <x:c r="E14" s="23" t="n">
        <x:f>SUMIFS(performance_target!$F$2:$F$148,performance_target!$B$2:$B$148,D14,performance_target!$C$2:$C$148,"Employee",performance_target!$D$2:$D$148,C14)</x:f>
        <x:v>352000</x:v>
      </x:c>
      <x:c r="F14" s="25" t="n">
        <x:f>COUNTIFS(loan_transaction!$C$2:$C$954,C14,loan_transaction!$D$2:$D$954,D14,loan_transaction!$G$2:$G$954,"Funded")</x:f>
        <x:v>10</x:v>
      </x:c>
      <x:c r="G14" s="23" t="n">
        <x:f>SUMIFS(loan_transaction!$H$2:$H$954,loan_transaction!$C$2:$C$954,C14,loan_transaction!$D$2:$D$954,D14,loan_transaction!$G$2:$G$954,"Funded")</x:f>
        <x:v>436000</x:v>
      </x:c>
      <x:c r="H14" s="24" t="n">
        <x:f>IF(E14=0,"n.a.",G14/E14)</x:f>
        <x:v>1.2386363636363635</x:v>
      </x:c>
      <x:c r="I14" s="26" t="n">
        <x:f>IF(H14&lt;0.7,1,IF(H14&lt;0.9,2,IF(H14&lt;1.1,3,IF(H14&lt;1.3,4,5))))</x:f>
        <x:v>4</x:v>
      </x:c>
      <x:c r="J14" s="20" t="n">
        <x:v>45748.5</x:v>
      </x:c>
      <x:c r="K14" s="18" t="str">
        <x:v>Final</x:v>
      </x:c>
    </x:row>
    <x:row r="15" ht="15" hidden="0" customHeight="1">
      <x:c r="A15" s="18" t="str">
        <x:v>SNP0014</x:v>
      </x:c>
      <x:c r="B15" s="18" t="str">
        <x:v>REV0014</x:v>
      </x:c>
      <x:c r="C15" s="18" t="str">
        <x:v>EMP014</x:v>
      </x:c>
      <x:c r="D15" s="18" t="str">
        <x:v>CY2025Q1</x:v>
      </x:c>
      <x:c r="E15" s="23" t="n">
        <x:f>SUMIFS(performance_target!$F$2:$F$148,performance_target!$B$2:$B$148,D15,performance_target!$C$2:$C$148,"Employee",performance_target!$D$2:$D$148,C15)</x:f>
        <x:v>375500</x:v>
      </x:c>
      <x:c r="F15" s="25" t="n">
        <x:f>COUNTIFS(loan_transaction!$C$2:$C$954,C15,loan_transaction!$D$2:$D$954,D15,loan_transaction!$G$2:$G$954,"Funded")</x:f>
        <x:v>7</x:v>
      </x:c>
      <x:c r="G15" s="23" t="n">
        <x:f>SUMIFS(loan_transaction!$H$2:$H$954,loan_transaction!$C$2:$C$954,C15,loan_transaction!$D$2:$D$954,D15,loan_transaction!$G$2:$G$954,"Funded")</x:f>
        <x:v>322000</x:v>
      </x:c>
      <x:c r="H15" s="24" t="n">
        <x:f>IF(E15=0,"n.a.",G15/E15)</x:f>
        <x:v>0.8575233022636485</x:v>
      </x:c>
      <x:c r="I15" s="26" t="n">
        <x:f>IF(H15&lt;0.7,1,IF(H15&lt;0.9,2,IF(H15&lt;1.1,3,IF(H15&lt;1.3,4,5))))</x:f>
        <x:v>2</x:v>
      </x:c>
      <x:c r="J15" s="20" t="n">
        <x:v>45748.5</x:v>
      </x:c>
      <x:c r="K15" s="18" t="str">
        <x:v>Final</x:v>
      </x:c>
    </x:row>
    <x:row r="16" ht="15" hidden="0" customHeight="1">
      <x:c r="A16" s="18" t="str">
        <x:v>SNP0015</x:v>
      </x:c>
      <x:c r="B16" s="18" t="str">
        <x:v>REV0015</x:v>
      </x:c>
      <x:c r="C16" s="18" t="str">
        <x:v>EMP015</x:v>
      </x:c>
      <x:c r="D16" s="18" t="str">
        <x:v>CY2025Q1</x:v>
      </x:c>
      <x:c r="E16" s="23" t="n">
        <x:f>SUMIFS(performance_target!$F$2:$F$148,performance_target!$B$2:$B$148,D16,performance_target!$C$2:$C$148,"Employee",performance_target!$D$2:$D$148,C16)</x:f>
        <x:v>399000</x:v>
      </x:c>
      <x:c r="F16" s="25" t="n">
        <x:f>COUNTIFS(loan_transaction!$C$2:$C$954,C16,loan_transaction!$D$2:$D$954,D16,loan_transaction!$G$2:$G$954,"Funded")</x:f>
        <x:v>6</x:v>
      </x:c>
      <x:c r="G16" s="23" t="n">
        <x:f>SUMIFS(loan_transaction!$H$2:$H$954,loan_transaction!$C$2:$C$954,C16,loan_transaction!$D$2:$D$954,D16,loan_transaction!$G$2:$G$954,"Funded")</x:f>
        <x:v>208000</x:v>
      </x:c>
      <x:c r="H16" s="24" t="n">
        <x:f>IF(E16=0,"n.a.",G16/E16)</x:f>
        <x:v>0.5213032581453634</x:v>
      </x:c>
      <x:c r="I16" s="26" t="n">
        <x:f>IF(H16&lt;0.7,1,IF(H16&lt;0.9,2,IF(H16&lt;1.1,3,IF(H16&lt;1.3,4,5))))</x:f>
        <x:v>1</x:v>
      </x:c>
      <x:c r="J16" s="20" t="n">
        <x:v>45748.5</x:v>
      </x:c>
      <x:c r="K16" s="18" t="str">
        <x:v>Final</x:v>
      </x:c>
    </x:row>
    <x:row r="17" ht="15" hidden="0" customHeight="1">
      <x:c r="A17" s="18" t="str">
        <x:v>SNP0016</x:v>
      </x:c>
      <x:c r="B17" s="18" t="str">
        <x:v>REV0016</x:v>
      </x:c>
      <x:c r="C17" s="18" t="str">
        <x:v>EMP001</x:v>
      </x:c>
      <x:c r="D17" s="18" t="str">
        <x:v>CY2025Q2</x:v>
      </x:c>
      <x:c r="E17" s="23" t="n">
        <x:f>SUMIFS(performance_target!$F$2:$F$148,performance_target!$B$2:$B$148,D17,performance_target!$C$2:$C$148,"Employee",performance_target!$D$2:$D$148,C17)</x:f>
        <x:v>262000</x:v>
      </x:c>
      <x:c r="F17" s="25" t="n">
        <x:f>COUNTIFS(loan_transaction!$C$2:$C$954,C17,loan_transaction!$D$2:$D$954,D17,loan_transaction!$G$2:$G$954,"Funded")</x:f>
        <x:v>9</x:v>
      </x:c>
      <x:c r="G17" s="23" t="n">
        <x:f>SUMIFS(loan_transaction!$H$2:$H$954,loan_transaction!$C$2:$C$954,C17,loan_transaction!$D$2:$D$954,D17,loan_transaction!$G$2:$G$954,"Funded")</x:f>
        <x:v>364000</x:v>
      </x:c>
      <x:c r="H17" s="24" t="n">
        <x:f>IF(E17=0,"n.a.",G17/E17)</x:f>
        <x:v>1.3893129770992367</x:v>
      </x:c>
      <x:c r="I17" s="26" t="n">
        <x:f>IF(H17&lt;0.7,1,IF(H17&lt;0.9,2,IF(H17&lt;1.1,3,IF(H17&lt;1.3,4,5))))</x:f>
        <x:v>5</x:v>
      </x:c>
      <x:c r="J17" s="20" t="n">
        <x:v>45839.5</x:v>
      </x:c>
      <x:c r="K17" s="18" t="str">
        <x:v>Final</x:v>
      </x:c>
    </x:row>
    <x:row r="18" ht="15" hidden="0" customHeight="1">
      <x:c r="A18" s="18" t="str">
        <x:v>SNP0017</x:v>
      </x:c>
      <x:c r="B18" s="18" t="str">
        <x:v>REV0017</x:v>
      </x:c>
      <x:c r="C18" s="18" t="str">
        <x:v>EMP002</x:v>
      </x:c>
      <x:c r="D18" s="18" t="str">
        <x:v>CY2025Q2</x:v>
      </x:c>
      <x:c r="E18" s="23" t="n">
        <x:f>SUMIFS(performance_target!$F$2:$F$148,performance_target!$B$2:$B$148,D18,performance_target!$C$2:$C$148,"Employee",performance_target!$D$2:$D$148,C18)</x:f>
        <x:v>285500</x:v>
      </x:c>
      <x:c r="F18" s="25" t="n">
        <x:f>COUNTIFS(loan_transaction!$C$2:$C$954,C18,loan_transaction!$D$2:$D$954,D18,loan_transaction!$G$2:$G$954,"Funded")</x:f>
        <x:v>10</x:v>
      </x:c>
      <x:c r="G18" s="23" t="n">
        <x:f>SUMIFS(loan_transaction!$H$2:$H$954,loan_transaction!$C$2:$C$954,C18,loan_transaction!$D$2:$D$954,D18,loan_transaction!$G$2:$G$954,"Funded")</x:f>
        <x:v>349000</x:v>
      </x:c>
      <x:c r="H18" s="24" t="n">
        <x:f>IF(E18=0,"n.a.",G18/E18)</x:f>
        <x:v>1.222416812609457</x:v>
      </x:c>
      <x:c r="I18" s="26" t="n">
        <x:f>IF(H18&lt;0.7,1,IF(H18&lt;0.9,2,IF(H18&lt;1.1,3,IF(H18&lt;1.3,4,5))))</x:f>
        <x:v>4</x:v>
      </x:c>
      <x:c r="J18" s="20" t="n">
        <x:v>45839.5</x:v>
      </x:c>
      <x:c r="K18" s="18" t="str">
        <x:v>Final</x:v>
      </x:c>
    </x:row>
    <x:row r="19" ht="15" hidden="0" customHeight="1">
      <x:c r="A19" s="18" t="str">
        <x:v>SNP0018</x:v>
      </x:c>
      <x:c r="B19" s="18" t="str">
        <x:v>REV0018</x:v>
      </x:c>
      <x:c r="C19" s="18" t="str">
        <x:v>EMP003</x:v>
      </x:c>
      <x:c r="D19" s="18" t="str">
        <x:v>CY2025Q2</x:v>
      </x:c>
      <x:c r="E19" s="23" t="n">
        <x:f>SUMIFS(performance_target!$F$2:$F$148,performance_target!$B$2:$B$148,D19,performance_target!$C$2:$C$148,"Employee",performance_target!$D$2:$D$148,C19)</x:f>
        <x:v>309000</x:v>
      </x:c>
      <x:c r="F19" s="25" t="n">
        <x:f>COUNTIFS(loan_transaction!$C$2:$C$954,C19,loan_transaction!$D$2:$D$954,D19,loan_transaction!$G$2:$G$954,"Funded")</x:f>
        <x:v>5</x:v>
      </x:c>
      <x:c r="G19" s="23" t="n">
        <x:f>SUMIFS(loan_transaction!$H$2:$H$954,loan_transaction!$C$2:$C$954,C19,loan_transaction!$D$2:$D$954,D19,loan_transaction!$G$2:$G$954,"Funded")</x:f>
        <x:v>251000</x:v>
      </x:c>
      <x:c r="H19" s="24" t="n">
        <x:f>IF(E19=0,"n.a.",G19/E19)</x:f>
        <x:v>0.8122977346278317</x:v>
      </x:c>
      <x:c r="I19" s="26" t="n">
        <x:f>IF(H19&lt;0.7,1,IF(H19&lt;0.9,2,IF(H19&lt;1.1,3,IF(H19&lt;1.3,4,5))))</x:f>
        <x:v>2</x:v>
      </x:c>
      <x:c r="J19" s="20" t="n">
        <x:v>45839.5</x:v>
      </x:c>
      <x:c r="K19" s="18" t="str">
        <x:v>Final</x:v>
      </x:c>
    </x:row>
    <x:row r="20" ht="15" hidden="0" customHeight="1">
      <x:c r="A20" s="18" t="str">
        <x:v>SNP0019</x:v>
      </x:c>
      <x:c r="B20" s="18" t="str">
        <x:v>REV0019</x:v>
      </x:c>
      <x:c r="C20" s="18" t="str">
        <x:v>EMP004</x:v>
      </x:c>
      <x:c r="D20" s="18" t="str">
        <x:v>CY2025Q2</x:v>
      </x:c>
      <x:c r="E20" s="23" t="n">
        <x:f>SUMIFS(performance_target!$F$2:$F$148,performance_target!$B$2:$B$148,D20,performance_target!$C$2:$C$148,"Employee",performance_target!$D$2:$D$148,C20)</x:f>
        <x:v>287500</x:v>
      </x:c>
      <x:c r="F20" s="25" t="n">
        <x:f>COUNTIFS(loan_transaction!$C$2:$C$954,C20,loan_transaction!$D$2:$D$954,D20,loan_transaction!$G$2:$G$954,"Funded")</x:f>
        <x:v>6</x:v>
      </x:c>
      <x:c r="G20" s="23" t="n">
        <x:f>SUMIFS(loan_transaction!$H$2:$H$954,loan_transaction!$C$2:$C$954,C20,loan_transaction!$D$2:$D$954,D20,loan_transaction!$G$2:$G$954,"Funded")</x:f>
        <x:v>220000</x:v>
      </x:c>
      <x:c r="H20" s="24" t="n">
        <x:f>IF(E20=0,"n.a.",G20/E20)</x:f>
        <x:v>0.7652173913043478</x:v>
      </x:c>
      <x:c r="I20" s="26" t="n">
        <x:f>IF(H20&lt;0.7,1,IF(H20&lt;0.9,2,IF(H20&lt;1.1,3,IF(H20&lt;1.3,4,5))))</x:f>
        <x:v>2</x:v>
      </x:c>
      <x:c r="J20" s="20" t="n">
        <x:v>45839.5</x:v>
      </x:c>
      <x:c r="K20" s="18" t="str">
        <x:v>Final</x:v>
      </x:c>
    </x:row>
    <x:row r="21" ht="15" hidden="0" customHeight="1">
      <x:c r="A21" s="18" t="str">
        <x:v>SNP0020</x:v>
      </x:c>
      <x:c r="B21" s="18" t="str">
        <x:v>REV0020</x:v>
      </x:c>
      <x:c r="C21" s="18" t="str">
        <x:v>EMP005</x:v>
      </x:c>
      <x:c r="D21" s="18" t="str">
        <x:v>CY2025Q2</x:v>
      </x:c>
      <x:c r="E21" s="23" t="n">
        <x:f>SUMIFS(performance_target!$F$2:$F$148,performance_target!$B$2:$B$148,D21,performance_target!$C$2:$C$148,"Employee",performance_target!$D$2:$D$148,C21)</x:f>
        <x:v>311000</x:v>
      </x:c>
      <x:c r="F21" s="25" t="n">
        <x:f>COUNTIFS(loan_transaction!$C$2:$C$954,C21,loan_transaction!$D$2:$D$954,D21,loan_transaction!$G$2:$G$954,"Funded")</x:f>
        <x:v>9</x:v>
      </x:c>
      <x:c r="G21" s="23" t="n">
        <x:f>SUMIFS(loan_transaction!$H$2:$H$954,loan_transaction!$C$2:$C$954,C21,loan_transaction!$D$2:$D$954,D21,loan_transaction!$G$2:$G$954,"Funded")</x:f>
        <x:v>363000</x:v>
      </x:c>
      <x:c r="H21" s="24" t="n">
        <x:f>IF(E21=0,"n.a.",G21/E21)</x:f>
        <x:v>1.167202572347267</x:v>
      </x:c>
      <x:c r="I21" s="26" t="n">
        <x:f>IF(H21&lt;0.7,1,IF(H21&lt;0.9,2,IF(H21&lt;1.1,3,IF(H21&lt;1.3,4,5))))</x:f>
        <x:v>4</x:v>
      </x:c>
      <x:c r="J21" s="20" t="n">
        <x:v>45839.5</x:v>
      </x:c>
      <x:c r="K21" s="18" t="str">
        <x:v>Final</x:v>
      </x:c>
    </x:row>
    <x:row r="22" ht="15" hidden="0" customHeight="1">
      <x:c r="A22" s="18" t="str">
        <x:v>SNP0021</x:v>
      </x:c>
      <x:c r="B22" s="18" t="str">
        <x:v>REV0021</x:v>
      </x:c>
      <x:c r="C22" s="18" t="str">
        <x:v>EMP006</x:v>
      </x:c>
      <x:c r="D22" s="18" t="str">
        <x:v>CY2025Q2</x:v>
      </x:c>
      <x:c r="E22" s="23" t="n">
        <x:f>SUMIFS(performance_target!$F$2:$F$148,performance_target!$B$2:$B$148,D22,performance_target!$C$2:$C$148,"Employee",performance_target!$D$2:$D$148,C22)</x:f>
        <x:v>334500</x:v>
      </x:c>
      <x:c r="F22" s="25" t="n">
        <x:f>COUNTIFS(loan_transaction!$C$2:$C$954,C22,loan_transaction!$D$2:$D$954,D22,loan_transaction!$G$2:$G$954,"Funded")</x:f>
        <x:v>9</x:v>
      </x:c>
      <x:c r="G22" s="23" t="n">
        <x:f>SUMIFS(loan_transaction!$H$2:$H$954,loan_transaction!$C$2:$C$954,C22,loan_transaction!$D$2:$D$954,D22,loan_transaction!$G$2:$G$954,"Funded")</x:f>
        <x:v>345000</x:v>
      </x:c>
      <x:c r="H22" s="24" t="n">
        <x:f>IF(E22=0,"n.a.",G22/E22)</x:f>
        <x:v>1.031390134529148</x:v>
      </x:c>
      <x:c r="I22" s="26" t="n">
        <x:f>IF(H22&lt;0.7,1,IF(H22&lt;0.9,2,IF(H22&lt;1.1,3,IF(H22&lt;1.3,4,5))))</x:f>
        <x:v>3</x:v>
      </x:c>
      <x:c r="J22" s="20" t="n">
        <x:v>45839.5</x:v>
      </x:c>
      <x:c r="K22" s="18" t="str">
        <x:v>Final</x:v>
      </x:c>
    </x:row>
    <x:row r="23" ht="15" hidden="0" customHeight="1">
      <x:c r="A23" s="18" t="str">
        <x:v>SNP0022</x:v>
      </x:c>
      <x:c r="B23" s="18" t="str">
        <x:v>REV0022</x:v>
      </x:c>
      <x:c r="C23" s="18" t="str">
        <x:v>EMP007</x:v>
      </x:c>
      <x:c r="D23" s="18" t="str">
        <x:v>CY2025Q2</x:v>
      </x:c>
      <x:c r="E23" s="23" t="n">
        <x:f>SUMIFS(performance_target!$F$2:$F$148,performance_target!$B$2:$B$148,D23,performance_target!$C$2:$C$148,"Employee",performance_target!$D$2:$D$148,C23)</x:f>
        <x:v>313000</x:v>
      </x:c>
      <x:c r="F23" s="25" t="n">
        <x:f>COUNTIFS(loan_transaction!$C$2:$C$954,C23,loan_transaction!$D$2:$D$954,D23,loan_transaction!$G$2:$G$954,"Funded")</x:f>
        <x:v>6</x:v>
      </x:c>
      <x:c r="G23" s="23" t="n">
        <x:f>SUMIFS(loan_transaction!$H$2:$H$954,loan_transaction!$C$2:$C$954,C23,loan_transaction!$D$2:$D$954,D23,loan_transaction!$G$2:$G$954,"Funded")</x:f>
        <x:v>260000</x:v>
      </x:c>
      <x:c r="H23" s="24" t="n">
        <x:f>IF(E23=0,"n.a.",G23/E23)</x:f>
        <x:v>0.8306709265175719</x:v>
      </x:c>
      <x:c r="I23" s="26" t="n">
        <x:f>IF(H23&lt;0.7,1,IF(H23&lt;0.9,2,IF(H23&lt;1.1,3,IF(H23&lt;1.3,4,5))))</x:f>
        <x:v>2</x:v>
      </x:c>
      <x:c r="J23" s="20" t="n">
        <x:v>45839.5</x:v>
      </x:c>
      <x:c r="K23" s="18" t="str">
        <x:v>Final</x:v>
      </x:c>
    </x:row>
    <x:row r="24" ht="15" hidden="0" customHeight="1">
      <x:c r="A24" s="18" t="str">
        <x:v>SNP0023</x:v>
      </x:c>
      <x:c r="B24" s="18" t="str">
        <x:v>REV0023</x:v>
      </x:c>
      <x:c r="C24" s="18" t="str">
        <x:v>EMP008</x:v>
      </x:c>
      <x:c r="D24" s="18" t="str">
        <x:v>CY2025Q2</x:v>
      </x:c>
      <x:c r="E24" s="23" t="n">
        <x:f>SUMIFS(performance_target!$F$2:$F$148,performance_target!$B$2:$B$148,D24,performance_target!$C$2:$C$148,"Employee",performance_target!$D$2:$D$148,C24)</x:f>
        <x:v>336500</x:v>
      </x:c>
      <x:c r="F24" s="25" t="n">
        <x:f>COUNTIFS(loan_transaction!$C$2:$C$954,C24,loan_transaction!$D$2:$D$954,D24,loan_transaction!$G$2:$G$954,"Funded")</x:f>
        <x:v>5</x:v>
      </x:c>
      <x:c r="G24" s="23" t="n">
        <x:f>SUMIFS(loan_transaction!$H$2:$H$954,loan_transaction!$C$2:$C$954,C24,loan_transaction!$D$2:$D$954,D24,loan_transaction!$G$2:$G$954,"Funded")</x:f>
        <x:v>191000</x:v>
      </x:c>
      <x:c r="H24" s="24" t="n">
        <x:f>IF(E24=0,"n.a.",G24/E24)</x:f>
        <x:v>0.5676077265973254</x:v>
      </x:c>
      <x:c r="I24" s="26" t="n">
        <x:f>IF(H24&lt;0.7,1,IF(H24&lt;0.9,2,IF(H24&lt;1.1,3,IF(H24&lt;1.3,4,5))))</x:f>
        <x:v>1</x:v>
      </x:c>
      <x:c r="J24" s="20" t="n">
        <x:v>45839.5</x:v>
      </x:c>
      <x:c r="K24" s="18" t="str">
        <x:v>Final</x:v>
      </x:c>
    </x:row>
    <x:row r="25" ht="15" hidden="0" customHeight="1">
      <x:c r="A25" s="18" t="str">
        <x:v>SNP0024</x:v>
      </x:c>
      <x:c r="B25" s="18" t="str">
        <x:v>REV0024</x:v>
      </x:c>
      <x:c r="C25" s="18" t="str">
        <x:v>EMP009</x:v>
      </x:c>
      <x:c r="D25" s="18" t="str">
        <x:v>CY2025Q2</x:v>
      </x:c>
      <x:c r="E25" s="23" t="n">
        <x:f>SUMIFS(performance_target!$F$2:$F$148,performance_target!$B$2:$B$148,D25,performance_target!$C$2:$C$148,"Employee",performance_target!$D$2:$D$148,C25)</x:f>
        <x:v>360000</x:v>
      </x:c>
      <x:c r="F25" s="25" t="n">
        <x:f>COUNTIFS(loan_transaction!$C$2:$C$954,C25,loan_transaction!$D$2:$D$954,D25,loan_transaction!$G$2:$G$954,"Funded")</x:f>
        <x:v>11</x:v>
      </x:c>
      <x:c r="G25" s="23" t="n">
        <x:f>SUMIFS(loan_transaction!$H$2:$H$954,loan_transaction!$C$2:$C$954,C25,loan_transaction!$D$2:$D$954,D25,loan_transaction!$G$2:$G$954,"Funded")</x:f>
        <x:v>504000</x:v>
      </x:c>
      <x:c r="H25" s="24" t="n">
        <x:f>IF(E25=0,"n.a.",G25/E25)</x:f>
        <x:v>1.4</x:v>
      </x:c>
      <x:c r="I25" s="26" t="n">
        <x:f>IF(H25&lt;0.7,1,IF(H25&lt;0.9,2,IF(H25&lt;1.1,3,IF(H25&lt;1.3,4,5))))</x:f>
        <x:v>5</x:v>
      </x:c>
      <x:c r="J25" s="20" t="n">
        <x:v>45839.5</x:v>
      </x:c>
      <x:c r="K25" s="18" t="str">
        <x:v>Final</x:v>
      </x:c>
    </x:row>
    <x:row r="26" ht="15" hidden="0" customHeight="1">
      <x:c r="A26" s="18" t="str">
        <x:v>SNP0025</x:v>
      </x:c>
      <x:c r="B26" s="18" t="str">
        <x:v>REV0025</x:v>
      </x:c>
      <x:c r="C26" s="18" t="str">
        <x:v>EMP010</x:v>
      </x:c>
      <x:c r="D26" s="18" t="str">
        <x:v>CY2025Q2</x:v>
      </x:c>
      <x:c r="E26" s="23" t="n">
        <x:f>SUMIFS(performance_target!$F$2:$F$148,performance_target!$B$2:$B$148,D26,performance_target!$C$2:$C$148,"Employee",performance_target!$D$2:$D$148,C26)</x:f>
        <x:v>338500</x:v>
      </x:c>
      <x:c r="F26" s="25" t="n">
        <x:f>COUNTIFS(loan_transaction!$C$2:$C$954,C26,loan_transaction!$D$2:$D$954,D26,loan_transaction!$G$2:$G$954,"Funded")</x:f>
        <x:v>9</x:v>
      </x:c>
      <x:c r="G26" s="23" t="n">
        <x:f>SUMIFS(loan_transaction!$H$2:$H$954,loan_transaction!$C$2:$C$954,C26,loan_transaction!$D$2:$D$954,D26,loan_transaction!$G$2:$G$954,"Funded")</x:f>
        <x:v>347000</x:v>
      </x:c>
      <x:c r="H26" s="24" t="n">
        <x:f>IF(E26=0,"n.a.",G26/E26)</x:f>
        <x:v>1.0251107828655834</x:v>
      </x:c>
      <x:c r="I26" s="26" t="n">
        <x:f>IF(H26&lt;0.7,1,IF(H26&lt;0.9,2,IF(H26&lt;1.1,3,IF(H26&lt;1.3,4,5))))</x:f>
        <x:v>3</x:v>
      </x:c>
      <x:c r="J26" s="20" t="n">
        <x:v>45839.5</x:v>
      </x:c>
      <x:c r="K26" s="18" t="str">
        <x:v>Final</x:v>
      </x:c>
    </x:row>
    <x:row r="27" ht="15" hidden="0" customHeight="1">
      <x:c r="A27" s="18" t="str">
        <x:v>SNP0026</x:v>
      </x:c>
      <x:c r="B27" s="18" t="str">
        <x:v>REV0026</x:v>
      </x:c>
      <x:c r="C27" s="18" t="str">
        <x:v>EMP011</x:v>
      </x:c>
      <x:c r="D27" s="18" t="str">
        <x:v>CY2025Q2</x:v>
      </x:c>
      <x:c r="E27" s="23" t="n">
        <x:f>SUMIFS(performance_target!$F$2:$F$148,performance_target!$B$2:$B$148,D27,performance_target!$C$2:$C$148,"Employee",performance_target!$D$2:$D$148,C27)</x:f>
        <x:v>362000</x:v>
      </x:c>
      <x:c r="F27" s="25" t="n">
        <x:f>COUNTIFS(loan_transaction!$C$2:$C$954,C27,loan_transaction!$D$2:$D$954,D27,loan_transaction!$G$2:$G$954,"Funded")</x:f>
        <x:v>12</x:v>
      </x:c>
      <x:c r="G27" s="23" t="n">
        <x:f>SUMIFS(loan_transaction!$H$2:$H$954,loan_transaction!$C$2:$C$954,C27,loan_transaction!$D$2:$D$954,D27,loan_transaction!$G$2:$G$954,"Funded")</x:f>
        <x:v>457000</x:v>
      </x:c>
      <x:c r="H27" s="24" t="n">
        <x:f>IF(E27=0,"n.a.",G27/E27)</x:f>
        <x:v>1.2624309392265194</x:v>
      </x:c>
      <x:c r="I27" s="26" t="n">
        <x:f>IF(H27&lt;0.7,1,IF(H27&lt;0.9,2,IF(H27&lt;1.1,3,IF(H27&lt;1.3,4,5))))</x:f>
        <x:v>4</x:v>
      </x:c>
      <x:c r="J27" s="20" t="n">
        <x:v>45839.5</x:v>
      </x:c>
      <x:c r="K27" s="18" t="str">
        <x:v>Final</x:v>
      </x:c>
    </x:row>
    <x:row r="28" ht="15" hidden="0" customHeight="1">
      <x:c r="A28" s="18" t="str">
        <x:v>SNP0027</x:v>
      </x:c>
      <x:c r="B28" s="18" t="str">
        <x:v>REV0027</x:v>
      </x:c>
      <x:c r="C28" s="18" t="str">
        <x:v>EMP012</x:v>
      </x:c>
      <x:c r="D28" s="18" t="str">
        <x:v>CY2025Q2</x:v>
      </x:c>
      <x:c r="E28" s="23" t="n">
        <x:f>SUMIFS(performance_target!$F$2:$F$148,performance_target!$B$2:$B$148,D28,performance_target!$C$2:$C$148,"Employee",performance_target!$D$2:$D$148,C28)</x:f>
        <x:v>385500</x:v>
      </x:c>
      <x:c r="F28" s="25" t="n">
        <x:f>COUNTIFS(loan_transaction!$C$2:$C$954,C28,loan_transaction!$D$2:$D$954,D28,loan_transaction!$G$2:$G$954,"Funded")</x:f>
        <x:v>7</x:v>
      </x:c>
      <x:c r="G28" s="23" t="n">
        <x:f>SUMIFS(loan_transaction!$H$2:$H$954,loan_transaction!$C$2:$C$954,C28,loan_transaction!$D$2:$D$954,D28,loan_transaction!$G$2:$G$954,"Funded")</x:f>
        <x:v>302000</x:v>
      </x:c>
      <x:c r="H28" s="24" t="n">
        <x:f>IF(E28=0,"n.a.",G28/E28)</x:f>
        <x:v>0.7833981841763943</x:v>
      </x:c>
      <x:c r="I28" s="26" t="n">
        <x:f>IF(H28&lt;0.7,1,IF(H28&lt;0.9,2,IF(H28&lt;1.1,3,IF(H28&lt;1.3,4,5))))</x:f>
        <x:v>2</x:v>
      </x:c>
      <x:c r="J28" s="20" t="n">
        <x:v>45839.5</x:v>
      </x:c>
      <x:c r="K28" s="18" t="str">
        <x:v>Final</x:v>
      </x:c>
    </x:row>
    <x:row r="29" ht="15" hidden="0" customHeight="1">
      <x:c r="A29" s="18" t="str">
        <x:v>SNP0028</x:v>
      </x:c>
      <x:c r="B29" s="18" t="str">
        <x:v>REV0028</x:v>
      </x:c>
      <x:c r="C29" s="18" t="str">
        <x:v>EMP013</x:v>
      </x:c>
      <x:c r="D29" s="18" t="str">
        <x:v>CY2025Q2</x:v>
      </x:c>
      <x:c r="E29" s="23" t="n">
        <x:f>SUMIFS(performance_target!$F$2:$F$148,performance_target!$B$2:$B$148,D29,performance_target!$C$2:$C$148,"Employee",performance_target!$D$2:$D$148,C29)</x:f>
        <x:v>364000</x:v>
      </x:c>
      <x:c r="F29" s="25" t="n">
        <x:f>COUNTIFS(loan_transaction!$C$2:$C$954,C29,loan_transaction!$D$2:$D$954,D29,loan_transaction!$G$2:$G$954,"Funded")</x:f>
        <x:v>10</x:v>
      </x:c>
      <x:c r="G29" s="23" t="n">
        <x:f>SUMIFS(loan_transaction!$H$2:$H$954,loan_transaction!$C$2:$C$954,C29,loan_transaction!$D$2:$D$954,D29,loan_transaction!$G$2:$G$954,"Funded")</x:f>
        <x:v>438000</x:v>
      </x:c>
      <x:c r="H29" s="24" t="n">
        <x:f>IF(E29=0,"n.a.",G29/E29)</x:f>
        <x:v>1.2032967032967032</x:v>
      </x:c>
      <x:c r="I29" s="26" t="n">
        <x:f>IF(H29&lt;0.7,1,IF(H29&lt;0.9,2,IF(H29&lt;1.1,3,IF(H29&lt;1.3,4,5))))</x:f>
        <x:v>4</x:v>
      </x:c>
      <x:c r="J29" s="20" t="n">
        <x:v>45839.5</x:v>
      </x:c>
      <x:c r="K29" s="18" t="str">
        <x:v>Final</x:v>
      </x:c>
    </x:row>
    <x:row r="30" ht="15" hidden="0" customHeight="1">
      <x:c r="A30" s="18" t="str">
        <x:v>SNP0029</x:v>
      </x:c>
      <x:c r="B30" s="18" t="str">
        <x:v>REV0029</x:v>
      </x:c>
      <x:c r="C30" s="18" t="str">
        <x:v>EMP014</x:v>
      </x:c>
      <x:c r="D30" s="18" t="str">
        <x:v>CY2025Q2</x:v>
      </x:c>
      <x:c r="E30" s="23" t="n">
        <x:f>SUMIFS(performance_target!$F$2:$F$148,performance_target!$B$2:$B$148,D30,performance_target!$C$2:$C$148,"Employee",performance_target!$D$2:$D$148,C30)</x:f>
        <x:v>387500</x:v>
      </x:c>
      <x:c r="F30" s="25" t="n">
        <x:f>COUNTIFS(loan_transaction!$C$2:$C$954,C30,loan_transaction!$D$2:$D$954,D30,loan_transaction!$G$2:$G$954,"Funded")</x:f>
        <x:v>9</x:v>
      </x:c>
      <x:c r="G30" s="23" t="n">
        <x:f>SUMIFS(loan_transaction!$H$2:$H$954,loan_transaction!$C$2:$C$954,C30,loan_transaction!$D$2:$D$954,D30,loan_transaction!$G$2:$G$954,"Funded")</x:f>
        <x:v>371000</x:v>
      </x:c>
      <x:c r="H30" s="24" t="n">
        <x:f>IF(E30=0,"n.a.",G30/E30)</x:f>
        <x:v>0.9574193548387097</x:v>
      </x:c>
      <x:c r="I30" s="26" t="n">
        <x:f>IF(H30&lt;0.7,1,IF(H30&lt;0.9,2,IF(H30&lt;1.1,3,IF(H30&lt;1.3,4,5))))</x:f>
        <x:v>3</x:v>
      </x:c>
      <x:c r="J30" s="20" t="n">
        <x:v>45839.5</x:v>
      </x:c>
      <x:c r="K30" s="18" t="str">
        <x:v>Final</x:v>
      </x:c>
    </x:row>
    <x:row r="31" ht="15" hidden="0" customHeight="1">
      <x:c r="A31" s="18" t="str">
        <x:v>SNP0030</x:v>
      </x:c>
      <x:c r="B31" s="18" t="str">
        <x:v>REV0030</x:v>
      </x:c>
      <x:c r="C31" s="18" t="str">
        <x:v>EMP015</x:v>
      </x:c>
      <x:c r="D31" s="18" t="str">
        <x:v>CY2025Q2</x:v>
      </x:c>
      <x:c r="E31" s="23" t="n">
        <x:f>SUMIFS(performance_target!$F$2:$F$148,performance_target!$B$2:$B$148,D31,performance_target!$C$2:$C$148,"Employee",performance_target!$D$2:$D$148,C31)</x:f>
        <x:v>411000</x:v>
      </x:c>
      <x:c r="F31" s="25" t="n">
        <x:f>COUNTIFS(loan_transaction!$C$2:$C$954,C31,loan_transaction!$D$2:$D$954,D31,loan_transaction!$G$2:$G$954,"Funded")</x:f>
        <x:v>6</x:v>
      </x:c>
      <x:c r="G31" s="23" t="n">
        <x:f>SUMIFS(loan_transaction!$H$2:$H$954,loan_transaction!$C$2:$C$954,C31,loan_transaction!$D$2:$D$954,D31,loan_transaction!$G$2:$G$954,"Funded")</x:f>
        <x:v>245000</x:v>
      </x:c>
      <x:c r="H31" s="24" t="n">
        <x:f>IF(E31=0,"n.a.",G31/E31)</x:f>
        <x:v>0.5961070559610706</x:v>
      </x:c>
      <x:c r="I31" s="26" t="n">
        <x:f>IF(H31&lt;0.7,1,IF(H31&lt;0.9,2,IF(H31&lt;1.1,3,IF(H31&lt;1.3,4,5))))</x:f>
        <x:v>1</x:v>
      </x:c>
      <x:c r="J31" s="20" t="n">
        <x:v>45839.5</x:v>
      </x:c>
      <x:c r="K31" s="18" t="str">
        <x:v>Final</x:v>
      </x:c>
    </x:row>
    <x:row r="32" ht="15" hidden="0" customHeight="1">
      <x:c r="A32" s="18" t="str">
        <x:v>SNP0031</x:v>
      </x:c>
      <x:c r="B32" s="18" t="str">
        <x:v>REV0031</x:v>
      </x:c>
      <x:c r="C32" s="18" t="str">
        <x:v>EMP001</x:v>
      </x:c>
      <x:c r="D32" s="18" t="str">
        <x:v>CY2025Q3</x:v>
      </x:c>
      <x:c r="E32" s="23" t="n">
        <x:f>SUMIFS(performance_target!$F$2:$F$148,performance_target!$B$2:$B$148,D32,performance_target!$C$2:$C$148,"Employee",performance_target!$D$2:$D$148,C32)</x:f>
        <x:v>274000</x:v>
      </x:c>
      <x:c r="F32" s="25" t="n">
        <x:f>COUNTIFS(loan_transaction!$C$2:$C$954,C32,loan_transaction!$D$2:$D$954,D32,loan_transaction!$G$2:$G$954,"Funded")</x:f>
        <x:v>8</x:v>
      </x:c>
      <x:c r="G32" s="23" t="n">
        <x:f>SUMIFS(loan_transaction!$H$2:$H$954,loan_transaction!$C$2:$C$954,C32,loan_transaction!$D$2:$D$954,D32,loan_transaction!$G$2:$G$954,"Funded")</x:f>
        <x:v>374000</x:v>
      </x:c>
      <x:c r="H32" s="24" t="n">
        <x:f>IF(E32=0,"n.a.",G32/E32)</x:f>
        <x:v>1.364963503649635</x:v>
      </x:c>
      <x:c r="I32" s="26" t="n">
        <x:f>IF(H32&lt;0.7,1,IF(H32&lt;0.9,2,IF(H32&lt;1.1,3,IF(H32&lt;1.3,4,5))))</x:f>
        <x:v>5</x:v>
      </x:c>
      <x:c r="J32" s="20" t="n">
        <x:v>45931.5</x:v>
      </x:c>
      <x:c r="K32" s="18" t="str">
        <x:v>Final</x:v>
      </x:c>
    </x:row>
    <x:row r="33" ht="15" hidden="0" customHeight="1">
      <x:c r="A33" s="18" t="str">
        <x:v>SNP0032</x:v>
      </x:c>
      <x:c r="B33" s="18" t="str">
        <x:v>REV0032</x:v>
      </x:c>
      <x:c r="C33" s="18" t="str">
        <x:v>EMP002</x:v>
      </x:c>
      <x:c r="D33" s="18" t="str">
        <x:v>CY2025Q3</x:v>
      </x:c>
      <x:c r="E33" s="23" t="n">
        <x:f>SUMIFS(performance_target!$F$2:$F$148,performance_target!$B$2:$B$148,D33,performance_target!$C$2:$C$148,"Employee",performance_target!$D$2:$D$148,C33)</x:f>
        <x:v>297500</x:v>
      </x:c>
      <x:c r="F33" s="25" t="n">
        <x:f>COUNTIFS(loan_transaction!$C$2:$C$954,C33,loan_transaction!$D$2:$D$954,D33,loan_transaction!$G$2:$G$954,"Funded")</x:f>
        <x:v>8</x:v>
      </x:c>
      <x:c r="G33" s="23" t="n">
        <x:f>SUMIFS(loan_transaction!$H$2:$H$954,loan_transaction!$C$2:$C$954,C33,loan_transaction!$D$2:$D$954,D33,loan_transaction!$G$2:$G$954,"Funded")</x:f>
        <x:v>375000</x:v>
      </x:c>
      <x:c r="H33" s="24" t="n">
        <x:f>IF(E33=0,"n.a.",G33/E33)</x:f>
        <x:v>1.2605042016806722</x:v>
      </x:c>
      <x:c r="I33" s="26" t="n">
        <x:f>IF(H33&lt;0.7,1,IF(H33&lt;0.9,2,IF(H33&lt;1.1,3,IF(H33&lt;1.3,4,5))))</x:f>
        <x:v>4</x:v>
      </x:c>
      <x:c r="J33" s="20" t="n">
        <x:v>45931.5</x:v>
      </x:c>
      <x:c r="K33" s="18" t="str">
        <x:v>Final</x:v>
      </x:c>
    </x:row>
    <x:row r="34" ht="15" hidden="0" customHeight="1">
      <x:c r="A34" s="18" t="str">
        <x:v>SNP0033</x:v>
      </x:c>
      <x:c r="B34" s="18" t="str">
        <x:v>REV0033</x:v>
      </x:c>
      <x:c r="C34" s="18" t="str">
        <x:v>EMP003</x:v>
      </x:c>
      <x:c r="D34" s="18" t="str">
        <x:v>CY2025Q3</x:v>
      </x:c>
      <x:c r="E34" s="23" t="n">
        <x:f>SUMIFS(performance_target!$F$2:$F$148,performance_target!$B$2:$B$148,D34,performance_target!$C$2:$C$148,"Employee",performance_target!$D$2:$D$148,C34)</x:f>
        <x:v>321000</x:v>
      </x:c>
      <x:c r="F34" s="25" t="n">
        <x:f>COUNTIFS(loan_transaction!$C$2:$C$954,C34,loan_transaction!$D$2:$D$954,D34,loan_transaction!$G$2:$G$954,"Funded")</x:f>
        <x:v>7</x:v>
      </x:c>
      <x:c r="G34" s="23" t="n">
        <x:f>SUMIFS(loan_transaction!$H$2:$H$954,loan_transaction!$C$2:$C$954,C34,loan_transaction!$D$2:$D$954,D34,loan_transaction!$G$2:$G$954,"Funded")</x:f>
        <x:v>341000</x:v>
      </x:c>
      <x:c r="H34" s="24" t="n">
        <x:f>IF(E34=0,"n.a.",G34/E34)</x:f>
        <x:v>1.0623052959501558</x:v>
      </x:c>
      <x:c r="I34" s="26" t="n">
        <x:f>IF(H34&lt;0.7,1,IF(H34&lt;0.9,2,IF(H34&lt;1.1,3,IF(H34&lt;1.3,4,5))))</x:f>
        <x:v>3</x:v>
      </x:c>
      <x:c r="J34" s="20" t="n">
        <x:v>45931.5</x:v>
      </x:c>
      <x:c r="K34" s="18" t="str">
        <x:v>Final</x:v>
      </x:c>
    </x:row>
    <x:row r="35" ht="15" hidden="0" customHeight="1">
      <x:c r="A35" s="18" t="str">
        <x:v>SNP0034</x:v>
      </x:c>
      <x:c r="B35" s="18" t="str">
        <x:v>REV0034</x:v>
      </x:c>
      <x:c r="C35" s="18" t="str">
        <x:v>EMP004</x:v>
      </x:c>
      <x:c r="D35" s="18" t="str">
        <x:v>CY2025Q3</x:v>
      </x:c>
      <x:c r="E35" s="23" t="n">
        <x:f>SUMIFS(performance_target!$F$2:$F$148,performance_target!$B$2:$B$148,D35,performance_target!$C$2:$C$148,"Employee",performance_target!$D$2:$D$148,C35)</x:f>
        <x:v>299500</x:v>
      </x:c>
      <x:c r="F35" s="25" t="n">
        <x:f>COUNTIFS(loan_transaction!$C$2:$C$954,C35,loan_transaction!$D$2:$D$954,D35,loan_transaction!$G$2:$G$954,"Funded")</x:f>
        <x:v>8</x:v>
      </x:c>
      <x:c r="G35" s="23" t="n">
        <x:f>SUMIFS(loan_transaction!$H$2:$H$954,loan_transaction!$C$2:$C$954,C35,loan_transaction!$D$2:$D$954,D35,loan_transaction!$G$2:$G$954,"Funded")</x:f>
        <x:v>315000</x:v>
      </x:c>
      <x:c r="H35" s="24" t="n">
        <x:f>IF(E35=0,"n.a.",G35/E35)</x:f>
        <x:v>1.0517529215358932</x:v>
      </x:c>
      <x:c r="I35" s="26" t="n">
        <x:f>IF(H35&lt;0.7,1,IF(H35&lt;0.9,2,IF(H35&lt;1.1,3,IF(H35&lt;1.3,4,5))))</x:f>
        <x:v>3</x:v>
      </x:c>
      <x:c r="J35" s="20" t="n">
        <x:v>45931.5</x:v>
      </x:c>
      <x:c r="K35" s="18" t="str">
        <x:v>Final</x:v>
      </x:c>
    </x:row>
    <x:row r="36" ht="15" hidden="0" customHeight="1">
      <x:c r="A36" s="18" t="str">
        <x:v>SNP0035</x:v>
      </x:c>
      <x:c r="B36" s="18" t="str">
        <x:v>REV0035</x:v>
      </x:c>
      <x:c r="C36" s="18" t="str">
        <x:v>EMP005</x:v>
      </x:c>
      <x:c r="D36" s="18" t="str">
        <x:v>CY2025Q3</x:v>
      </x:c>
      <x:c r="E36" s="23" t="n">
        <x:f>SUMIFS(performance_target!$F$2:$F$148,performance_target!$B$2:$B$148,D36,performance_target!$C$2:$C$148,"Employee",performance_target!$D$2:$D$148,C36)</x:f>
        <x:v>323000</x:v>
      </x:c>
      <x:c r="F36" s="25" t="n">
        <x:f>COUNTIFS(loan_transaction!$C$2:$C$954,C36,loan_transaction!$D$2:$D$954,D36,loan_transaction!$G$2:$G$954,"Funded")</x:f>
        <x:v>10</x:v>
      </x:c>
      <x:c r="G36" s="23" t="n">
        <x:f>SUMIFS(loan_transaction!$H$2:$H$954,loan_transaction!$C$2:$C$954,C36,loan_transaction!$D$2:$D$954,D36,loan_transaction!$G$2:$G$954,"Funded")</x:f>
        <x:v>388000</x:v>
      </x:c>
      <x:c r="H36" s="24" t="n">
        <x:f>IF(E36=0,"n.a.",G36/E36)</x:f>
        <x:v>1.2012383900928794</x:v>
      </x:c>
      <x:c r="I36" s="26" t="n">
        <x:f>IF(H36&lt;0.7,1,IF(H36&lt;0.9,2,IF(H36&lt;1.1,3,IF(H36&lt;1.3,4,5))))</x:f>
        <x:v>4</x:v>
      </x:c>
      <x:c r="J36" s="20" t="n">
        <x:v>45931.5</x:v>
      </x:c>
      <x:c r="K36" s="18" t="str">
        <x:v>Final</x:v>
      </x:c>
    </x:row>
    <x:row r="37" ht="15" hidden="0" customHeight="1">
      <x:c r="A37" s="18" t="str">
        <x:v>SNP0036</x:v>
      </x:c>
      <x:c r="B37" s="18" t="str">
        <x:v>REV0036</x:v>
      </x:c>
      <x:c r="C37" s="18" t="str">
        <x:v>EMP006</x:v>
      </x:c>
      <x:c r="D37" s="18" t="str">
        <x:v>CY2025Q3</x:v>
      </x:c>
      <x:c r="E37" s="23" t="n">
        <x:f>SUMIFS(performance_target!$F$2:$F$148,performance_target!$B$2:$B$148,D37,performance_target!$C$2:$C$148,"Employee",performance_target!$D$2:$D$148,C37)</x:f>
        <x:v>346500</x:v>
      </x:c>
      <x:c r="F37" s="25" t="n">
        <x:f>COUNTIFS(loan_transaction!$C$2:$C$954,C37,loan_transaction!$D$2:$D$954,D37,loan_transaction!$G$2:$G$954,"Funded")</x:f>
        <x:v>7</x:v>
      </x:c>
      <x:c r="G37" s="23" t="n">
        <x:f>SUMIFS(loan_transaction!$H$2:$H$954,loan_transaction!$C$2:$C$954,C37,loan_transaction!$D$2:$D$954,D37,loan_transaction!$G$2:$G$954,"Funded")</x:f>
        <x:v>261000</x:v>
      </x:c>
      <x:c r="H37" s="24" t="n">
        <x:f>IF(E37=0,"n.a.",G37/E37)</x:f>
        <x:v>0.7532467532467533</x:v>
      </x:c>
      <x:c r="I37" s="26" t="n">
        <x:f>IF(H37&lt;0.7,1,IF(H37&lt;0.9,2,IF(H37&lt;1.1,3,IF(H37&lt;1.3,4,5))))</x:f>
        <x:v>2</x:v>
      </x:c>
      <x:c r="J37" s="20" t="n">
        <x:v>45931.5</x:v>
      </x:c>
      <x:c r="K37" s="18" t="str">
        <x:v>Final</x:v>
      </x:c>
    </x:row>
    <x:row r="38" ht="15" hidden="0" customHeight="1">
      <x:c r="A38" s="18" t="str">
        <x:v>SNP0037</x:v>
      </x:c>
      <x:c r="B38" s="18" t="str">
        <x:v>REV0037</x:v>
      </x:c>
      <x:c r="C38" s="18" t="str">
        <x:v>EMP007</x:v>
      </x:c>
      <x:c r="D38" s="18" t="str">
        <x:v>CY2025Q3</x:v>
      </x:c>
      <x:c r="E38" s="23" t="n">
        <x:f>SUMIFS(performance_target!$F$2:$F$148,performance_target!$B$2:$B$148,D38,performance_target!$C$2:$C$148,"Employee",performance_target!$D$2:$D$148,C38)</x:f>
        <x:v>325000</x:v>
      </x:c>
      <x:c r="F38" s="25" t="n">
        <x:f>COUNTIFS(loan_transaction!$C$2:$C$954,C38,loan_transaction!$D$2:$D$954,D38,loan_transaction!$G$2:$G$954,"Funded")</x:f>
        <x:v>7</x:v>
      </x:c>
      <x:c r="G38" s="23" t="n">
        <x:f>SUMIFS(loan_transaction!$H$2:$H$954,loan_transaction!$C$2:$C$954,C38,loan_transaction!$D$2:$D$954,D38,loan_transaction!$G$2:$G$954,"Funded")</x:f>
        <x:v>278000</x:v>
      </x:c>
      <x:c r="H38" s="24" t="n">
        <x:f>IF(E38=0,"n.a.",G38/E38)</x:f>
        <x:v>0.8553846153846154</x:v>
      </x:c>
      <x:c r="I38" s="26" t="n">
        <x:f>IF(H38&lt;0.7,1,IF(H38&lt;0.9,2,IF(H38&lt;1.1,3,IF(H38&lt;1.3,4,5))))</x:f>
        <x:v>2</x:v>
      </x:c>
      <x:c r="J38" s="20" t="n">
        <x:v>45931.5</x:v>
      </x:c>
      <x:c r="K38" s="18" t="str">
        <x:v>Final</x:v>
      </x:c>
    </x:row>
    <x:row r="39" ht="15" hidden="0" customHeight="1">
      <x:c r="A39" s="18" t="str">
        <x:v>SNP0038</x:v>
      </x:c>
      <x:c r="B39" s="18" t="str">
        <x:v>REV0038</x:v>
      </x:c>
      <x:c r="C39" s="18" t="str">
        <x:v>EMP008</x:v>
      </x:c>
      <x:c r="D39" s="18" t="str">
        <x:v>CY2025Q3</x:v>
      </x:c>
      <x:c r="E39" s="23" t="n">
        <x:f>SUMIFS(performance_target!$F$2:$F$148,performance_target!$B$2:$B$148,D39,performance_target!$C$2:$C$148,"Employee",performance_target!$D$2:$D$148,C39)</x:f>
        <x:v>348500</x:v>
      </x:c>
      <x:c r="F39" s="25" t="n">
        <x:f>COUNTIFS(loan_transaction!$C$2:$C$954,C39,loan_transaction!$D$2:$D$954,D39,loan_transaction!$G$2:$G$954,"Funded")</x:f>
        <x:v>5</x:v>
      </x:c>
      <x:c r="G39" s="23" t="n">
        <x:f>SUMIFS(loan_transaction!$H$2:$H$954,loan_transaction!$C$2:$C$954,C39,loan_transaction!$D$2:$D$954,D39,loan_transaction!$G$2:$G$954,"Funded")</x:f>
        <x:v>191000</x:v>
      </x:c>
      <x:c r="H39" s="24" t="n">
        <x:f>IF(E39=0,"n.a.",G39/E39)</x:f>
        <x:v>0.5480631276901005</x:v>
      </x:c>
      <x:c r="I39" s="26" t="n">
        <x:f>IF(H39&lt;0.7,1,IF(H39&lt;0.9,2,IF(H39&lt;1.1,3,IF(H39&lt;1.3,4,5))))</x:f>
        <x:v>1</x:v>
      </x:c>
      <x:c r="J39" s="20" t="n">
        <x:v>45931.5</x:v>
      </x:c>
      <x:c r="K39" s="18" t="str">
        <x:v>Final</x:v>
      </x:c>
    </x:row>
    <x:row r="40" ht="15" hidden="0" customHeight="1">
      <x:c r="A40" s="18" t="str">
        <x:v>SNP0039</x:v>
      </x:c>
      <x:c r="B40" s="18" t="str">
        <x:v>REV0039</x:v>
      </x:c>
      <x:c r="C40" s="18" t="str">
        <x:v>EMP009</x:v>
      </x:c>
      <x:c r="D40" s="18" t="str">
        <x:v>CY2025Q3</x:v>
      </x:c>
      <x:c r="E40" s="23" t="n">
        <x:f>SUMIFS(performance_target!$F$2:$F$148,performance_target!$B$2:$B$148,D40,performance_target!$C$2:$C$148,"Employee",performance_target!$D$2:$D$148,C40)</x:f>
        <x:v>372000</x:v>
      </x:c>
      <x:c r="F40" s="25" t="n">
        <x:f>COUNTIFS(loan_transaction!$C$2:$C$954,C40,loan_transaction!$D$2:$D$954,D40,loan_transaction!$G$2:$G$954,"Funded")</x:f>
        <x:v>11</x:v>
      </x:c>
      <x:c r="G40" s="23" t="n">
        <x:f>SUMIFS(loan_transaction!$H$2:$H$954,loan_transaction!$C$2:$C$954,C40,loan_transaction!$D$2:$D$954,D40,loan_transaction!$G$2:$G$954,"Funded")</x:f>
        <x:v>532000</x:v>
      </x:c>
      <x:c r="H40" s="24" t="n">
        <x:f>IF(E40=0,"n.a.",G40/E40)</x:f>
        <x:v>1.4301075268817205</x:v>
      </x:c>
      <x:c r="I40" s="26" t="n">
        <x:f>IF(H40&lt;0.7,1,IF(H40&lt;0.9,2,IF(H40&lt;1.1,3,IF(H40&lt;1.3,4,5))))</x:f>
        <x:v>5</x:v>
      </x:c>
      <x:c r="J40" s="20" t="n">
        <x:v>45931.5</x:v>
      </x:c>
      <x:c r="K40" s="18" t="str">
        <x:v>Final</x:v>
      </x:c>
    </x:row>
    <x:row r="41" ht="15" hidden="0" customHeight="1">
      <x:c r="A41" s="18" t="str">
        <x:v>SNP0040</x:v>
      </x:c>
      <x:c r="B41" s="18" t="str">
        <x:v>REV0040</x:v>
      </x:c>
      <x:c r="C41" s="18" t="str">
        <x:v>EMP010</x:v>
      </x:c>
      <x:c r="D41" s="18" t="str">
        <x:v>CY2025Q3</x:v>
      </x:c>
      <x:c r="E41" s="23" t="n">
        <x:f>SUMIFS(performance_target!$F$2:$F$148,performance_target!$B$2:$B$148,D41,performance_target!$C$2:$C$148,"Employee",performance_target!$D$2:$D$148,C41)</x:f>
        <x:v>350500</x:v>
      </x:c>
      <x:c r="F41" s="25" t="n">
        <x:f>COUNTIFS(loan_transaction!$C$2:$C$954,C41,loan_transaction!$D$2:$D$954,D41,loan_transaction!$G$2:$G$954,"Funded")</x:f>
        <x:v>11</x:v>
      </x:c>
      <x:c r="G41" s="23" t="n">
        <x:f>SUMIFS(loan_transaction!$H$2:$H$954,loan_transaction!$C$2:$C$954,C41,loan_transaction!$D$2:$D$954,D41,loan_transaction!$G$2:$G$954,"Funded")</x:f>
        <x:v>416000</x:v>
      </x:c>
      <x:c r="H41" s="24" t="n">
        <x:f>IF(E41=0,"n.a.",G41/E41)</x:f>
        <x:v>1.1868758915834523</x:v>
      </x:c>
      <x:c r="I41" s="26" t="n">
        <x:f>IF(H41&lt;0.7,1,IF(H41&lt;0.9,2,IF(H41&lt;1.1,3,IF(H41&lt;1.3,4,5))))</x:f>
        <x:v>4</x:v>
      </x:c>
      <x:c r="J41" s="20" t="n">
        <x:v>45931.5</x:v>
      </x:c>
      <x:c r="K41" s="18" t="str">
        <x:v>Final</x:v>
      </x:c>
    </x:row>
    <x:row r="42" ht="15" hidden="0" customHeight="1">
      <x:c r="A42" s="18" t="str">
        <x:v>SNP0041</x:v>
      </x:c>
      <x:c r="B42" s="18" t="str">
        <x:v>REV0041</x:v>
      </x:c>
      <x:c r="C42" s="18" t="str">
        <x:v>EMP011</x:v>
      </x:c>
      <x:c r="D42" s="18" t="str">
        <x:v>CY2025Q3</x:v>
      </x:c>
      <x:c r="E42" s="23" t="n">
        <x:f>SUMIFS(performance_target!$F$2:$F$148,performance_target!$B$2:$B$148,D42,performance_target!$C$2:$C$148,"Employee",performance_target!$D$2:$D$148,C42)</x:f>
        <x:v>374000</x:v>
      </x:c>
      <x:c r="F42" s="25" t="n">
        <x:f>COUNTIFS(loan_transaction!$C$2:$C$954,C42,loan_transaction!$D$2:$D$954,D42,loan_transaction!$G$2:$G$954,"Funded")</x:f>
        <x:v>8</x:v>
      </x:c>
      <x:c r="G42" s="23" t="n">
        <x:f>SUMIFS(loan_transaction!$H$2:$H$954,loan_transaction!$C$2:$C$954,C42,loan_transaction!$D$2:$D$954,D42,loan_transaction!$G$2:$G$954,"Funded")</x:f>
        <x:v>358000</x:v>
      </x:c>
      <x:c r="H42" s="24" t="n">
        <x:f>IF(E42=0,"n.a.",G42/E42)</x:f>
        <x:v>0.9572192513368984</x:v>
      </x:c>
      <x:c r="I42" s="26" t="n">
        <x:f>IF(H42&lt;0.7,1,IF(H42&lt;0.9,2,IF(H42&lt;1.1,3,IF(H42&lt;1.3,4,5))))</x:f>
        <x:v>3</x:v>
      </x:c>
      <x:c r="J42" s="20" t="n">
        <x:v>45931.5</x:v>
      </x:c>
      <x:c r="K42" s="18" t="str">
        <x:v>Final</x:v>
      </x:c>
    </x:row>
    <x:row r="43" ht="15" hidden="0" customHeight="1">
      <x:c r="A43" s="18" t="str">
        <x:v>SNP0042</x:v>
      </x:c>
      <x:c r="B43" s="18" t="str">
        <x:v>REV0042</x:v>
      </x:c>
      <x:c r="C43" s="18" t="str">
        <x:v>EMP012</x:v>
      </x:c>
      <x:c r="D43" s="18" t="str">
        <x:v>CY2025Q3</x:v>
      </x:c>
      <x:c r="E43" s="23" t="n">
        <x:f>SUMIFS(performance_target!$F$2:$F$148,performance_target!$B$2:$B$148,D43,performance_target!$C$2:$C$148,"Employee",performance_target!$D$2:$D$148,C43)</x:f>
        <x:v>397500</x:v>
      </x:c>
      <x:c r="F43" s="25" t="n">
        <x:f>COUNTIFS(loan_transaction!$C$2:$C$954,C43,loan_transaction!$D$2:$D$954,D43,loan_transaction!$G$2:$G$954,"Funded")</x:f>
        <x:v>7</x:v>
      </x:c>
      <x:c r="G43" s="23" t="n">
        <x:f>SUMIFS(loan_transaction!$H$2:$H$954,loan_transaction!$C$2:$C$954,C43,loan_transaction!$D$2:$D$954,D43,loan_transaction!$G$2:$G$954,"Funded")</x:f>
        <x:v>332000</x:v>
      </x:c>
      <x:c r="H43" s="24" t="n">
        <x:f>IF(E43=0,"n.a.",G43/E43)</x:f>
        <x:v>0.8352201257861636</x:v>
      </x:c>
      <x:c r="I43" s="26" t="n">
        <x:f>IF(H43&lt;0.7,1,IF(H43&lt;0.9,2,IF(H43&lt;1.1,3,IF(H43&lt;1.3,4,5))))</x:f>
        <x:v>2</x:v>
      </x:c>
      <x:c r="J43" s="20" t="n">
        <x:v>45931.5</x:v>
      </x:c>
      <x:c r="K43" s="18" t="str">
        <x:v>Final</x:v>
      </x:c>
    </x:row>
    <x:row r="44" ht="15" hidden="0" customHeight="1">
      <x:c r="A44" s="18" t="str">
        <x:v>SNP0043</x:v>
      </x:c>
      <x:c r="B44" s="18" t="str">
        <x:v>REV0043</x:v>
      </x:c>
      <x:c r="C44" s="18" t="str">
        <x:v>EMP013</x:v>
      </x:c>
      <x:c r="D44" s="18" t="str">
        <x:v>CY2025Q3</x:v>
      </x:c>
      <x:c r="E44" s="23" t="n">
        <x:f>SUMIFS(performance_target!$F$2:$F$148,performance_target!$B$2:$B$148,D44,performance_target!$C$2:$C$148,"Employee",performance_target!$D$2:$D$148,C44)</x:f>
        <x:v>376000</x:v>
      </x:c>
      <x:c r="F44" s="25" t="n">
        <x:f>COUNTIFS(loan_transaction!$C$2:$C$954,C44,loan_transaction!$D$2:$D$954,D44,loan_transaction!$G$2:$G$954,"Funded")</x:f>
        <x:v>9</x:v>
      </x:c>
      <x:c r="G44" s="23" t="n">
        <x:f>SUMIFS(loan_transaction!$H$2:$H$954,loan_transaction!$C$2:$C$954,C44,loan_transaction!$D$2:$D$954,D44,loan_transaction!$G$2:$G$954,"Funded")</x:f>
        <x:v>392000</x:v>
      </x:c>
      <x:c r="H44" s="24" t="n">
        <x:f>IF(E44=0,"n.a.",G44/E44)</x:f>
        <x:v>1.0425531914893618</x:v>
      </x:c>
      <x:c r="I44" s="26" t="n">
        <x:f>IF(H44&lt;0.7,1,IF(H44&lt;0.9,2,IF(H44&lt;1.1,3,IF(H44&lt;1.3,4,5))))</x:f>
        <x:v>3</x:v>
      </x:c>
      <x:c r="J44" s="20" t="n">
        <x:v>45931.5</x:v>
      </x:c>
      <x:c r="K44" s="18" t="str">
        <x:v>Final</x:v>
      </x:c>
    </x:row>
    <x:row r="45" ht="15" hidden="0" customHeight="1">
      <x:c r="A45" s="18" t="str">
        <x:v>SNP0044</x:v>
      </x:c>
      <x:c r="B45" s="18" t="str">
        <x:v>REV0044</x:v>
      </x:c>
      <x:c r="C45" s="18" t="str">
        <x:v>EMP014</x:v>
      </x:c>
      <x:c r="D45" s="18" t="str">
        <x:v>CY2025Q3</x:v>
      </x:c>
      <x:c r="E45" s="23" t="n">
        <x:f>SUMIFS(performance_target!$F$2:$F$148,performance_target!$B$2:$B$148,D45,performance_target!$C$2:$C$148,"Employee",performance_target!$D$2:$D$148,C45)</x:f>
        <x:v>399500</x:v>
      </x:c>
      <x:c r="F45" s="25" t="n">
        <x:f>COUNTIFS(loan_transaction!$C$2:$C$954,C45,loan_transaction!$D$2:$D$954,D45,loan_transaction!$G$2:$G$954,"Funded")</x:f>
        <x:v>9</x:v>
      </x:c>
      <x:c r="G45" s="23" t="n">
        <x:f>SUMIFS(loan_transaction!$H$2:$H$954,loan_transaction!$C$2:$C$954,C45,loan_transaction!$D$2:$D$954,D45,loan_transaction!$G$2:$G$954,"Funded")</x:f>
        <x:v>411000</x:v>
      </x:c>
      <x:c r="H45" s="24" t="n">
        <x:f>IF(E45=0,"n.a.",G45/E45)</x:f>
        <x:v>1.0287859824780976</x:v>
      </x:c>
      <x:c r="I45" s="26" t="n">
        <x:f>IF(H45&lt;0.7,1,IF(H45&lt;0.9,2,IF(H45&lt;1.1,3,IF(H45&lt;1.3,4,5))))</x:f>
        <x:v>3</x:v>
      </x:c>
      <x:c r="J45" s="20" t="n">
        <x:v>45931.5</x:v>
      </x:c>
      <x:c r="K45" s="18" t="str">
        <x:v>Final</x:v>
      </x:c>
    </x:row>
    <x:row r="46" ht="15" hidden="0" customHeight="1">
      <x:c r="A46" s="18" t="str">
        <x:v>SNP0045</x:v>
      </x:c>
      <x:c r="B46" s="18" t="str">
        <x:v>REV0045</x:v>
      </x:c>
      <x:c r="C46" s="18" t="str">
        <x:v>EMP015</x:v>
      </x:c>
      <x:c r="D46" s="18" t="str">
        <x:v>CY2025Q3</x:v>
      </x:c>
      <x:c r="E46" s="23" t="n">
        <x:f>SUMIFS(performance_target!$F$2:$F$148,performance_target!$B$2:$B$148,D46,performance_target!$C$2:$C$148,"Employee",performance_target!$D$2:$D$148,C46)</x:f>
        <x:v>423000</x:v>
      </x:c>
      <x:c r="F46" s="25" t="n">
        <x:f>COUNTIFS(loan_transaction!$C$2:$C$954,C46,loan_transaction!$D$2:$D$954,D46,loan_transaction!$G$2:$G$954,"Funded")</x:f>
        <x:v>6</x:v>
      </x:c>
      <x:c r="G46" s="23" t="n">
        <x:f>SUMIFS(loan_transaction!$H$2:$H$954,loan_transaction!$C$2:$C$954,C46,loan_transaction!$D$2:$D$954,D46,loan_transaction!$G$2:$G$954,"Funded")</x:f>
        <x:v>269000</x:v>
      </x:c>
      <x:c r="H46" s="24" t="n">
        <x:f>IF(E46=0,"n.a.",G46/E46)</x:f>
        <x:v>0.6359338061465721</x:v>
      </x:c>
      <x:c r="I46" s="26" t="n">
        <x:f>IF(H46&lt;0.7,1,IF(H46&lt;0.9,2,IF(H46&lt;1.1,3,IF(H46&lt;1.3,4,5))))</x:f>
        <x:v>1</x:v>
      </x:c>
      <x:c r="J46" s="20" t="n">
        <x:v>45931.5</x:v>
      </x:c>
      <x:c r="K46" s="18" t="str">
        <x:v>Final</x:v>
      </x:c>
    </x:row>
    <x:row r="47" ht="15" hidden="0" customHeight="1">
      <x:c r="A47" s="18" t="str">
        <x:v>SNP0046</x:v>
      </x:c>
      <x:c r="B47" s="18" t="str">
        <x:v>REV0046</x:v>
      </x:c>
      <x:c r="C47" s="18" t="str">
        <x:v>EMP001</x:v>
      </x:c>
      <x:c r="D47" s="18" t="str">
        <x:v>CY2025Q4</x:v>
      </x:c>
      <x:c r="E47" s="23" t="n">
        <x:f>SUMIFS(performance_target!$F$2:$F$148,performance_target!$B$2:$B$148,D47,performance_target!$C$2:$C$148,"Employee",performance_target!$D$2:$D$148,C47)</x:f>
        <x:v>286000</x:v>
      </x:c>
      <x:c r="F47" s="25" t="n">
        <x:f>COUNTIFS(loan_transaction!$C$2:$C$954,C47,loan_transaction!$D$2:$D$954,D47,loan_transaction!$G$2:$G$954,"Funded")</x:f>
        <x:v>10</x:v>
      </x:c>
      <x:c r="G47" s="23" t="n">
        <x:f>SUMIFS(loan_transaction!$H$2:$H$954,loan_transaction!$C$2:$C$954,C47,loan_transaction!$D$2:$D$954,D47,loan_transaction!$G$2:$G$954,"Funded")</x:f>
        <x:v>423000</x:v>
      </x:c>
      <x:c r="H47" s="24" t="n">
        <x:f>IF(E47=0,"n.a.",G47/E47)</x:f>
        <x:v>1.479020979020979</x:v>
      </x:c>
      <x:c r="I47" s="26" t="n">
        <x:f>IF(H47&lt;0.7,1,IF(H47&lt;0.9,2,IF(H47&lt;1.1,3,IF(H47&lt;1.3,4,5))))</x:f>
        <x:v>5</x:v>
      </x:c>
      <x:c r="J47" s="20" t="n">
        <x:v>46023.5</x:v>
      </x:c>
      <x:c r="K47" s="18" t="str">
        <x:v>Final</x:v>
      </x:c>
    </x:row>
    <x:row r="48" ht="15" hidden="0" customHeight="1">
      <x:c r="A48" s="18" t="str">
        <x:v>SNP0047</x:v>
      </x:c>
      <x:c r="B48" s="18" t="str">
        <x:v>REV0047</x:v>
      </x:c>
      <x:c r="C48" s="18" t="str">
        <x:v>EMP002</x:v>
      </x:c>
      <x:c r="D48" s="18" t="str">
        <x:v>CY2025Q4</x:v>
      </x:c>
      <x:c r="E48" s="23" t="n">
        <x:f>SUMIFS(performance_target!$F$2:$F$148,performance_target!$B$2:$B$148,D48,performance_target!$C$2:$C$148,"Employee",performance_target!$D$2:$D$148,C48)</x:f>
        <x:v>309500</x:v>
      </x:c>
      <x:c r="F48" s="25" t="n">
        <x:f>COUNTIFS(loan_transaction!$C$2:$C$954,C48,loan_transaction!$D$2:$D$954,D48,loan_transaction!$G$2:$G$954,"Funded")</x:f>
        <x:v>9</x:v>
      </x:c>
      <x:c r="G48" s="23" t="n">
        <x:f>SUMIFS(loan_transaction!$H$2:$H$954,loan_transaction!$C$2:$C$954,C48,loan_transaction!$D$2:$D$954,D48,loan_transaction!$G$2:$G$954,"Funded")</x:f>
        <x:v>327000</x:v>
      </x:c>
      <x:c r="H48" s="24" t="n">
        <x:f>IF(E48=0,"n.a.",G48/E48)</x:f>
        <x:v>1.0565428109854604</x:v>
      </x:c>
      <x:c r="I48" s="26" t="n">
        <x:f>IF(H48&lt;0.7,1,IF(H48&lt;0.9,2,IF(H48&lt;1.1,3,IF(H48&lt;1.3,4,5))))</x:f>
        <x:v>3</x:v>
      </x:c>
      <x:c r="J48" s="20" t="n">
        <x:v>46023.5</x:v>
      </x:c>
      <x:c r="K48" s="18" t="str">
        <x:v>Final</x:v>
      </x:c>
    </x:row>
    <x:row r="49" ht="15" hidden="0" customHeight="1">
      <x:c r="A49" s="18" t="str">
        <x:v>SNP0048</x:v>
      </x:c>
      <x:c r="B49" s="18" t="str">
        <x:v>REV0048</x:v>
      </x:c>
      <x:c r="C49" s="18" t="str">
        <x:v>EMP003</x:v>
      </x:c>
      <x:c r="D49" s="18" t="str">
        <x:v>CY2025Q4</x:v>
      </x:c>
      <x:c r="E49" s="23" t="n">
        <x:f>SUMIFS(performance_target!$F$2:$F$148,performance_target!$B$2:$B$148,D49,performance_target!$C$2:$C$148,"Employee",performance_target!$D$2:$D$148,C49)</x:f>
        <x:v>333000</x:v>
      </x:c>
      <x:c r="F49" s="25" t="n">
        <x:f>COUNTIFS(loan_transaction!$C$2:$C$954,C49,loan_transaction!$D$2:$D$954,D49,loan_transaction!$G$2:$G$954,"Funded")</x:f>
        <x:v>9</x:v>
      </x:c>
      <x:c r="G49" s="23" t="n">
        <x:f>SUMIFS(loan_transaction!$H$2:$H$954,loan_transaction!$C$2:$C$954,C49,loan_transaction!$D$2:$D$954,D49,loan_transaction!$G$2:$G$954,"Funded")</x:f>
        <x:v>395000</x:v>
      </x:c>
      <x:c r="H49" s="24" t="n">
        <x:f>IF(E49=0,"n.a.",G49/E49)</x:f>
        <x:v>1.1861861861861862</x:v>
      </x:c>
      <x:c r="I49" s="26" t="n">
        <x:f>IF(H49&lt;0.7,1,IF(H49&lt;0.9,2,IF(H49&lt;1.1,3,IF(H49&lt;1.3,4,5))))</x:f>
        <x:v>4</x:v>
      </x:c>
      <x:c r="J49" s="20" t="n">
        <x:v>46023.5</x:v>
      </x:c>
      <x:c r="K49" s="18" t="str">
        <x:v>Final</x:v>
      </x:c>
    </x:row>
    <x:row r="50" ht="15" hidden="0" customHeight="1">
      <x:c r="A50" s="18" t="str">
        <x:v>SNP0049</x:v>
      </x:c>
      <x:c r="B50" s="18" t="str">
        <x:v>REV0049</x:v>
      </x:c>
      <x:c r="C50" s="18" t="str">
        <x:v>EMP004</x:v>
      </x:c>
      <x:c r="D50" s="18" t="str">
        <x:v>CY2025Q4</x:v>
      </x:c>
      <x:c r="E50" s="23" t="n">
        <x:f>SUMIFS(performance_target!$F$2:$F$148,performance_target!$B$2:$B$148,D50,performance_target!$C$2:$C$148,"Employee",performance_target!$D$2:$D$148,C50)</x:f>
        <x:v>311500</x:v>
      </x:c>
      <x:c r="F50" s="25" t="n">
        <x:f>COUNTIFS(loan_transaction!$C$2:$C$954,C50,loan_transaction!$D$2:$D$954,D50,loan_transaction!$G$2:$G$954,"Funded")</x:f>
        <x:v>5</x:v>
      </x:c>
      <x:c r="G50" s="23" t="n">
        <x:f>SUMIFS(loan_transaction!$H$2:$H$954,loan_transaction!$C$2:$C$954,C50,loan_transaction!$D$2:$D$954,D50,loan_transaction!$G$2:$G$954,"Funded")</x:f>
        <x:v>251000</x:v>
      </x:c>
      <x:c r="H50" s="24" t="n">
        <x:f>IF(E50=0,"n.a.",G50/E50)</x:f>
        <x:v>0.8057784911717496</x:v>
      </x:c>
      <x:c r="I50" s="26" t="n">
        <x:f>IF(H50&lt;0.7,1,IF(H50&lt;0.9,2,IF(H50&lt;1.1,3,IF(H50&lt;1.3,4,5))))</x:f>
        <x:v>2</x:v>
      </x:c>
      <x:c r="J50" s="20" t="n">
        <x:v>46023.5</x:v>
      </x:c>
      <x:c r="K50" s="18" t="str">
        <x:v>Final</x:v>
      </x:c>
    </x:row>
    <x:row r="51" ht="15" hidden="0" customHeight="1">
      <x:c r="A51" s="18" t="str">
        <x:v>SNP0050</x:v>
      </x:c>
      <x:c r="B51" s="18" t="str">
        <x:v>REV0050</x:v>
      </x:c>
      <x:c r="C51" s="18" t="str">
        <x:v>EMP005</x:v>
      </x:c>
      <x:c r="D51" s="18" t="str">
        <x:v>CY2025Q4</x:v>
      </x:c>
      <x:c r="E51" s="23" t="n">
        <x:f>SUMIFS(performance_target!$F$2:$F$148,performance_target!$B$2:$B$148,D51,performance_target!$C$2:$C$148,"Employee",performance_target!$D$2:$D$148,C51)</x:f>
        <x:v>335000</x:v>
      </x:c>
      <x:c r="F51" s="25" t="n">
        <x:f>COUNTIFS(loan_transaction!$C$2:$C$954,C51,loan_transaction!$D$2:$D$954,D51,loan_transaction!$G$2:$G$954,"Funded")</x:f>
        <x:v>10</x:v>
      </x:c>
      <x:c r="G51" s="23" t="n">
        <x:f>SUMIFS(loan_transaction!$H$2:$H$954,loan_transaction!$C$2:$C$954,C51,loan_transaction!$D$2:$D$954,D51,loan_transaction!$G$2:$G$954,"Funded")</x:f>
        <x:v>402000</x:v>
      </x:c>
      <x:c r="H51" s="24" t="n">
        <x:f>IF(E51=0,"n.a.",G51/E51)</x:f>
        <x:v>1.2</x:v>
      </x:c>
      <x:c r="I51" s="26" t="n">
        <x:f>IF(H51&lt;0.7,1,IF(H51&lt;0.9,2,IF(H51&lt;1.1,3,IF(H51&lt;1.3,4,5))))</x:f>
        <x:v>4</x:v>
      </x:c>
      <x:c r="J51" s="20" t="n">
        <x:v>46023.5</x:v>
      </x:c>
      <x:c r="K51" s="18" t="str">
        <x:v>Final</x:v>
      </x:c>
    </x:row>
    <x:row r="52" ht="15" hidden="0" customHeight="1">
      <x:c r="A52" s="18" t="str">
        <x:v>SNP0051</x:v>
      </x:c>
      <x:c r="B52" s="18" t="str">
        <x:v>REV0051</x:v>
      </x:c>
      <x:c r="C52" s="18" t="str">
        <x:v>EMP006</x:v>
      </x:c>
      <x:c r="D52" s="18" t="str">
        <x:v>CY2025Q4</x:v>
      </x:c>
      <x:c r="E52" s="23" t="n">
        <x:f>SUMIFS(performance_target!$F$2:$F$148,performance_target!$B$2:$B$148,D52,performance_target!$C$2:$C$148,"Employee",performance_target!$D$2:$D$148,C52)</x:f>
        <x:v>358500</x:v>
      </x:c>
      <x:c r="F52" s="25" t="n">
        <x:f>COUNTIFS(loan_transaction!$C$2:$C$954,C52,loan_transaction!$D$2:$D$954,D52,loan_transaction!$G$2:$G$954,"Funded")</x:f>
        <x:v>9</x:v>
      </x:c>
      <x:c r="G52" s="23" t="n">
        <x:f>SUMIFS(loan_transaction!$H$2:$H$954,loan_transaction!$C$2:$C$954,C52,loan_transaction!$D$2:$D$954,D52,loan_transaction!$G$2:$G$954,"Funded")</x:f>
        <x:v>383000</x:v>
      </x:c>
      <x:c r="H52" s="24" t="n">
        <x:f>IF(E52=0,"n.a.",G52/E52)</x:f>
        <x:v>1.0683403068340307</x:v>
      </x:c>
      <x:c r="I52" s="26" t="n">
        <x:f>IF(H52&lt;0.7,1,IF(H52&lt;0.9,2,IF(H52&lt;1.1,3,IF(H52&lt;1.3,4,5))))</x:f>
        <x:v>3</x:v>
      </x:c>
      <x:c r="J52" s="20" t="n">
        <x:v>46023.5</x:v>
      </x:c>
      <x:c r="K52" s="18" t="str">
        <x:v>Final</x:v>
      </x:c>
    </x:row>
    <x:row r="53" ht="15" hidden="0" customHeight="1">
      <x:c r="A53" s="18" t="str">
        <x:v>SNP0052</x:v>
      </x:c>
      <x:c r="B53" s="18" t="str">
        <x:v>REV0052</x:v>
      </x:c>
      <x:c r="C53" s="18" t="str">
        <x:v>EMP007</x:v>
      </x:c>
      <x:c r="D53" s="18" t="str">
        <x:v>CY2025Q4</x:v>
      </x:c>
      <x:c r="E53" s="23" t="n">
        <x:f>SUMIFS(performance_target!$F$2:$F$148,performance_target!$B$2:$B$148,D53,performance_target!$C$2:$C$148,"Employee",performance_target!$D$2:$D$148,C53)</x:f>
        <x:v>337000</x:v>
      </x:c>
      <x:c r="F53" s="25" t="n">
        <x:f>COUNTIFS(loan_transaction!$C$2:$C$954,C53,loan_transaction!$D$2:$D$954,D53,loan_transaction!$G$2:$G$954,"Funded")</x:f>
        <x:v>7</x:v>
      </x:c>
      <x:c r="G53" s="23" t="n">
        <x:f>SUMIFS(loan_transaction!$H$2:$H$954,loan_transaction!$C$2:$C$954,C53,loan_transaction!$D$2:$D$954,D53,loan_transaction!$G$2:$G$954,"Funded")</x:f>
        <x:v>272000</x:v>
      </x:c>
      <x:c r="H53" s="24" t="n">
        <x:f>IF(E53=0,"n.a.",G53/E53)</x:f>
        <x:v>0.8071216617210683</x:v>
      </x:c>
      <x:c r="I53" s="26" t="n">
        <x:f>IF(H53&lt;0.7,1,IF(H53&lt;0.9,2,IF(H53&lt;1.1,3,IF(H53&lt;1.3,4,5))))</x:f>
        <x:v>2</x:v>
      </x:c>
      <x:c r="J53" s="20" t="n">
        <x:v>46023.5</x:v>
      </x:c>
      <x:c r="K53" s="18" t="str">
        <x:v>Final</x:v>
      </x:c>
    </x:row>
    <x:row r="54" ht="15" hidden="0" customHeight="1">
      <x:c r="A54" s="18" t="str">
        <x:v>SNP0053</x:v>
      </x:c>
      <x:c r="B54" s="18" t="str">
        <x:v>REV0053</x:v>
      </x:c>
      <x:c r="C54" s="18" t="str">
        <x:v>EMP008</x:v>
      </x:c>
      <x:c r="D54" s="18" t="str">
        <x:v>CY2025Q4</x:v>
      </x:c>
      <x:c r="E54" s="23" t="n">
        <x:f>SUMIFS(performance_target!$F$2:$F$148,performance_target!$B$2:$B$148,D54,performance_target!$C$2:$C$148,"Employee",performance_target!$D$2:$D$148,C54)</x:f>
        <x:v>360500</x:v>
      </x:c>
      <x:c r="F54" s="25" t="n">
        <x:f>COUNTIFS(loan_transaction!$C$2:$C$954,C54,loan_transaction!$D$2:$D$954,D54,loan_transaction!$G$2:$G$954,"Funded")</x:f>
        <x:v>6</x:v>
      </x:c>
      <x:c r="G54" s="23" t="n">
        <x:f>SUMIFS(loan_transaction!$H$2:$H$954,loan_transaction!$C$2:$C$954,C54,loan_transaction!$D$2:$D$954,D54,loan_transaction!$G$2:$G$954,"Funded")</x:f>
        <x:v>217000</x:v>
      </x:c>
      <x:c r="H54" s="24" t="n">
        <x:f>IF(E54=0,"n.a.",G54/E54)</x:f>
        <x:v>0.6019417475728155</x:v>
      </x:c>
      <x:c r="I54" s="26" t="n">
        <x:f>IF(H54&lt;0.7,1,IF(H54&lt;0.9,2,IF(H54&lt;1.1,3,IF(H54&lt;1.3,4,5))))</x:f>
        <x:v>1</x:v>
      </x:c>
      <x:c r="J54" s="20" t="n">
        <x:v>46023.5</x:v>
      </x:c>
      <x:c r="K54" s="18" t="str">
        <x:v>Final</x:v>
      </x:c>
    </x:row>
    <x:row r="55" ht="15" hidden="0" customHeight="1">
      <x:c r="A55" s="18" t="str">
        <x:v>SNP0054</x:v>
      </x:c>
      <x:c r="B55" s="18" t="str">
        <x:v>REV0054</x:v>
      </x:c>
      <x:c r="C55" s="18" t="str">
        <x:v>EMP009</x:v>
      </x:c>
      <x:c r="D55" s="18" t="str">
        <x:v>CY2025Q4</x:v>
      </x:c>
      <x:c r="E55" s="23" t="n">
        <x:f>SUMIFS(performance_target!$F$2:$F$148,performance_target!$B$2:$B$148,D55,performance_target!$C$2:$C$148,"Employee",performance_target!$D$2:$D$148,C55)</x:f>
        <x:v>384000</x:v>
      </x:c>
      <x:c r="F55" s="25" t="n">
        <x:f>COUNTIFS(loan_transaction!$C$2:$C$954,C55,loan_transaction!$D$2:$D$954,D55,loan_transaction!$G$2:$G$954,"Funded")</x:f>
        <x:v>13</x:v>
      </x:c>
      <x:c r="G55" s="23" t="n">
        <x:f>SUMIFS(loan_transaction!$H$2:$H$954,loan_transaction!$C$2:$C$954,C55,loan_transaction!$D$2:$D$954,D55,loan_transaction!$G$2:$G$954,"Funded")</x:f>
        <x:v>519000</x:v>
      </x:c>
      <x:c r="H55" s="24" t="n">
        <x:f>IF(E55=0,"n.a.",G55/E55)</x:f>
        <x:v>1.3515625</x:v>
      </x:c>
      <x:c r="I55" s="26" t="n">
        <x:f>IF(H55&lt;0.7,1,IF(H55&lt;0.9,2,IF(H55&lt;1.1,3,IF(H55&lt;1.3,4,5))))</x:f>
        <x:v>5</x:v>
      </x:c>
      <x:c r="J55" s="20" t="n">
        <x:v>46023.5</x:v>
      </x:c>
      <x:c r="K55" s="18" t="str">
        <x:v>Final</x:v>
      </x:c>
    </x:row>
    <x:row r="56" ht="15" hidden="0" customHeight="1">
      <x:c r="A56" s="18" t="str">
        <x:v>SNP0055</x:v>
      </x:c>
      <x:c r="B56" s="18" t="str">
        <x:v>REV0055</x:v>
      </x:c>
      <x:c r="C56" s="18" t="str">
        <x:v>EMP010</x:v>
      </x:c>
      <x:c r="D56" s="18" t="str">
        <x:v>CY2025Q4</x:v>
      </x:c>
      <x:c r="E56" s="23" t="n">
        <x:f>SUMIFS(performance_target!$F$2:$F$148,performance_target!$B$2:$B$148,D56,performance_target!$C$2:$C$148,"Employee",performance_target!$D$2:$D$148,C56)</x:f>
        <x:v>362500</x:v>
      </x:c>
      <x:c r="F56" s="25" t="n">
        <x:f>COUNTIFS(loan_transaction!$C$2:$C$954,C56,loan_transaction!$D$2:$D$954,D56,loan_transaction!$G$2:$G$954,"Funded")</x:f>
        <x:v>9</x:v>
      </x:c>
      <x:c r="G56" s="23" t="n">
        <x:f>SUMIFS(loan_transaction!$H$2:$H$954,loan_transaction!$C$2:$C$954,C56,loan_transaction!$D$2:$D$954,D56,loan_transaction!$G$2:$G$954,"Funded")</x:f>
        <x:v>414000</x:v>
      </x:c>
      <x:c r="H56" s="24" t="n">
        <x:f>IF(E56=0,"n.a.",G56/E56)</x:f>
        <x:v>1.1420689655172414</x:v>
      </x:c>
      <x:c r="I56" s="26" t="n">
        <x:f>IF(H56&lt;0.7,1,IF(H56&lt;0.9,2,IF(H56&lt;1.1,3,IF(H56&lt;1.3,4,5))))</x:f>
        <x:v>4</x:v>
      </x:c>
      <x:c r="J56" s="20" t="n">
        <x:v>46023.5</x:v>
      </x:c>
      <x:c r="K56" s="18" t="str">
        <x:v>Final</x:v>
      </x:c>
    </x:row>
    <x:row r="57" ht="15" hidden="0" customHeight="1">
      <x:c r="A57" s="18" t="str">
        <x:v>SNP0056</x:v>
      </x:c>
      <x:c r="B57" s="18" t="str">
        <x:v>REV0056</x:v>
      </x:c>
      <x:c r="C57" s="18" t="str">
        <x:v>EMP011</x:v>
      </x:c>
      <x:c r="D57" s="18" t="str">
        <x:v>CY2025Q4</x:v>
      </x:c>
      <x:c r="E57" s="23" t="n">
        <x:f>SUMIFS(performance_target!$F$2:$F$148,performance_target!$B$2:$B$148,D57,performance_target!$C$2:$C$148,"Employee",performance_target!$D$2:$D$148,C57)</x:f>
        <x:v>386000</x:v>
      </x:c>
      <x:c r="F57" s="25" t="n">
        <x:f>COUNTIFS(loan_transaction!$C$2:$C$954,C57,loan_transaction!$D$2:$D$954,D57,loan_transaction!$G$2:$G$954,"Funded")</x:f>
        <x:v>10</x:v>
      </x:c>
      <x:c r="G57" s="23" t="n">
        <x:f>SUMIFS(loan_transaction!$H$2:$H$954,loan_transaction!$C$2:$C$954,C57,loan_transaction!$D$2:$D$954,D57,loan_transaction!$G$2:$G$954,"Funded")</x:f>
        <x:v>379000</x:v>
      </x:c>
      <x:c r="H57" s="24" t="n">
        <x:f>IF(E57=0,"n.a.",G57/E57)</x:f>
        <x:v>0.9818652849740933</x:v>
      </x:c>
      <x:c r="I57" s="26" t="n">
        <x:f>IF(H57&lt;0.7,1,IF(H57&lt;0.9,2,IF(H57&lt;1.1,3,IF(H57&lt;1.3,4,5))))</x:f>
        <x:v>3</x:v>
      </x:c>
      <x:c r="J57" s="20" t="n">
        <x:v>46023.5</x:v>
      </x:c>
      <x:c r="K57" s="18" t="str">
        <x:v>Final</x:v>
      </x:c>
    </x:row>
    <x:row r="58" ht="15" hidden="0" customHeight="1">
      <x:c r="A58" s="18" t="str">
        <x:v>SNP0057</x:v>
      </x:c>
      <x:c r="B58" s="18" t="str">
        <x:v>REV0057</x:v>
      </x:c>
      <x:c r="C58" s="18" t="str">
        <x:v>EMP012</x:v>
      </x:c>
      <x:c r="D58" s="18" t="str">
        <x:v>CY2025Q4</x:v>
      </x:c>
      <x:c r="E58" s="23" t="n">
        <x:f>SUMIFS(performance_target!$F$2:$F$148,performance_target!$B$2:$B$148,D58,performance_target!$C$2:$C$148,"Employee",performance_target!$D$2:$D$148,C58)</x:f>
        <x:v>409500</x:v>
      </x:c>
      <x:c r="F58" s="25" t="n">
        <x:f>COUNTIFS(loan_transaction!$C$2:$C$954,C58,loan_transaction!$D$2:$D$954,D58,loan_transaction!$G$2:$G$954,"Funded")</x:f>
        <x:v>7</x:v>
      </x:c>
      <x:c r="G58" s="23" t="n">
        <x:f>SUMIFS(loan_transaction!$H$2:$H$954,loan_transaction!$C$2:$C$954,C58,loan_transaction!$D$2:$D$954,D58,loan_transaction!$G$2:$G$954,"Funded")</x:f>
        <x:v>334000</x:v>
      </x:c>
      <x:c r="H58" s="24" t="n">
        <x:f>IF(E58=0,"n.a.",G58/E58)</x:f>
        <x:v>0.8156288156288156</x:v>
      </x:c>
      <x:c r="I58" s="26" t="n">
        <x:f>IF(H58&lt;0.7,1,IF(H58&lt;0.9,2,IF(H58&lt;1.1,3,IF(H58&lt;1.3,4,5))))</x:f>
        <x:v>2</x:v>
      </x:c>
      <x:c r="J58" s="20" t="n">
        <x:v>46023.5</x:v>
      </x:c>
      <x:c r="K58" s="18" t="str">
        <x:v>Final</x:v>
      </x:c>
    </x:row>
    <x:row r="59" ht="15" hidden="0" customHeight="1">
      <x:c r="A59" s="18" t="str">
        <x:v>SNP0058</x:v>
      </x:c>
      <x:c r="B59" s="18" t="str">
        <x:v>REV0058</x:v>
      </x:c>
      <x:c r="C59" s="18" t="str">
        <x:v>EMP013</x:v>
      </x:c>
      <x:c r="D59" s="18" t="str">
        <x:v>CY2025Q4</x:v>
      </x:c>
      <x:c r="E59" s="23" t="n">
        <x:f>SUMIFS(performance_target!$F$2:$F$148,performance_target!$B$2:$B$148,D59,performance_target!$C$2:$C$148,"Employee",performance_target!$D$2:$D$148,C59)</x:f>
        <x:v>388000</x:v>
      </x:c>
      <x:c r="F59" s="25" t="n">
        <x:f>COUNTIFS(loan_transaction!$C$2:$C$954,C59,loan_transaction!$D$2:$D$954,D59,loan_transaction!$G$2:$G$954,"Funded")</x:f>
        <x:v>11</x:v>
      </x:c>
      <x:c r="G59" s="23" t="n">
        <x:f>SUMIFS(loan_transaction!$H$2:$H$954,loan_transaction!$C$2:$C$954,C59,loan_transaction!$D$2:$D$954,D59,loan_transaction!$G$2:$G$954,"Funded")</x:f>
        <x:v>474000</x:v>
      </x:c>
      <x:c r="H59" s="24" t="n">
        <x:f>IF(E59=0,"n.a.",G59/E59)</x:f>
        <x:v>1.2216494845360826</x:v>
      </x:c>
      <x:c r="I59" s="26" t="n">
        <x:f>IF(H59&lt;0.7,1,IF(H59&lt;0.9,2,IF(H59&lt;1.1,3,IF(H59&lt;1.3,4,5))))</x:f>
        <x:v>4</x:v>
      </x:c>
      <x:c r="J59" s="20" t="n">
        <x:v>46023.5</x:v>
      </x:c>
      <x:c r="K59" s="18" t="str">
        <x:v>Final</x:v>
      </x:c>
    </x:row>
    <x:row r="60" ht="15" hidden="0" customHeight="1">
      <x:c r="A60" s="18" t="str">
        <x:v>SNP0059</x:v>
      </x:c>
      <x:c r="B60" s="18" t="str">
        <x:v>REV0059</x:v>
      </x:c>
      <x:c r="C60" s="18" t="str">
        <x:v>EMP014</x:v>
      </x:c>
      <x:c r="D60" s="18" t="str">
        <x:v>CY2025Q4</x:v>
      </x:c>
      <x:c r="E60" s="23" t="n">
        <x:f>SUMIFS(performance_target!$F$2:$F$148,performance_target!$B$2:$B$148,D60,performance_target!$C$2:$C$148,"Employee",performance_target!$D$2:$D$148,C60)</x:f>
        <x:v>411500</x:v>
      </x:c>
      <x:c r="F60" s="25" t="n">
        <x:f>COUNTIFS(loan_transaction!$C$2:$C$954,C60,loan_transaction!$D$2:$D$954,D60,loan_transaction!$G$2:$G$954,"Funded")</x:f>
        <x:v>9</x:v>
      </x:c>
      <x:c r="G60" s="23" t="n">
        <x:f>SUMIFS(loan_transaction!$H$2:$H$954,loan_transaction!$C$2:$C$954,C60,loan_transaction!$D$2:$D$954,D60,loan_transaction!$G$2:$G$954,"Funded")</x:f>
        <x:v>424000</x:v>
      </x:c>
      <x:c r="H60" s="24" t="n">
        <x:f>IF(E60=0,"n.a.",G60/E60)</x:f>
        <x:v>1.0303766707168893</x:v>
      </x:c>
      <x:c r="I60" s="26" t="n">
        <x:f>IF(H60&lt;0.7,1,IF(H60&lt;0.9,2,IF(H60&lt;1.1,3,IF(H60&lt;1.3,4,5))))</x:f>
        <x:v>3</x:v>
      </x:c>
      <x:c r="J60" s="20" t="n">
        <x:v>46023.5</x:v>
      </x:c>
      <x:c r="K60" s="18" t="str">
        <x:v>Final</x:v>
      </x:c>
    </x:row>
    <x:row r="61" ht="15" hidden="0" customHeight="1">
      <x:c r="A61" s="18" t="str">
        <x:v>SNP0060</x:v>
      </x:c>
      <x:c r="B61" s="18" t="str">
        <x:v>REV0060</x:v>
      </x:c>
      <x:c r="C61" s="18" t="str">
        <x:v>EMP015</x:v>
      </x:c>
      <x:c r="D61" s="18" t="str">
        <x:v>CY2025Q4</x:v>
      </x:c>
      <x:c r="E61" s="23" t="n">
        <x:f>SUMIFS(performance_target!$F$2:$F$148,performance_target!$B$2:$B$148,D61,performance_target!$C$2:$C$148,"Employee",performance_target!$D$2:$D$148,C61)</x:f>
        <x:v>435000</x:v>
      </x:c>
      <x:c r="F61" s="25" t="n">
        <x:f>COUNTIFS(loan_transaction!$C$2:$C$954,C61,loan_transaction!$D$2:$D$954,D61,loan_transaction!$G$2:$G$954,"Funded")</x:f>
        <x:v>6</x:v>
      </x:c>
      <x:c r="G61" s="23" t="n">
        <x:f>SUMIFS(loan_transaction!$H$2:$H$954,loan_transaction!$C$2:$C$954,C61,loan_transaction!$D$2:$D$954,D61,loan_transaction!$G$2:$G$954,"Funded")</x:f>
        <x:v>227000</x:v>
      </x:c>
      <x:c r="H61" s="24" t="n">
        <x:f>IF(E61=0,"n.a.",G61/E61)</x:f>
        <x:v>0.5218390804597701</x:v>
      </x:c>
      <x:c r="I61" s="26" t="n">
        <x:f>IF(H61&lt;0.7,1,IF(H61&lt;0.9,2,IF(H61&lt;1.1,3,IF(H61&lt;1.3,4,5))))</x:f>
        <x:v>1</x:v>
      </x:c>
      <x:c r="J61" s="20" t="n">
        <x:v>46023.5</x:v>
      </x:c>
      <x:c r="K61" s="18" t="str">
        <x:v>Final</x:v>
      </x:c>
    </x:row>
    <x:row r="62" ht="15" hidden="0" customHeight="1">
      <x:c r="A62" s="18" t="str">
        <x:v>SNP0061</x:v>
      </x:c>
      <x:c r="B62" s="18" t="str">
        <x:v>REV0061</x:v>
      </x:c>
      <x:c r="C62" s="18" t="str">
        <x:v>EMP001</x:v>
      </x:c>
      <x:c r="D62" s="18" t="str">
        <x:v>CY2026Q1</x:v>
      </x:c>
      <x:c r="E62" s="23" t="n">
        <x:f>SUMIFS(performance_target!$F$2:$F$148,performance_target!$B$2:$B$148,D62,performance_target!$C$2:$C$148,"Employee",performance_target!$D$2:$D$148,C62)</x:f>
        <x:v>298000</x:v>
      </x:c>
      <x:c r="F62" s="25" t="n">
        <x:f>COUNTIFS(loan_transaction!$C$2:$C$954,C62,loan_transaction!$D$2:$D$954,D62,loan_transaction!$G$2:$G$954,"Funded")</x:f>
        <x:v>10</x:v>
      </x:c>
      <x:c r="G62" s="23" t="n">
        <x:f>SUMIFS(loan_transaction!$H$2:$H$954,loan_transaction!$C$2:$C$954,C62,loan_transaction!$D$2:$D$954,D62,loan_transaction!$G$2:$G$954,"Funded")</x:f>
        <x:v>409000</x:v>
      </x:c>
      <x:c r="H62" s="24" t="n">
        <x:f>IF(E62=0,"n.a.",G62/E62)</x:f>
        <x:v>1.3724832214765101</x:v>
      </x:c>
      <x:c r="I62" s="26" t="n">
        <x:f>IF(H62&lt;0.7,1,IF(H62&lt;0.9,2,IF(H62&lt;1.1,3,IF(H62&lt;1.3,4,5))))</x:f>
        <x:v>5</x:v>
      </x:c>
      <x:c r="J62" s="20" t="n">
        <x:v>46113.5</x:v>
      </x:c>
      <x:c r="K62" s="18" t="str">
        <x:v>Final</x:v>
      </x:c>
    </x:row>
    <x:row r="63" ht="15" hidden="0" customHeight="1">
      <x:c r="A63" s="18" t="str">
        <x:v>SNP0062</x:v>
      </x:c>
      <x:c r="B63" s="18" t="str">
        <x:v>REV0062</x:v>
      </x:c>
      <x:c r="C63" s="18" t="str">
        <x:v>EMP002</x:v>
      </x:c>
      <x:c r="D63" s="18" t="str">
        <x:v>CY2026Q1</x:v>
      </x:c>
      <x:c r="E63" s="23" t="n">
        <x:f>SUMIFS(performance_target!$F$2:$F$148,performance_target!$B$2:$B$148,D63,performance_target!$C$2:$C$148,"Employee",performance_target!$D$2:$D$148,C63)</x:f>
        <x:v>321500</x:v>
      </x:c>
      <x:c r="F63" s="25" t="n">
        <x:f>COUNTIFS(loan_transaction!$C$2:$C$954,C63,loan_transaction!$D$2:$D$954,D63,loan_transaction!$G$2:$G$954,"Funded")</x:f>
        <x:v>9</x:v>
      </x:c>
      <x:c r="G63" s="23" t="n">
        <x:f>SUMIFS(loan_transaction!$H$2:$H$954,loan_transaction!$C$2:$C$954,C63,loan_transaction!$D$2:$D$954,D63,loan_transaction!$G$2:$G$954,"Funded")</x:f>
        <x:v>389000</x:v>
      </x:c>
      <x:c r="H63" s="24" t="n">
        <x:f>IF(E63=0,"n.a.",G63/E63)</x:f>
        <x:v>1.2099533437013996</x:v>
      </x:c>
      <x:c r="I63" s="26" t="n">
        <x:f>IF(H63&lt;0.7,1,IF(H63&lt;0.9,2,IF(H63&lt;1.1,3,IF(H63&lt;1.3,4,5))))</x:f>
        <x:v>4</x:v>
      </x:c>
      <x:c r="J63" s="20" t="n">
        <x:v>46113.5</x:v>
      </x:c>
      <x:c r="K63" s="18" t="str">
        <x:v>Final</x:v>
      </x:c>
    </x:row>
    <x:row r="64" ht="15" hidden="0" customHeight="1">
      <x:c r="A64" s="18" t="str">
        <x:v>SNP0063</x:v>
      </x:c>
      <x:c r="B64" s="18" t="str">
        <x:v>REV0063</x:v>
      </x:c>
      <x:c r="C64" s="18" t="str">
        <x:v>EMP003</x:v>
      </x:c>
      <x:c r="D64" s="18" t="str">
        <x:v>CY2026Q1</x:v>
      </x:c>
      <x:c r="E64" s="23" t="n">
        <x:f>SUMIFS(performance_target!$F$2:$F$148,performance_target!$B$2:$B$148,D64,performance_target!$C$2:$C$148,"Employee",performance_target!$D$2:$D$148,C64)</x:f>
        <x:v>345000</x:v>
      </x:c>
      <x:c r="F64" s="25" t="n">
        <x:f>COUNTIFS(loan_transaction!$C$2:$C$954,C64,loan_transaction!$D$2:$D$954,D64,loan_transaction!$G$2:$G$954,"Funded")</x:f>
        <x:v>8</x:v>
      </x:c>
      <x:c r="G64" s="23" t="n">
        <x:f>SUMIFS(loan_transaction!$H$2:$H$954,loan_transaction!$C$2:$C$954,C64,loan_transaction!$D$2:$D$954,D64,loan_transaction!$G$2:$G$954,"Funded")</x:f>
        <x:v>366000</x:v>
      </x:c>
      <x:c r="H64" s="24" t="n">
        <x:f>IF(E64=0,"n.a.",G64/E64)</x:f>
        <x:v>1.0608695652173914</x:v>
      </x:c>
      <x:c r="I64" s="26" t="n">
        <x:f>IF(H64&lt;0.7,1,IF(H64&lt;0.9,2,IF(H64&lt;1.1,3,IF(H64&lt;1.3,4,5))))</x:f>
        <x:v>3</x:v>
      </x:c>
      <x:c r="J64" s="20" t="n">
        <x:v>46113.5</x:v>
      </x:c>
      <x:c r="K64" s="18" t="str">
        <x:v>Final</x:v>
      </x:c>
    </x:row>
    <x:row r="65" ht="15" hidden="0" customHeight="1">
      <x:c r="A65" s="18" t="str">
        <x:v>SNP0064</x:v>
      </x:c>
      <x:c r="B65" s="18" t="str">
        <x:v>REV0064</x:v>
      </x:c>
      <x:c r="C65" s="18" t="str">
        <x:v>EMP004</x:v>
      </x:c>
      <x:c r="D65" s="18" t="str">
        <x:v>CY2026Q1</x:v>
      </x:c>
      <x:c r="E65" s="23" t="n">
        <x:f>SUMIFS(performance_target!$F$2:$F$148,performance_target!$B$2:$B$148,D65,performance_target!$C$2:$C$148,"Employee",performance_target!$D$2:$D$148,C65)</x:f>
        <x:v>323500</x:v>
      </x:c>
      <x:c r="F65" s="25" t="n">
        <x:f>COUNTIFS(loan_transaction!$C$2:$C$954,C65,loan_transaction!$D$2:$D$954,D65,loan_transaction!$G$2:$G$954,"Funded")</x:f>
        <x:v>7</x:v>
      </x:c>
      <x:c r="G65" s="23" t="n">
        <x:f>SUMIFS(loan_transaction!$H$2:$H$954,loan_transaction!$C$2:$C$954,C65,loan_transaction!$D$2:$D$954,D65,loan_transaction!$G$2:$G$954,"Funded")</x:f>
        <x:v>261000</x:v>
      </x:c>
      <x:c r="H65" s="24" t="n">
        <x:f>IF(E65=0,"n.a.",G65/E65)</x:f>
        <x:v>0.8068006182380216</x:v>
      </x:c>
      <x:c r="I65" s="26" t="n">
        <x:f>IF(H65&lt;0.7,1,IF(H65&lt;0.9,2,IF(H65&lt;1.1,3,IF(H65&lt;1.3,4,5))))</x:f>
        <x:v>2</x:v>
      </x:c>
      <x:c r="J65" s="20" t="n">
        <x:v>46113.5</x:v>
      </x:c>
      <x:c r="K65" s="18" t="str">
        <x:v>Final</x:v>
      </x:c>
    </x:row>
    <x:row r="66" ht="15" hidden="0" customHeight="1">
      <x:c r="A66" s="18" t="str">
        <x:v>SNP0065</x:v>
      </x:c>
      <x:c r="B66" s="18" t="str">
        <x:v>REV0065</x:v>
      </x:c>
      <x:c r="C66" s="18" t="str">
        <x:v>EMP005</x:v>
      </x:c>
      <x:c r="D66" s="18" t="str">
        <x:v>CY2026Q1</x:v>
      </x:c>
      <x:c r="E66" s="23" t="n">
        <x:f>SUMIFS(performance_target!$F$2:$F$148,performance_target!$B$2:$B$148,D66,performance_target!$C$2:$C$148,"Employee",performance_target!$D$2:$D$148,C66)</x:f>
        <x:v>347000</x:v>
      </x:c>
      <x:c r="F66" s="25" t="n">
        <x:f>COUNTIFS(loan_transaction!$C$2:$C$954,C66,loan_transaction!$D$2:$D$954,D66,loan_transaction!$G$2:$G$954,"Funded")</x:f>
        <x:v>9</x:v>
      </x:c>
      <x:c r="G66" s="23" t="n">
        <x:f>SUMIFS(loan_transaction!$H$2:$H$954,loan_transaction!$C$2:$C$954,C66,loan_transaction!$D$2:$D$954,D66,loan_transaction!$G$2:$G$954,"Funded")</x:f>
        <x:v>354000</x:v>
      </x:c>
      <x:c r="H66" s="24" t="n">
        <x:f>IF(E66=0,"n.a.",G66/E66)</x:f>
        <x:v>1.0201729106628241</x:v>
      </x:c>
      <x:c r="I66" s="26" t="n">
        <x:f>IF(H66&lt;0.7,1,IF(H66&lt;0.9,2,IF(H66&lt;1.1,3,IF(H66&lt;1.3,4,5))))</x:f>
        <x:v>3</x:v>
      </x:c>
      <x:c r="J66" s="20" t="n">
        <x:v>46113.5</x:v>
      </x:c>
      <x:c r="K66" s="18" t="str">
        <x:v>Final</x:v>
      </x:c>
    </x:row>
    <x:row r="67" ht="15" hidden="0" customHeight="1">
      <x:c r="A67" s="18" t="str">
        <x:v>SNP0066</x:v>
      </x:c>
      <x:c r="B67" s="18" t="str">
        <x:v>REV0066</x:v>
      </x:c>
      <x:c r="C67" s="18" t="str">
        <x:v>EMP006</x:v>
      </x:c>
      <x:c r="D67" s="18" t="str">
        <x:v>CY2026Q1</x:v>
      </x:c>
      <x:c r="E67" s="23" t="n">
        <x:f>SUMIFS(performance_target!$F$2:$F$148,performance_target!$B$2:$B$148,D67,performance_target!$C$2:$C$148,"Employee",performance_target!$D$2:$D$148,C67)</x:f>
        <x:v>370500</x:v>
      </x:c>
      <x:c r="F67" s="25" t="n">
        <x:f>COUNTIFS(loan_transaction!$C$2:$C$954,C67,loan_transaction!$D$2:$D$954,D67,loan_transaction!$G$2:$G$954,"Funded")</x:f>
        <x:v>10</x:v>
      </x:c>
      <x:c r="G67" s="23" t="n">
        <x:f>SUMIFS(loan_transaction!$H$2:$H$954,loan_transaction!$C$2:$C$954,C67,loan_transaction!$D$2:$D$954,D67,loan_transaction!$G$2:$G$954,"Funded")</x:f>
        <x:v>379000</x:v>
      </x:c>
      <x:c r="H67" s="24" t="n">
        <x:f>IF(E67=0,"n.a.",G67/E67)</x:f>
        <x:v>1.0229419703103915</x:v>
      </x:c>
      <x:c r="I67" s="26" t="n">
        <x:f>IF(H67&lt;0.7,1,IF(H67&lt;0.9,2,IF(H67&lt;1.1,3,IF(H67&lt;1.3,4,5))))</x:f>
        <x:v>3</x:v>
      </x:c>
      <x:c r="J67" s="20" t="n">
        <x:v>46113.5</x:v>
      </x:c>
      <x:c r="K67" s="18" t="str">
        <x:v>Final</x:v>
      </x:c>
    </x:row>
    <x:row r="68" ht="15" hidden="0" customHeight="1">
      <x:c r="A68" s="18" t="str">
        <x:v>SNP0067</x:v>
      </x:c>
      <x:c r="B68" s="18" t="str">
        <x:v>REV0067</x:v>
      </x:c>
      <x:c r="C68" s="18" t="str">
        <x:v>EMP007</x:v>
      </x:c>
      <x:c r="D68" s="18" t="str">
        <x:v>CY2026Q1</x:v>
      </x:c>
      <x:c r="E68" s="23" t="n">
        <x:f>SUMIFS(performance_target!$F$2:$F$148,performance_target!$B$2:$B$148,D68,performance_target!$C$2:$C$148,"Employee",performance_target!$D$2:$D$148,C68)</x:f>
        <x:v>349000</x:v>
      </x:c>
      <x:c r="F68" s="25" t="n">
        <x:f>COUNTIFS(loan_transaction!$C$2:$C$954,C68,loan_transaction!$D$2:$D$954,D68,loan_transaction!$G$2:$G$954,"Funded")</x:f>
        <x:v>6</x:v>
      </x:c>
      <x:c r="G68" s="23" t="n">
        <x:f>SUMIFS(loan_transaction!$H$2:$H$954,loan_transaction!$C$2:$C$954,C68,loan_transaction!$D$2:$D$954,D68,loan_transaction!$G$2:$G$954,"Funded")</x:f>
        <x:v>262000</x:v>
      </x:c>
      <x:c r="H68" s="24" t="n">
        <x:f>IF(E68=0,"n.a.",G68/E68)</x:f>
        <x:v>0.7507163323782235</x:v>
      </x:c>
      <x:c r="I68" s="26" t="n">
        <x:f>IF(H68&lt;0.7,1,IF(H68&lt;0.9,2,IF(H68&lt;1.1,3,IF(H68&lt;1.3,4,5))))</x:f>
        <x:v>2</x:v>
      </x:c>
      <x:c r="J68" s="20" t="n">
        <x:v>46113.5</x:v>
      </x:c>
      <x:c r="K68" s="18" t="str">
        <x:v>Final</x:v>
      </x:c>
    </x:row>
    <x:row r="69" ht="15" hidden="0" customHeight="1">
      <x:c r="A69" s="18" t="str">
        <x:v>SNP0068</x:v>
      </x:c>
      <x:c r="B69" s="18" t="str">
        <x:v>REV0068</x:v>
      </x:c>
      <x:c r="C69" s="18" t="str">
        <x:v>EMP008</x:v>
      </x:c>
      <x:c r="D69" s="18" t="str">
        <x:v>CY2026Q1</x:v>
      </x:c>
      <x:c r="E69" s="23" t="n">
        <x:f>SUMIFS(performance_target!$F$2:$F$148,performance_target!$B$2:$B$148,D69,performance_target!$C$2:$C$148,"Employee",performance_target!$D$2:$D$148,C69)</x:f>
        <x:v>372500</x:v>
      </x:c>
      <x:c r="F69" s="25" t="n">
        <x:f>COUNTIFS(loan_transaction!$C$2:$C$954,C69,loan_transaction!$D$2:$D$954,D69,loan_transaction!$G$2:$G$954,"Funded")</x:f>
        <x:v>5</x:v>
      </x:c>
      <x:c r="G69" s="23" t="n">
        <x:f>SUMIFS(loan_transaction!$H$2:$H$954,loan_transaction!$C$2:$C$954,C69,loan_transaction!$D$2:$D$954,D69,loan_transaction!$G$2:$G$954,"Funded")</x:f>
        <x:v>228000</x:v>
      </x:c>
      <x:c r="H69" s="24" t="n">
        <x:f>IF(E69=0,"n.a.",G69/E69)</x:f>
        <x:v>0.6120805369127517</x:v>
      </x:c>
      <x:c r="I69" s="26" t="n">
        <x:f>IF(H69&lt;0.7,1,IF(H69&lt;0.9,2,IF(H69&lt;1.1,3,IF(H69&lt;1.3,4,5))))</x:f>
        <x:v>1</x:v>
      </x:c>
      <x:c r="J69" s="20" t="n">
        <x:v>46113.5</x:v>
      </x:c>
      <x:c r="K69" s="18" t="str">
        <x:v>Final</x:v>
      </x:c>
    </x:row>
    <x:row r="70" ht="15" hidden="0" customHeight="1">
      <x:c r="A70" s="18" t="str">
        <x:v>SNP0069</x:v>
      </x:c>
      <x:c r="B70" s="18" t="str">
        <x:v>REV0069</x:v>
      </x:c>
      <x:c r="C70" s="18" t="str">
        <x:v>EMP009</x:v>
      </x:c>
      <x:c r="D70" s="18" t="str">
        <x:v>CY2026Q1</x:v>
      </x:c>
      <x:c r="E70" s="23" t="n">
        <x:f>SUMIFS(performance_target!$F$2:$F$148,performance_target!$B$2:$B$148,D70,performance_target!$C$2:$C$148,"Employee",performance_target!$D$2:$D$148,C70)</x:f>
        <x:v>396000</x:v>
      </x:c>
      <x:c r="F70" s="25" t="n">
        <x:f>COUNTIFS(loan_transaction!$C$2:$C$954,C70,loan_transaction!$D$2:$D$954,D70,loan_transaction!$G$2:$G$954,"Funded")</x:f>
        <x:v>15</x:v>
      </x:c>
      <x:c r="G70" s="23" t="n">
        <x:f>SUMIFS(loan_transaction!$H$2:$H$954,loan_transaction!$C$2:$C$954,C70,loan_transaction!$D$2:$D$954,D70,loan_transaction!$G$2:$G$954,"Funded")</x:f>
        <x:v>585000</x:v>
      </x:c>
      <x:c r="H70" s="24" t="n">
        <x:f>IF(E70=0,"n.a.",G70/E70)</x:f>
        <x:v>1.4772727272727273</x:v>
      </x:c>
      <x:c r="I70" s="26" t="n">
        <x:f>IF(H70&lt;0.7,1,IF(H70&lt;0.9,2,IF(H70&lt;1.1,3,IF(H70&lt;1.3,4,5))))</x:f>
        <x:v>5</x:v>
      </x:c>
      <x:c r="J70" s="20" t="n">
        <x:v>46113.5</x:v>
      </x:c>
      <x:c r="K70" s="18" t="str">
        <x:v>Final</x:v>
      </x:c>
    </x:row>
    <x:row r="71" ht="15" hidden="0" customHeight="1">
      <x:c r="A71" s="18" t="str">
        <x:v>SNP0070</x:v>
      </x:c>
      <x:c r="B71" s="18" t="str">
        <x:v>REV0070</x:v>
      </x:c>
      <x:c r="C71" s="18" t="str">
        <x:v>EMP010</x:v>
      </x:c>
      <x:c r="D71" s="18" t="str">
        <x:v>CY2026Q1</x:v>
      </x:c>
      <x:c r="E71" s="23" t="n">
        <x:f>SUMIFS(performance_target!$F$2:$F$148,performance_target!$B$2:$B$148,D71,performance_target!$C$2:$C$148,"Employee",performance_target!$D$2:$D$148,C71)</x:f>
        <x:v>374500</x:v>
      </x:c>
      <x:c r="F71" s="25" t="n">
        <x:f>COUNTIFS(loan_transaction!$C$2:$C$954,C71,loan_transaction!$D$2:$D$954,D71,loan_transaction!$G$2:$G$954,"Funded")</x:f>
        <x:v>9</x:v>
      </x:c>
      <x:c r="G71" s="23" t="n">
        <x:f>SUMIFS(loan_transaction!$H$2:$H$954,loan_transaction!$C$2:$C$954,C71,loan_transaction!$D$2:$D$954,D71,loan_transaction!$G$2:$G$954,"Funded")</x:f>
        <x:v>430000</x:v>
      </x:c>
      <x:c r="H71" s="24" t="n">
        <x:f>IF(E71=0,"n.a.",G71/E71)</x:f>
        <x:v>1.1481975967957276</x:v>
      </x:c>
      <x:c r="I71" s="26" t="n">
        <x:f>IF(H71&lt;0.7,1,IF(H71&lt;0.9,2,IF(H71&lt;1.1,3,IF(H71&lt;1.3,4,5))))</x:f>
        <x:v>4</x:v>
      </x:c>
      <x:c r="J71" s="20" t="n">
        <x:v>46113.5</x:v>
      </x:c>
      <x:c r="K71" s="18" t="str">
        <x:v>Final</x:v>
      </x:c>
    </x:row>
    <x:row r="72" ht="15" hidden="0" customHeight="1">
      <x:c r="A72" s="18" t="str">
        <x:v>SNP0071</x:v>
      </x:c>
      <x:c r="B72" s="18" t="str">
        <x:v>REV0071</x:v>
      </x:c>
      <x:c r="C72" s="18" t="str">
        <x:v>EMP011</x:v>
      </x:c>
      <x:c r="D72" s="18" t="str">
        <x:v>CY2026Q1</x:v>
      </x:c>
      <x:c r="E72" s="23" t="n">
        <x:f>SUMIFS(performance_target!$F$2:$F$148,performance_target!$B$2:$B$148,D72,performance_target!$C$2:$C$148,"Employee",performance_target!$D$2:$D$148,C72)</x:f>
        <x:v>398000</x:v>
      </x:c>
      <x:c r="F72" s="25" t="n">
        <x:f>COUNTIFS(loan_transaction!$C$2:$C$954,C72,loan_transaction!$D$2:$D$954,D72,loan_transaction!$G$2:$G$954,"Funded")</x:f>
        <x:v>11</x:v>
      </x:c>
      <x:c r="G72" s="23" t="n">
        <x:f>SUMIFS(loan_transaction!$H$2:$H$954,loan_transaction!$C$2:$C$954,C72,loan_transaction!$D$2:$D$954,D72,loan_transaction!$G$2:$G$954,"Funded")</x:f>
        <x:v>410000</x:v>
      </x:c>
      <x:c r="H72" s="24" t="n">
        <x:f>IF(E72=0,"n.a.",G72/E72)</x:f>
        <x:v>1.0301507537688441</x:v>
      </x:c>
      <x:c r="I72" s="26" t="n">
        <x:f>IF(H72&lt;0.7,1,IF(H72&lt;0.9,2,IF(H72&lt;1.1,3,IF(H72&lt;1.3,4,5))))</x:f>
        <x:v>3</x:v>
      </x:c>
      <x:c r="J72" s="20" t="n">
        <x:v>46113.5</x:v>
      </x:c>
      <x:c r="K72" s="18" t="str">
        <x:v>Final</x:v>
      </x:c>
    </x:row>
    <x:row r="73" ht="15" hidden="0" customHeight="1">
      <x:c r="A73" s="18" t="str">
        <x:v>SNP0072</x:v>
      </x:c>
      <x:c r="B73" s="18" t="str">
        <x:v>REV0072</x:v>
      </x:c>
      <x:c r="C73" s="18" t="str">
        <x:v>EMP012</x:v>
      </x:c>
      <x:c r="D73" s="18" t="str">
        <x:v>CY2026Q1</x:v>
      </x:c>
      <x:c r="E73" s="23" t="n">
        <x:f>SUMIFS(performance_target!$F$2:$F$148,performance_target!$B$2:$B$148,D73,performance_target!$C$2:$C$148,"Employee",performance_target!$D$2:$D$148,C73)</x:f>
        <x:v>421500</x:v>
      </x:c>
      <x:c r="F73" s="25" t="n">
        <x:f>COUNTIFS(loan_transaction!$C$2:$C$954,C73,loan_transaction!$D$2:$D$954,D73,loan_transaction!$G$2:$G$954,"Funded")</x:f>
        <x:v>8</x:v>
      </x:c>
      <x:c r="G73" s="23" t="n">
        <x:f>SUMIFS(loan_transaction!$H$2:$H$954,loan_transaction!$C$2:$C$954,C73,loan_transaction!$D$2:$D$954,D73,loan_transaction!$G$2:$G$954,"Funded")</x:f>
        <x:v>335000</x:v>
      </x:c>
      <x:c r="H73" s="24" t="n">
        <x:f>IF(E73=0,"n.a.",G73/E73)</x:f>
        <x:v>0.7947805456702254</x:v>
      </x:c>
      <x:c r="I73" s="26" t="n">
        <x:f>IF(H73&lt;0.7,1,IF(H73&lt;0.9,2,IF(H73&lt;1.1,3,IF(H73&lt;1.3,4,5))))</x:f>
        <x:v>2</x:v>
      </x:c>
      <x:c r="J73" s="20" t="n">
        <x:v>46113.5</x:v>
      </x:c>
      <x:c r="K73" s="18" t="str">
        <x:v>Final</x:v>
      </x:c>
    </x:row>
    <x:row r="74" ht="15" hidden="0" customHeight="1">
      <x:c r="A74" s="18" t="str">
        <x:v>SNP0073</x:v>
      </x:c>
      <x:c r="B74" s="18" t="str">
        <x:v>REV0073</x:v>
      </x:c>
      <x:c r="C74" s="18" t="str">
        <x:v>EMP013</x:v>
      </x:c>
      <x:c r="D74" s="18" t="str">
        <x:v>CY2026Q1</x:v>
      </x:c>
      <x:c r="E74" s="23" t="n">
        <x:f>SUMIFS(performance_target!$F$2:$F$148,performance_target!$B$2:$B$148,D74,performance_target!$C$2:$C$148,"Employee",performance_target!$D$2:$D$148,C74)</x:f>
        <x:v>400000</x:v>
      </x:c>
      <x:c r="F74" s="25" t="n">
        <x:f>COUNTIFS(loan_transaction!$C$2:$C$954,C74,loan_transaction!$D$2:$D$954,D74,loan_transaction!$G$2:$G$954,"Funded")</x:f>
        <x:v>12</x:v>
      </x:c>
      <x:c r="G74" s="23" t="n">
        <x:f>SUMIFS(loan_transaction!$H$2:$H$954,loan_transaction!$C$2:$C$954,C74,loan_transaction!$D$2:$D$954,D74,loan_transaction!$G$2:$G$954,"Funded")</x:f>
        <x:v>463000</x:v>
      </x:c>
      <x:c r="H74" s="24" t="n">
        <x:f>IF(E74=0,"n.a.",G74/E74)</x:f>
        <x:v>1.1575</x:v>
      </x:c>
      <x:c r="I74" s="26" t="n">
        <x:f>IF(H74&lt;0.7,1,IF(H74&lt;0.9,2,IF(H74&lt;1.1,3,IF(H74&lt;1.3,4,5))))</x:f>
        <x:v>4</x:v>
      </x:c>
      <x:c r="J74" s="20" t="n">
        <x:v>46113.5</x:v>
      </x:c>
      <x:c r="K74" s="18" t="str">
        <x:v>Final</x:v>
      </x:c>
    </x:row>
    <x:row r="75" ht="15" hidden="0" customHeight="1">
      <x:c r="A75" s="18" t="str">
        <x:v>SNP0074</x:v>
      </x:c>
      <x:c r="B75" s="18" t="str">
        <x:v>REV0074</x:v>
      </x:c>
      <x:c r="C75" s="18" t="str">
        <x:v>EMP014</x:v>
      </x:c>
      <x:c r="D75" s="18" t="str">
        <x:v>CY2026Q1</x:v>
      </x:c>
      <x:c r="E75" s="23" t="n">
        <x:f>SUMIFS(performance_target!$F$2:$F$148,performance_target!$B$2:$B$148,D75,performance_target!$C$2:$C$148,"Employee",performance_target!$D$2:$D$148,C75)</x:f>
        <x:v>423500</x:v>
      </x:c>
      <x:c r="F75" s="25" t="n">
        <x:f>COUNTIFS(loan_transaction!$C$2:$C$954,C75,loan_transaction!$D$2:$D$954,D75,loan_transaction!$G$2:$G$954,"Funded")</x:f>
        <x:v>12</x:v>
      </x:c>
      <x:c r="G75" s="23" t="n">
        <x:f>SUMIFS(loan_transaction!$H$2:$H$954,loan_transaction!$C$2:$C$954,C75,loan_transaction!$D$2:$D$954,D75,loan_transaction!$G$2:$G$954,"Funded")</x:f>
        <x:v>499000</x:v>
      </x:c>
      <x:c r="H75" s="24" t="n">
        <x:f>IF(E75=0,"n.a.",G75/E75)</x:f>
        <x:v>1.17827626918536</x:v>
      </x:c>
      <x:c r="I75" s="26" t="n">
        <x:f>IF(H75&lt;0.7,1,IF(H75&lt;0.9,2,IF(H75&lt;1.1,3,IF(H75&lt;1.3,4,5))))</x:f>
        <x:v>4</x:v>
      </x:c>
      <x:c r="J75" s="20" t="n">
        <x:v>46113.5</x:v>
      </x:c>
      <x:c r="K75" s="18" t="str">
        <x:v>Final</x:v>
      </x:c>
    </x:row>
    <x:row r="76" ht="15" hidden="0" customHeight="1">
      <x:c r="A76" s="18" t="str">
        <x:v>SNP0075</x:v>
      </x:c>
      <x:c r="B76" s="18" t="str">
        <x:v>REV0075</x:v>
      </x:c>
      <x:c r="C76" s="18" t="str">
        <x:v>EMP015</x:v>
      </x:c>
      <x:c r="D76" s="18" t="str">
        <x:v>CY2026Q1</x:v>
      </x:c>
      <x:c r="E76" s="23" t="n">
        <x:f>SUMIFS(performance_target!$F$2:$F$148,performance_target!$B$2:$B$148,D76,performance_target!$C$2:$C$148,"Employee",performance_target!$D$2:$D$148,C76)</x:f>
        <x:v>447000</x:v>
      </x:c>
      <x:c r="F76" s="25" t="n">
        <x:f>COUNTIFS(loan_transaction!$C$2:$C$954,C76,loan_transaction!$D$2:$D$954,D76,loan_transaction!$G$2:$G$954,"Funded")</x:f>
        <x:v>8</x:v>
      </x:c>
      <x:c r="G76" s="23" t="n">
        <x:f>SUMIFS(loan_transaction!$H$2:$H$954,loan_transaction!$C$2:$C$954,C76,loan_transaction!$D$2:$D$954,D76,loan_transaction!$G$2:$G$954,"Funded")</x:f>
        <x:v>291000</x:v>
      </x:c>
      <x:c r="H76" s="24" t="n">
        <x:f>IF(E76=0,"n.a.",G76/E76)</x:f>
        <x:v>0.6510067114093959</x:v>
      </x:c>
      <x:c r="I76" s="26" t="n">
        <x:f>IF(H76&lt;0.7,1,IF(H76&lt;0.9,2,IF(H76&lt;1.1,3,IF(H76&lt;1.3,4,5))))</x:f>
        <x:v>1</x:v>
      </x:c>
      <x:c r="J76" s="20" t="n">
        <x:v>46113.5</x:v>
      </x:c>
      <x:c r="K76" s="18" t="str">
        <x:v>Final</x:v>
      </x:c>
    </x:row>
    <x:row r="77" ht="15" hidden="0" customHeight="1">
      <x:c r="A77" s="18" t="str">
        <x:v>SNP0076</x:v>
      </x:c>
      <x:c r="B77" s="18" t="str">
        <x:v>REV0076</x:v>
      </x:c>
      <x:c r="C77" s="18" t="str">
        <x:v>EMP001</x:v>
      </x:c>
      <x:c r="D77" s="18" t="str">
        <x:v>CY2026Q2</x:v>
      </x:c>
      <x:c r="E77" s="23" t="n">
        <x:f>SUMIFS(performance_target!$F$2:$F$148,performance_target!$B$2:$B$148,D77,performance_target!$C$2:$C$148,"Employee",performance_target!$D$2:$D$148,C77)</x:f>
        <x:v>310000</x:v>
      </x:c>
      <x:c r="F77" s="25" t="n">
        <x:f>COUNTIFS(loan_transaction!$C$2:$C$954,C77,loan_transaction!$D$2:$D$954,D77,loan_transaction!$G$2:$G$954,"Funded")</x:f>
        <x:v>10</x:v>
      </x:c>
      <x:c r="G77" s="23" t="n">
        <x:f>SUMIFS(loan_transaction!$H$2:$H$954,loan_transaction!$C$2:$C$954,C77,loan_transaction!$D$2:$D$954,D77,loan_transaction!$G$2:$G$954,"Funded")</x:f>
        <x:v>424000</x:v>
      </x:c>
      <x:c r="H77" s="24" t="n">
        <x:f>IF(E77=0,"n.a.",G77/E77)</x:f>
        <x:v>1.367741935483871</x:v>
      </x:c>
      <x:c r="I77" s="26" t="n">
        <x:f>IF(H77&lt;0.7,1,IF(H77&lt;0.9,2,IF(H77&lt;1.1,3,IF(H77&lt;1.3,4,5))))</x:f>
        <x:v>5</x:v>
      </x:c>
      <x:c r="J77" s="20" t="n">
        <x:v>46204.5</x:v>
      </x:c>
      <x:c r="K77" s="18" t="str">
        <x:v>Final</x:v>
      </x:c>
    </x:row>
    <x:row r="78" ht="15" hidden="0" customHeight="1">
      <x:c r="A78" s="18" t="str">
        <x:v>SNP0077</x:v>
      </x:c>
      <x:c r="B78" s="18" t="str">
        <x:v>REV0077</x:v>
      </x:c>
      <x:c r="C78" s="18" t="str">
        <x:v>EMP002</x:v>
      </x:c>
      <x:c r="D78" s="18" t="str">
        <x:v>CY2026Q2</x:v>
      </x:c>
      <x:c r="E78" s="23" t="n">
        <x:f>SUMIFS(performance_target!$F$2:$F$148,performance_target!$B$2:$B$148,D78,performance_target!$C$2:$C$148,"Employee",performance_target!$D$2:$D$148,C78)</x:f>
        <x:v>333500</x:v>
      </x:c>
      <x:c r="F78" s="25" t="n">
        <x:f>COUNTIFS(loan_transaction!$C$2:$C$954,C78,loan_transaction!$D$2:$D$954,D78,loan_transaction!$G$2:$G$954,"Funded")</x:f>
        <x:v>10</x:v>
      </x:c>
      <x:c r="G78" s="23" t="n">
        <x:f>SUMIFS(loan_transaction!$H$2:$H$954,loan_transaction!$C$2:$C$954,C78,loan_transaction!$D$2:$D$954,D78,loan_transaction!$G$2:$G$954,"Funded")</x:f>
        <x:v>396000</x:v>
      </x:c>
      <x:c r="H78" s="24" t="n">
        <x:f>IF(E78=0,"n.a.",G78/E78)</x:f>
        <x:v>1.1874062968515742</x:v>
      </x:c>
      <x:c r="I78" s="26" t="n">
        <x:f>IF(H78&lt;0.7,1,IF(H78&lt;0.9,2,IF(H78&lt;1.1,3,IF(H78&lt;1.3,4,5))))</x:f>
        <x:v>4</x:v>
      </x:c>
      <x:c r="J78" s="20" t="n">
        <x:v>46204.5</x:v>
      </x:c>
      <x:c r="K78" s="18" t="str">
        <x:v>Final</x:v>
      </x:c>
    </x:row>
    <x:row r="79" ht="15" hidden="0" customHeight="1">
      <x:c r="A79" s="18" t="str">
        <x:v>SNP0078</x:v>
      </x:c>
      <x:c r="B79" s="18" t="str">
        <x:v>REV0078</x:v>
      </x:c>
      <x:c r="C79" s="18" t="str">
        <x:v>EMP003</x:v>
      </x:c>
      <x:c r="D79" s="18" t="str">
        <x:v>CY2026Q2</x:v>
      </x:c>
      <x:c r="E79" s="23" t="n">
        <x:f>SUMIFS(performance_target!$F$2:$F$148,performance_target!$B$2:$B$148,D79,performance_target!$C$2:$C$148,"Employee",performance_target!$D$2:$D$148,C79)</x:f>
        <x:v>357000</x:v>
      </x:c>
      <x:c r="F79" s="25" t="n">
        <x:f>COUNTIFS(loan_transaction!$C$2:$C$954,C79,loan_transaction!$D$2:$D$954,D79,loan_transaction!$G$2:$G$954,"Funded")</x:f>
        <x:v>10</x:v>
      </x:c>
      <x:c r="G79" s="23" t="n">
        <x:f>SUMIFS(loan_transaction!$H$2:$H$954,loan_transaction!$C$2:$C$954,C79,loan_transaction!$D$2:$D$954,D79,loan_transaction!$G$2:$G$954,"Funded")</x:f>
        <x:v>368000</x:v>
      </x:c>
      <x:c r="H79" s="24" t="n">
        <x:f>IF(E79=0,"n.a.",G79/E79)</x:f>
        <x:v>1.0308123249299719</x:v>
      </x:c>
      <x:c r="I79" s="26" t="n">
        <x:f>IF(H79&lt;0.7,1,IF(H79&lt;0.9,2,IF(H79&lt;1.1,3,IF(H79&lt;1.3,4,5))))</x:f>
        <x:v>3</x:v>
      </x:c>
      <x:c r="J79" s="20" t="n">
        <x:v>46204.5</x:v>
      </x:c>
      <x:c r="K79" s="18" t="str">
        <x:v>Final</x:v>
      </x:c>
    </x:row>
    <x:row r="80" ht="15" hidden="0" customHeight="1">
      <x:c r="A80" s="18" t="str">
        <x:v>SNP0079</x:v>
      </x:c>
      <x:c r="B80" s="18" t="str">
        <x:v>REV0079</x:v>
      </x:c>
      <x:c r="C80" s="18" t="str">
        <x:v>EMP004</x:v>
      </x:c>
      <x:c r="D80" s="18" t="str">
        <x:v>CY2026Q2</x:v>
      </x:c>
      <x:c r="E80" s="23" t="n">
        <x:f>SUMIFS(performance_target!$F$2:$F$148,performance_target!$B$2:$B$148,D80,performance_target!$C$2:$C$148,"Employee",performance_target!$D$2:$D$148,C80)</x:f>
        <x:v>335500</x:v>
      </x:c>
      <x:c r="F80" s="25" t="n">
        <x:f>COUNTIFS(loan_transaction!$C$2:$C$954,C80,loan_transaction!$D$2:$D$954,D80,loan_transaction!$G$2:$G$954,"Funded")</x:f>
        <x:v>6</x:v>
      </x:c>
      <x:c r="G80" s="23" t="n">
        <x:f>SUMIFS(loan_transaction!$H$2:$H$954,loan_transaction!$C$2:$C$954,C80,loan_transaction!$D$2:$D$954,D80,loan_transaction!$G$2:$G$954,"Funded")</x:f>
        <x:v>289000</x:v>
      </x:c>
      <x:c r="H80" s="24" t="n">
        <x:f>IF(E80=0,"n.a.",G80/E80)</x:f>
        <x:v>0.8614008941877794</x:v>
      </x:c>
      <x:c r="I80" s="26" t="n">
        <x:f>IF(H80&lt;0.7,1,IF(H80&lt;0.9,2,IF(H80&lt;1.1,3,IF(H80&lt;1.3,4,5))))</x:f>
        <x:v>2</x:v>
      </x:c>
      <x:c r="J80" s="20" t="n">
        <x:v>46204.5</x:v>
      </x:c>
      <x:c r="K80" s="18" t="str">
        <x:v>Final</x:v>
      </x:c>
    </x:row>
    <x:row r="81" ht="15" hidden="0" customHeight="1">
      <x:c r="A81" s="18" t="str">
        <x:v>SNP0080</x:v>
      </x:c>
      <x:c r="B81" s="18" t="str">
        <x:v>REV0080</x:v>
      </x:c>
      <x:c r="C81" s="18" t="str">
        <x:v>EMP005</x:v>
      </x:c>
      <x:c r="D81" s="18" t="str">
        <x:v>CY2026Q2</x:v>
      </x:c>
      <x:c r="E81" s="23" t="n">
        <x:f>SUMIFS(performance_target!$F$2:$F$148,performance_target!$B$2:$B$148,D81,performance_target!$C$2:$C$148,"Employee",performance_target!$D$2:$D$148,C81)</x:f>
        <x:v>359000</x:v>
      </x:c>
      <x:c r="F81" s="25" t="n">
        <x:f>COUNTIFS(loan_transaction!$C$2:$C$954,C81,loan_transaction!$D$2:$D$954,D81,loan_transaction!$G$2:$G$954,"Funded")</x:f>
        <x:v>9</x:v>
      </x:c>
      <x:c r="G81" s="23" t="n">
        <x:f>SUMIFS(loan_transaction!$H$2:$H$954,loan_transaction!$C$2:$C$954,C81,loan_transaction!$D$2:$D$954,D81,loan_transaction!$G$2:$G$954,"Funded")</x:f>
        <x:v>411000</x:v>
      </x:c>
      <x:c r="H81" s="24" t="n">
        <x:f>IF(E81=0,"n.a.",G81/E81)</x:f>
        <x:v>1.1448467966573816</x:v>
      </x:c>
      <x:c r="I81" s="26" t="n">
        <x:f>IF(H81&lt;0.7,1,IF(H81&lt;0.9,2,IF(H81&lt;1.1,3,IF(H81&lt;1.3,4,5))))</x:f>
        <x:v>4</x:v>
      </x:c>
      <x:c r="J81" s="20" t="n">
        <x:v>46204.5</x:v>
      </x:c>
      <x:c r="K81" s="18" t="str">
        <x:v>Final</x:v>
      </x:c>
    </x:row>
    <x:row r="82" ht="15" hidden="0" customHeight="1">
      <x:c r="A82" s="18" t="str">
        <x:v>SNP0081</x:v>
      </x:c>
      <x:c r="B82" s="18" t="str">
        <x:v>REV0081</x:v>
      </x:c>
      <x:c r="C82" s="18" t="str">
        <x:v>EMP006</x:v>
      </x:c>
      <x:c r="D82" s="18" t="str">
        <x:v>CY2026Q2</x:v>
      </x:c>
      <x:c r="E82" s="23" t="n">
        <x:f>SUMIFS(performance_target!$F$2:$F$148,performance_target!$B$2:$B$148,D82,performance_target!$C$2:$C$148,"Employee",performance_target!$D$2:$D$148,C82)</x:f>
        <x:v>382500</x:v>
      </x:c>
      <x:c r="F82" s="25" t="n">
        <x:f>COUNTIFS(loan_transaction!$C$2:$C$954,C82,loan_transaction!$D$2:$D$954,D82,loan_transaction!$G$2:$G$954,"Funded")</x:f>
        <x:v>9</x:v>
      </x:c>
      <x:c r="G82" s="23" t="n">
        <x:f>SUMIFS(loan_transaction!$H$2:$H$954,loan_transaction!$C$2:$C$954,C82,loan_transaction!$D$2:$D$954,D82,loan_transaction!$G$2:$G$954,"Funded")</x:f>
        <x:v>393000</x:v>
      </x:c>
      <x:c r="H82" s="24" t="n">
        <x:f>IF(E82=0,"n.a.",G82/E82)</x:f>
        <x:v>1.0274509803921568</x:v>
      </x:c>
      <x:c r="I82" s="26" t="n">
        <x:f>IF(H82&lt;0.7,1,IF(H82&lt;0.9,2,IF(H82&lt;1.1,3,IF(H82&lt;1.3,4,5))))</x:f>
        <x:v>3</x:v>
      </x:c>
      <x:c r="J82" s="20" t="n">
        <x:v>46204.5</x:v>
      </x:c>
      <x:c r="K82" s="18" t="str">
        <x:v>Final</x:v>
      </x:c>
    </x:row>
    <x:row r="83" ht="15" hidden="0" customHeight="1">
      <x:c r="A83" s="18" t="str">
        <x:v>SNP0082</x:v>
      </x:c>
      <x:c r="B83" s="18" t="str">
        <x:v>REV0082</x:v>
      </x:c>
      <x:c r="C83" s="18" t="str">
        <x:v>EMP007</x:v>
      </x:c>
      <x:c r="D83" s="18" t="str">
        <x:v>CY2026Q2</x:v>
      </x:c>
      <x:c r="E83" s="23" t="n">
        <x:f>SUMIFS(performance_target!$F$2:$F$148,performance_target!$B$2:$B$148,D83,performance_target!$C$2:$C$148,"Employee",performance_target!$D$2:$D$148,C83)</x:f>
        <x:v>361000</x:v>
      </x:c>
      <x:c r="F83" s="25" t="n">
        <x:f>COUNTIFS(loan_transaction!$C$2:$C$954,C83,loan_transaction!$D$2:$D$954,D83,loan_transaction!$G$2:$G$954,"Funded")</x:f>
        <x:v>8</x:v>
      </x:c>
      <x:c r="G83" s="23" t="n">
        <x:f>SUMIFS(loan_transaction!$H$2:$H$954,loan_transaction!$C$2:$C$954,C83,loan_transaction!$D$2:$D$954,D83,loan_transaction!$G$2:$G$954,"Funded")</x:f>
        <x:v>384000</x:v>
      </x:c>
      <x:c r="H83" s="24" t="n">
        <x:f>IF(E83=0,"n.a.",G83/E83)</x:f>
        <x:v>1.0637119113573408</x:v>
      </x:c>
      <x:c r="I83" s="26" t="n">
        <x:f>IF(H83&lt;0.7,1,IF(H83&lt;0.9,2,IF(H83&lt;1.1,3,IF(H83&lt;1.3,4,5))))</x:f>
        <x:v>3</x:v>
      </x:c>
      <x:c r="J83" s="20" t="n">
        <x:v>46204.5</x:v>
      </x:c>
      <x:c r="K83" s="18" t="str">
        <x:v>Final</x:v>
      </x:c>
    </x:row>
    <x:row r="84" ht="15" hidden="0" customHeight="1">
      <x:c r="A84" s="18" t="str">
        <x:v>SNP0083</x:v>
      </x:c>
      <x:c r="B84" s="18" t="str">
        <x:v>REV0083</x:v>
      </x:c>
      <x:c r="C84" s="18" t="str">
        <x:v>EMP008</x:v>
      </x:c>
      <x:c r="D84" s="18" t="str">
        <x:v>CY2026Q2</x:v>
      </x:c>
      <x:c r="E84" s="23" t="n">
        <x:f>SUMIFS(performance_target!$F$2:$F$148,performance_target!$B$2:$B$148,D84,performance_target!$C$2:$C$148,"Employee",performance_target!$D$2:$D$148,C84)</x:f>
        <x:v>384500</x:v>
      </x:c>
      <x:c r="F84" s="25" t="n">
        <x:f>COUNTIFS(loan_transaction!$C$2:$C$954,C84,loan_transaction!$D$2:$D$954,D84,loan_transaction!$G$2:$G$954,"Funded")</x:f>
        <x:v>6</x:v>
      </x:c>
      <x:c r="G84" s="23" t="n">
        <x:f>SUMIFS(loan_transaction!$H$2:$H$954,loan_transaction!$C$2:$C$954,C84,loan_transaction!$D$2:$D$954,D84,loan_transaction!$G$2:$G$954,"Funded")</x:f>
        <x:v>231000</x:v>
      </x:c>
      <x:c r="H84" s="24" t="n">
        <x:f>IF(E84=0,"n.a.",G84/E84)</x:f>
        <x:v>0.6007802340702211</x:v>
      </x:c>
      <x:c r="I84" s="26" t="n">
        <x:f>IF(H84&lt;0.7,1,IF(H84&lt;0.9,2,IF(H84&lt;1.1,3,IF(H84&lt;1.3,4,5))))</x:f>
        <x:v>1</x:v>
      </x:c>
      <x:c r="J84" s="20" t="n">
        <x:v>46204.5</x:v>
      </x:c>
      <x:c r="K84" s="18" t="str">
        <x:v>Final</x:v>
      </x:c>
    </x:row>
    <x:row r="85" ht="15" hidden="0" customHeight="1">
      <x:c r="A85" s="18" t="str">
        <x:v>SNP0084</x:v>
      </x:c>
      <x:c r="B85" s="18" t="str">
        <x:v>REV0084</x:v>
      </x:c>
      <x:c r="C85" s="18" t="str">
        <x:v>EMP009</x:v>
      </x:c>
      <x:c r="D85" s="18" t="str">
        <x:v>CY2026Q2</x:v>
      </x:c>
      <x:c r="E85" s="23" t="n">
        <x:f>SUMIFS(performance_target!$F$2:$F$148,performance_target!$B$2:$B$148,D85,performance_target!$C$2:$C$148,"Employee",performance_target!$D$2:$D$148,C85)</x:f>
        <x:v>408000</x:v>
      </x:c>
      <x:c r="F85" s="25" t="n">
        <x:f>COUNTIFS(loan_transaction!$C$2:$C$954,C85,loan_transaction!$D$2:$D$954,D85,loan_transaction!$G$2:$G$954,"Funded")</x:f>
        <x:v>15</x:v>
      </x:c>
      <x:c r="G85" s="23" t="n">
        <x:f>SUMIFS(loan_transaction!$H$2:$H$954,loan_transaction!$C$2:$C$954,C85,loan_transaction!$D$2:$D$954,D85,loan_transaction!$G$2:$G$954,"Funded")</x:f>
        <x:v>583000</x:v>
      </x:c>
      <x:c r="H85" s="24" t="n">
        <x:f>IF(E85=0,"n.a.",G85/E85)</x:f>
        <x:v>1.428921568627451</x:v>
      </x:c>
      <x:c r="I85" s="26" t="n">
        <x:f>IF(H85&lt;0.7,1,IF(H85&lt;0.9,2,IF(H85&lt;1.1,3,IF(H85&lt;1.3,4,5))))</x:f>
        <x:v>5</x:v>
      </x:c>
      <x:c r="J85" s="20" t="n">
        <x:v>46204.5</x:v>
      </x:c>
      <x:c r="K85" s="18" t="str">
        <x:v>Final</x:v>
      </x:c>
    </x:row>
    <x:row r="86" ht="15" hidden="0" customHeight="1">
      <x:c r="A86" s="18" t="str">
        <x:v>SNP0085</x:v>
      </x:c>
      <x:c r="B86" s="18" t="str">
        <x:v>REV0085</x:v>
      </x:c>
      <x:c r="C86" s="18" t="str">
        <x:v>EMP010</x:v>
      </x:c>
      <x:c r="D86" s="18" t="str">
        <x:v>CY2026Q2</x:v>
      </x:c>
      <x:c r="E86" s="23" t="n">
        <x:f>SUMIFS(performance_target!$F$2:$F$148,performance_target!$B$2:$B$148,D86,performance_target!$C$2:$C$148,"Employee",performance_target!$D$2:$D$148,C86)</x:f>
        <x:v>386500</x:v>
      </x:c>
      <x:c r="F86" s="25" t="n">
        <x:f>COUNTIFS(loan_transaction!$C$2:$C$954,C86,loan_transaction!$D$2:$D$954,D86,loan_transaction!$G$2:$G$954,"Funded")</x:f>
        <x:v>9</x:v>
      </x:c>
      <x:c r="G86" s="23" t="n">
        <x:f>SUMIFS(loan_transaction!$H$2:$H$954,loan_transaction!$C$2:$C$954,C86,loan_transaction!$D$2:$D$954,D86,loan_transaction!$G$2:$G$954,"Funded")</x:f>
        <x:v>442000</x:v>
      </x:c>
      <x:c r="H86" s="24" t="n">
        <x:f>IF(E86=0,"n.a.",G86/E86)</x:f>
        <x:v>1.1435963777490297</x:v>
      </x:c>
      <x:c r="I86" s="26" t="n">
        <x:f>IF(H86&lt;0.7,1,IF(H86&lt;0.9,2,IF(H86&lt;1.1,3,IF(H86&lt;1.3,4,5))))</x:f>
        <x:v>4</x:v>
      </x:c>
      <x:c r="J86" s="20" t="n">
        <x:v>46204.5</x:v>
      </x:c>
      <x:c r="K86" s="18" t="str">
        <x:v>Final</x:v>
      </x:c>
    </x:row>
    <x:row r="87" ht="15" hidden="0" customHeight="1">
      <x:c r="A87" s="18" t="str">
        <x:v>SNP0086</x:v>
      </x:c>
      <x:c r="B87" s="18" t="str">
        <x:v>REV0086</x:v>
      </x:c>
      <x:c r="C87" s="18" t="str">
        <x:v>EMP011</x:v>
      </x:c>
      <x:c r="D87" s="18" t="str">
        <x:v>CY2026Q2</x:v>
      </x:c>
      <x:c r="E87" s="23" t="n">
        <x:f>SUMIFS(performance_target!$F$2:$F$148,performance_target!$B$2:$B$148,D87,performance_target!$C$2:$C$148,"Employee",performance_target!$D$2:$D$148,C87)</x:f>
        <x:v>410000</x:v>
      </x:c>
      <x:c r="F87" s="25" t="n">
        <x:f>COUNTIFS(loan_transaction!$C$2:$C$954,C87,loan_transaction!$D$2:$D$954,D87,loan_transaction!$G$2:$G$954,"Funded")</x:f>
        <x:v>9</x:v>
      </x:c>
      <x:c r="G87" s="23" t="n">
        <x:f>SUMIFS(loan_transaction!$H$2:$H$954,loan_transaction!$C$2:$C$954,C87,loan_transaction!$D$2:$D$954,D87,loan_transaction!$G$2:$G$954,"Funded")</x:f>
        <x:v>413000</x:v>
      </x:c>
      <x:c r="H87" s="24" t="n">
        <x:f>IF(E87=0,"n.a.",G87/E87)</x:f>
        <x:v>1.0073170731707317</x:v>
      </x:c>
      <x:c r="I87" s="26" t="n">
        <x:f>IF(H87&lt;0.7,1,IF(H87&lt;0.9,2,IF(H87&lt;1.1,3,IF(H87&lt;1.3,4,5))))</x:f>
        <x:v>3</x:v>
      </x:c>
      <x:c r="J87" s="20" t="n">
        <x:v>46204.5</x:v>
      </x:c>
      <x:c r="K87" s="18" t="str">
        <x:v>Final</x:v>
      </x:c>
    </x:row>
    <x:row r="88" ht="15" hidden="0" customHeight="1">
      <x:c r="A88" s="18" t="str">
        <x:v>SNP0087</x:v>
      </x:c>
      <x:c r="B88" s="18" t="str">
        <x:v>REV0087</x:v>
      </x:c>
      <x:c r="C88" s="18" t="str">
        <x:v>EMP012</x:v>
      </x:c>
      <x:c r="D88" s="18" t="str">
        <x:v>CY2026Q2</x:v>
      </x:c>
      <x:c r="E88" s="23" t="n">
        <x:f>SUMIFS(performance_target!$F$2:$F$148,performance_target!$B$2:$B$148,D88,performance_target!$C$2:$C$148,"Employee",performance_target!$D$2:$D$148,C88)</x:f>
        <x:v>433500</x:v>
      </x:c>
      <x:c r="F88" s="25" t="n">
        <x:f>COUNTIFS(loan_transaction!$C$2:$C$954,C88,loan_transaction!$D$2:$D$954,D88,loan_transaction!$G$2:$G$954,"Funded")</x:f>
        <x:v>9</x:v>
      </x:c>
      <x:c r="G88" s="23" t="n">
        <x:f>SUMIFS(loan_transaction!$H$2:$H$954,loan_transaction!$C$2:$C$954,C88,loan_transaction!$D$2:$D$954,D88,loan_transaction!$G$2:$G$954,"Funded")</x:f>
        <x:v>353000</x:v>
      </x:c>
      <x:c r="H88" s="24" t="n">
        <x:f>IF(E88=0,"n.a.",G88/E88)</x:f>
        <x:v>0.8143021914648212</x:v>
      </x:c>
      <x:c r="I88" s="26" t="n">
        <x:f>IF(H88&lt;0.7,1,IF(H88&lt;0.9,2,IF(H88&lt;1.1,3,IF(H88&lt;1.3,4,5))))</x:f>
        <x:v>2</x:v>
      </x:c>
      <x:c r="J88" s="20" t="n">
        <x:v>46204.5</x:v>
      </x:c>
      <x:c r="K88" s="18" t="str">
        <x:v>Final</x:v>
      </x:c>
    </x:row>
    <x:row r="89" ht="15" hidden="0" customHeight="1">
      <x:c r="A89" s="18" t="str">
        <x:v>SNP0088</x:v>
      </x:c>
      <x:c r="B89" s="18" t="str">
        <x:v>REV0088</x:v>
      </x:c>
      <x:c r="C89" s="18" t="str">
        <x:v>EMP013</x:v>
      </x:c>
      <x:c r="D89" s="18" t="str">
        <x:v>CY2026Q2</x:v>
      </x:c>
      <x:c r="E89" s="23" t="n">
        <x:f>SUMIFS(performance_target!$F$2:$F$148,performance_target!$B$2:$B$148,D89,performance_target!$C$2:$C$148,"Employee",performance_target!$D$2:$D$148,C89)</x:f>
        <x:v>412000</x:v>
      </x:c>
      <x:c r="F89" s="25" t="n">
        <x:f>COUNTIFS(loan_transaction!$C$2:$C$954,C89,loan_transaction!$D$2:$D$954,D89,loan_transaction!$G$2:$G$954,"Funded")</x:f>
        <x:v>10</x:v>
      </x:c>
      <x:c r="G89" s="23" t="n">
        <x:f>SUMIFS(loan_transaction!$H$2:$H$954,loan_transaction!$C$2:$C$954,C89,loan_transaction!$D$2:$D$954,D89,loan_transaction!$G$2:$G$954,"Funded")</x:f>
        <x:v>487000</x:v>
      </x:c>
      <x:c r="H89" s="24" t="n">
        <x:f>IF(E89=0,"n.a.",G89/E89)</x:f>
        <x:v>1.1820388349514563</x:v>
      </x:c>
      <x:c r="I89" s="26" t="n">
        <x:f>IF(H89&lt;0.7,1,IF(H89&lt;0.9,2,IF(H89&lt;1.1,3,IF(H89&lt;1.3,4,5))))</x:f>
        <x:v>4</x:v>
      </x:c>
      <x:c r="J89" s="20" t="n">
        <x:v>46204.5</x:v>
      </x:c>
      <x:c r="K89" s="18" t="str">
        <x:v>Final</x:v>
      </x:c>
    </x:row>
    <x:row r="90" ht="15" hidden="0" customHeight="1">
      <x:c r="A90" s="18" t="str">
        <x:v>SNP0089</x:v>
      </x:c>
      <x:c r="B90" s="18" t="str">
        <x:v>REV0089</x:v>
      </x:c>
      <x:c r="C90" s="18" t="str">
        <x:v>EMP014</x:v>
      </x:c>
      <x:c r="D90" s="18" t="str">
        <x:v>CY2026Q2</x:v>
      </x:c>
      <x:c r="E90" s="23" t="n">
        <x:f>SUMIFS(performance_target!$F$2:$F$148,performance_target!$B$2:$B$148,D90,performance_target!$C$2:$C$148,"Employee",performance_target!$D$2:$D$148,C90)</x:f>
        <x:v>435500</x:v>
      </x:c>
      <x:c r="F90" s="25" t="n">
        <x:f>COUNTIFS(loan_transaction!$C$2:$C$954,C90,loan_transaction!$D$2:$D$954,D90,loan_transaction!$G$2:$G$954,"Funded")</x:f>
        <x:v>10</x:v>
      </x:c>
      <x:c r="G90" s="23" t="n">
        <x:f>SUMIFS(loan_transaction!$H$2:$H$954,loan_transaction!$C$2:$C$954,C90,loan_transaction!$D$2:$D$954,D90,loan_transaction!$G$2:$G$954,"Funded")</x:f>
        <x:v>431000</x:v>
      </x:c>
      <x:c r="H90" s="24" t="n">
        <x:f>IF(E90=0,"n.a.",G90/E90)</x:f>
        <x:v>0.9896670493685419</x:v>
      </x:c>
      <x:c r="I90" s="26" t="n">
        <x:f>IF(H90&lt;0.7,1,IF(H90&lt;0.9,2,IF(H90&lt;1.1,3,IF(H90&lt;1.3,4,5))))</x:f>
        <x:v>3</x:v>
      </x:c>
      <x:c r="J90" s="20" t="n">
        <x:v>46204.5</x:v>
      </x:c>
      <x:c r="K90" s="18" t="str">
        <x:v>Final</x:v>
      </x:c>
    </x:row>
    <x:row r="91" ht="15" hidden="0" customHeight="1">
      <x:c r="A91" s="18" t="str">
        <x:v>SNP0090</x:v>
      </x:c>
      <x:c r="B91" s="18" t="str">
        <x:v>REV0090</x:v>
      </x:c>
      <x:c r="C91" s="18" t="str">
        <x:v>EMP015</x:v>
      </x:c>
      <x:c r="D91" s="18" t="str">
        <x:v>CY2026Q2</x:v>
      </x:c>
      <x:c r="E91" s="23" t="n">
        <x:f>SUMIFS(performance_target!$F$2:$F$148,performance_target!$B$2:$B$148,D91,performance_target!$C$2:$C$148,"Employee",performance_target!$D$2:$D$148,C91)</x:f>
        <x:v>459000</x:v>
      </x:c>
      <x:c r="F91" s="25" t="n">
        <x:f>COUNTIFS(loan_transaction!$C$2:$C$954,C91,loan_transaction!$D$2:$D$954,D91,loan_transaction!$G$2:$G$954,"Funded")</x:f>
        <x:v>7</x:v>
      </x:c>
      <x:c r="G91" s="23" t="n">
        <x:f>SUMIFS(loan_transaction!$H$2:$H$954,loan_transaction!$C$2:$C$954,C91,loan_transaction!$D$2:$D$954,D91,loan_transaction!$G$2:$G$954,"Funded")</x:f>
        <x:v>240000</x:v>
      </x:c>
      <x:c r="H91" s="24" t="n">
        <x:f>IF(E91=0,"n.a.",G91/E91)</x:f>
        <x:v>0.5228758169934641</x:v>
      </x:c>
      <x:c r="I91" s="26" t="n">
        <x:f>IF(H91&lt;0.7,1,IF(H91&lt;0.9,2,IF(H91&lt;1.1,3,IF(H91&lt;1.3,4,5))))</x:f>
        <x:v>1</x:v>
      </x:c>
      <x:c r="J91" s="20" t="n">
        <x:v>46204.5</x:v>
      </x:c>
      <x:c r="K91" s="18" t="str">
        <x:v>Final</x:v>
      </x:c>
    </x:row>
    <x:row r="92" ht="15" hidden="0" customHeight="1">
      <x:c r="A92" s="18" t="str">
        <x:v>SNP0091</x:v>
      </x:c>
      <x:c r="B92" s="18" t="str">
        <x:v>REV0091</x:v>
      </x:c>
      <x:c r="C92" s="18" t="str">
        <x:v>EMP001</x:v>
      </x:c>
      <x:c r="D92" s="18" t="str">
        <x:v>CY2026Q3</x:v>
      </x:c>
      <x:c r="E92" s="23" t="n">
        <x:f>SUMIFS(performance_target!$F$2:$F$148,performance_target!$B$2:$B$148,D92,performance_target!$C$2:$C$148,"Employee",performance_target!$D$2:$D$148,C92)</x:f>
        <x:v>322000</x:v>
      </x:c>
      <x:c r="F92" s="25" t="n">
        <x:f>COUNTIFS(loan_transaction!$C$2:$C$954,C92,loan_transaction!$D$2:$D$954,D92,loan_transaction!$G$2:$G$954,"Funded")</x:f>
        <x:v>12</x:v>
      </x:c>
      <x:c r="G92" s="23" t="n">
        <x:f>SUMIFS(loan_transaction!$H$2:$H$954,loan_transaction!$C$2:$C$954,C92,loan_transaction!$D$2:$D$954,D92,loan_transaction!$G$2:$G$954,"Funded")</x:f>
        <x:v>476000</x:v>
      </x:c>
      <x:c r="H92" s="24" t="n">
        <x:f>IF(E92=0,"n.a.",G92/E92)</x:f>
        <x:v>1.4782608695652173</x:v>
      </x:c>
      <x:c r="I92" s="26" t="n">
        <x:f>IF(H92&lt;0.7,1,IF(H92&lt;0.9,2,IF(H92&lt;1.1,3,IF(H92&lt;1.3,4,5))))</x:f>
        <x:v>5</x:v>
      </x:c>
      <x:c r="J92" s="20" t="n">
        <x:v>46296.5</x:v>
      </x:c>
      <x:c r="K92" s="18" t="str">
        <x:v>Final</x:v>
      </x:c>
    </x:row>
    <x:row r="93" ht="15" hidden="0" customHeight="1">
      <x:c r="A93" s="18" t="str">
        <x:v>SNP0092</x:v>
      </x:c>
      <x:c r="B93" s="18" t="str">
        <x:v>REV0092</x:v>
      </x:c>
      <x:c r="C93" s="18" t="str">
        <x:v>EMP002</x:v>
      </x:c>
      <x:c r="D93" s="18" t="str">
        <x:v>CY2026Q3</x:v>
      </x:c>
      <x:c r="E93" s="23" t="n">
        <x:f>SUMIFS(performance_target!$F$2:$F$148,performance_target!$B$2:$B$148,D93,performance_target!$C$2:$C$148,"Employee",performance_target!$D$2:$D$148,C93)</x:f>
        <x:v>345500</x:v>
      </x:c>
      <x:c r="F93" s="25" t="n">
        <x:f>COUNTIFS(loan_transaction!$C$2:$C$954,C93,loan_transaction!$D$2:$D$954,D93,loan_transaction!$G$2:$G$954,"Funded")</x:f>
        <x:v>11</x:v>
      </x:c>
      <x:c r="G93" s="23" t="n">
        <x:f>SUMIFS(loan_transaction!$H$2:$H$954,loan_transaction!$C$2:$C$954,C93,loan_transaction!$D$2:$D$954,D93,loan_transaction!$G$2:$G$954,"Funded")</x:f>
        <x:v>423000</x:v>
      </x:c>
      <x:c r="H93" s="24" t="n">
        <x:f>IF(E93=0,"n.a.",G93/E93)</x:f>
        <x:v>1.2243125904486252</x:v>
      </x:c>
      <x:c r="I93" s="26" t="n">
        <x:f>IF(H93&lt;0.7,1,IF(H93&lt;0.9,2,IF(H93&lt;1.1,3,IF(H93&lt;1.3,4,5))))</x:f>
        <x:v>4</x:v>
      </x:c>
      <x:c r="J93" s="20" t="n">
        <x:v>46296.5</x:v>
      </x:c>
      <x:c r="K93" s="18" t="str">
        <x:v>Final</x:v>
      </x:c>
    </x:row>
    <x:row r="94" ht="15" hidden="0" customHeight="1">
      <x:c r="A94" s="18" t="str">
        <x:v>SNP0093</x:v>
      </x:c>
      <x:c r="B94" s="18" t="str">
        <x:v>REV0093</x:v>
      </x:c>
      <x:c r="C94" s="18" t="str">
        <x:v>EMP003</x:v>
      </x:c>
      <x:c r="D94" s="18" t="str">
        <x:v>CY2026Q3</x:v>
      </x:c>
      <x:c r="E94" s="23" t="n">
        <x:f>SUMIFS(performance_target!$F$2:$F$148,performance_target!$B$2:$B$148,D94,performance_target!$C$2:$C$148,"Employee",performance_target!$D$2:$D$148,C94)</x:f>
        <x:v>369000</x:v>
      </x:c>
      <x:c r="F94" s="25" t="n">
        <x:f>COUNTIFS(loan_transaction!$C$2:$C$954,C94,loan_transaction!$D$2:$D$954,D94,loan_transaction!$G$2:$G$954,"Funded")</x:f>
        <x:v>8</x:v>
      </x:c>
      <x:c r="G94" s="23" t="n">
        <x:f>SUMIFS(loan_transaction!$H$2:$H$954,loan_transaction!$C$2:$C$954,C94,loan_transaction!$D$2:$D$954,D94,loan_transaction!$G$2:$G$954,"Funded")</x:f>
        <x:v>367000</x:v>
      </x:c>
      <x:c r="H94" s="24" t="n">
        <x:f>IF(E94=0,"n.a.",G94/E94)</x:f>
        <x:v>0.994579945799458</x:v>
      </x:c>
      <x:c r="I94" s="26" t="n">
        <x:f>IF(H94&lt;0.7,1,IF(H94&lt;0.9,2,IF(H94&lt;1.1,3,IF(H94&lt;1.3,4,5))))</x:f>
        <x:v>3</x:v>
      </x:c>
      <x:c r="J94" s="20" t="n">
        <x:v>46296.5</x:v>
      </x:c>
      <x:c r="K94" s="18" t="str">
        <x:v>Final</x:v>
      </x:c>
    </x:row>
    <x:row r="95" ht="15" hidden="0" customHeight="1">
      <x:c r="A95" s="18" t="str">
        <x:v>SNP0094</x:v>
      </x:c>
      <x:c r="B95" s="18" t="str">
        <x:v>REV0094</x:v>
      </x:c>
      <x:c r="C95" s="18" t="str">
        <x:v>EMP004</x:v>
      </x:c>
      <x:c r="D95" s="18" t="str">
        <x:v>CY2026Q3</x:v>
      </x:c>
      <x:c r="E95" s="23" t="n">
        <x:f>SUMIFS(performance_target!$F$2:$F$148,performance_target!$B$2:$B$148,D95,performance_target!$C$2:$C$148,"Employee",performance_target!$D$2:$D$148,C95)</x:f>
        <x:v>347500</x:v>
      </x:c>
      <x:c r="F95" s="25" t="n">
        <x:f>COUNTIFS(loan_transaction!$C$2:$C$954,C95,loan_transaction!$D$2:$D$954,D95,loan_transaction!$G$2:$G$954,"Funded")</x:f>
        <x:v>7</x:v>
      </x:c>
      <x:c r="G95" s="23" t="n">
        <x:f>SUMIFS(loan_transaction!$H$2:$H$954,loan_transaction!$C$2:$C$954,C95,loan_transaction!$D$2:$D$954,D95,loan_transaction!$G$2:$G$954,"Funded")</x:f>
        <x:v>291000</x:v>
      </x:c>
      <x:c r="H95" s="24" t="n">
        <x:f>IF(E95=0,"n.a.",G95/E95)</x:f>
        <x:v>0.837410071942446</x:v>
      </x:c>
      <x:c r="I95" s="26" t="n">
        <x:f>IF(H95&lt;0.7,1,IF(H95&lt;0.9,2,IF(H95&lt;1.1,3,IF(H95&lt;1.3,4,5))))</x:f>
        <x:v>2</x:v>
      </x:c>
      <x:c r="J95" s="20" t="n">
        <x:v>46296.5</x:v>
      </x:c>
      <x:c r="K95" s="18" t="str">
        <x:v>Final</x:v>
      </x:c>
    </x:row>
    <x:row r="96" ht="15" hidden="0" customHeight="1">
      <x:c r="A96" s="18" t="str">
        <x:v>SNP0095</x:v>
      </x:c>
      <x:c r="B96" s="18" t="str">
        <x:v>REV0095</x:v>
      </x:c>
      <x:c r="C96" s="18" t="str">
        <x:v>EMP005</x:v>
      </x:c>
      <x:c r="D96" s="18" t="str">
        <x:v>CY2026Q3</x:v>
      </x:c>
      <x:c r="E96" s="23" t="n">
        <x:f>SUMIFS(performance_target!$F$2:$F$148,performance_target!$B$2:$B$148,D96,performance_target!$C$2:$C$148,"Employee",performance_target!$D$2:$D$148,C96)</x:f>
        <x:v>371000</x:v>
      </x:c>
      <x:c r="F96" s="25" t="n">
        <x:f>COUNTIFS(loan_transaction!$C$2:$C$954,C96,loan_transaction!$D$2:$D$954,D96,loan_transaction!$G$2:$G$954,"Funded")</x:f>
        <x:v>11</x:v>
      </x:c>
      <x:c r="G96" s="23" t="n">
        <x:f>SUMIFS(loan_transaction!$H$2:$H$954,loan_transaction!$C$2:$C$954,C96,loan_transaction!$D$2:$D$954,D96,loan_transaction!$G$2:$G$954,"Funded")</x:f>
        <x:v>462000</x:v>
      </x:c>
      <x:c r="H96" s="24" t="n">
        <x:f>IF(E96=0,"n.a.",G96/E96)</x:f>
        <x:v>1.2452830188679245</x:v>
      </x:c>
      <x:c r="I96" s="26" t="n">
        <x:f>IF(H96&lt;0.7,1,IF(H96&lt;0.9,2,IF(H96&lt;1.1,3,IF(H96&lt;1.3,4,5))))</x:f>
        <x:v>4</x:v>
      </x:c>
      <x:c r="J96" s="20" t="n">
        <x:v>46296.5</x:v>
      </x:c>
      <x:c r="K96" s="18" t="str">
        <x:v>Final</x:v>
      </x:c>
    </x:row>
    <x:row r="97" ht="15" hidden="0" customHeight="1">
      <x:c r="A97" s="18" t="str">
        <x:v>SNP0096</x:v>
      </x:c>
      <x:c r="B97" s="18" t="str">
        <x:v>REV0096</x:v>
      </x:c>
      <x:c r="C97" s="18" t="str">
        <x:v>EMP006</x:v>
      </x:c>
      <x:c r="D97" s="18" t="str">
        <x:v>CY2026Q3</x:v>
      </x:c>
      <x:c r="E97" s="23" t="n">
        <x:f>SUMIFS(performance_target!$F$2:$F$148,performance_target!$B$2:$B$148,D97,performance_target!$C$2:$C$148,"Employee",performance_target!$D$2:$D$148,C97)</x:f>
        <x:v>394500</x:v>
      </x:c>
      <x:c r="F97" s="25" t="n">
        <x:f>COUNTIFS(loan_transaction!$C$2:$C$954,C97,loan_transaction!$D$2:$D$954,D97,loan_transaction!$G$2:$G$954,"Funded")</x:f>
        <x:v>13</x:v>
      </x:c>
      <x:c r="G97" s="23" t="n">
        <x:f>SUMIFS(loan_transaction!$H$2:$H$954,loan_transaction!$C$2:$C$954,C97,loan_transaction!$D$2:$D$954,D97,loan_transaction!$G$2:$G$954,"Funded")</x:f>
        <x:v>491000</x:v>
      </x:c>
      <x:c r="H97" s="24" t="n">
        <x:f>IF(E97=0,"n.a.",G97/E97)</x:f>
        <x:v>1.244613434727503</x:v>
      </x:c>
      <x:c r="I97" s="26" t="n">
        <x:f>IF(H97&lt;0.7,1,IF(H97&lt;0.9,2,IF(H97&lt;1.1,3,IF(H97&lt;1.3,4,5))))</x:f>
        <x:v>4</x:v>
      </x:c>
      <x:c r="J97" s="20" t="n">
        <x:v>46296.5</x:v>
      </x:c>
      <x:c r="K97" s="18" t="str">
        <x:v>Final</x:v>
      </x:c>
    </x:row>
    <x:row r="98" ht="15" hidden="0" customHeight="1">
      <x:c r="A98" s="18" t="str">
        <x:v>SNP0097</x:v>
      </x:c>
      <x:c r="B98" s="18" t="str">
        <x:v>REV0097</x:v>
      </x:c>
      <x:c r="C98" s="18" t="str">
        <x:v>EMP007</x:v>
      </x:c>
      <x:c r="D98" s="18" t="str">
        <x:v>CY2026Q3</x:v>
      </x:c>
      <x:c r="E98" s="23" t="n">
        <x:f>SUMIFS(performance_target!$F$2:$F$148,performance_target!$B$2:$B$148,D98,performance_target!$C$2:$C$148,"Employee",performance_target!$D$2:$D$148,C98)</x:f>
        <x:v>373000</x:v>
      </x:c>
      <x:c r="F98" s="25" t="n">
        <x:f>COUNTIFS(loan_transaction!$C$2:$C$954,C98,loan_transaction!$D$2:$D$954,D98,loan_transaction!$G$2:$G$954,"Funded")</x:f>
        <x:v>9</x:v>
      </x:c>
      <x:c r="G98" s="23" t="n">
        <x:f>SUMIFS(loan_transaction!$H$2:$H$954,loan_transaction!$C$2:$C$954,C98,loan_transaction!$D$2:$D$954,D98,loan_transaction!$G$2:$G$954,"Funded")</x:f>
        <x:v>325000</x:v>
      </x:c>
      <x:c r="H98" s="24" t="n">
        <x:f>IF(E98=0,"n.a.",G98/E98)</x:f>
        <x:v>0.871313672922252</x:v>
      </x:c>
      <x:c r="I98" s="26" t="n">
        <x:f>IF(H98&lt;0.7,1,IF(H98&lt;0.9,2,IF(H98&lt;1.1,3,IF(H98&lt;1.3,4,5))))</x:f>
        <x:v>2</x:v>
      </x:c>
      <x:c r="J98" s="20" t="n">
        <x:v>46296.5</x:v>
      </x:c>
      <x:c r="K98" s="18" t="str">
        <x:v>Final</x:v>
      </x:c>
    </x:row>
    <x:row r="99" ht="15" hidden="0" customHeight="1">
      <x:c r="A99" s="18" t="str">
        <x:v>SNP0098</x:v>
      </x:c>
      <x:c r="B99" s="18" t="str">
        <x:v>REV0098</x:v>
      </x:c>
      <x:c r="C99" s="18" t="str">
        <x:v>EMP008</x:v>
      </x:c>
      <x:c r="D99" s="18" t="str">
        <x:v>CY2026Q3</x:v>
      </x:c>
      <x:c r="E99" s="23" t="n">
        <x:f>SUMIFS(performance_target!$F$2:$F$148,performance_target!$B$2:$B$148,D99,performance_target!$C$2:$C$148,"Employee",performance_target!$D$2:$D$148,C99)</x:f>
        <x:v>396500</x:v>
      </x:c>
      <x:c r="F99" s="25" t="n">
        <x:f>COUNTIFS(loan_transaction!$C$2:$C$954,C99,loan_transaction!$D$2:$D$954,D99,loan_transaction!$G$2:$G$954,"Funded")</x:f>
        <x:v>6</x:v>
      </x:c>
      <x:c r="G99" s="23" t="n">
        <x:f>SUMIFS(loan_transaction!$H$2:$H$954,loan_transaction!$C$2:$C$954,C99,loan_transaction!$D$2:$D$954,D99,loan_transaction!$G$2:$G$954,"Funded")</x:f>
        <x:v>250000</x:v>
      </x:c>
      <x:c r="H99" s="24" t="n">
        <x:f>IF(E99=0,"n.a.",G99/E99)</x:f>
        <x:v>0.6305170239596469</x:v>
      </x:c>
      <x:c r="I99" s="26" t="n">
        <x:f>IF(H99&lt;0.7,1,IF(H99&lt;0.9,2,IF(H99&lt;1.1,3,IF(H99&lt;1.3,4,5))))</x:f>
        <x:v>1</x:v>
      </x:c>
      <x:c r="J99" s="20" t="n">
        <x:v>46296.5</x:v>
      </x:c>
      <x:c r="K99" s="18" t="str">
        <x:v>Final</x:v>
      </x:c>
    </x:row>
    <x:row r="100" ht="15" hidden="0" customHeight="1">
      <x:c r="A100" s="18" t="str">
        <x:v>SNP0099</x:v>
      </x:c>
      <x:c r="B100" s="18" t="str">
        <x:v>REV0099</x:v>
      </x:c>
      <x:c r="C100" s="18" t="str">
        <x:v>EMP009</x:v>
      </x:c>
      <x:c r="D100" s="18" t="str">
        <x:v>CY2026Q3</x:v>
      </x:c>
      <x:c r="E100" s="23" t="n">
        <x:f>SUMIFS(performance_target!$F$2:$F$148,performance_target!$B$2:$B$148,D100,performance_target!$C$2:$C$148,"Employee",performance_target!$D$2:$D$148,C100)</x:f>
        <x:v>420000</x:v>
      </x:c>
      <x:c r="F100" s="25" t="n">
        <x:f>COUNTIFS(loan_transaction!$C$2:$C$954,C100,loan_transaction!$D$2:$D$954,D100,loan_transaction!$G$2:$G$954,"Funded")</x:f>
        <x:v>15</x:v>
      </x:c>
      <x:c r="G100" s="23" t="n">
        <x:f>SUMIFS(loan_transaction!$H$2:$H$954,loan_transaction!$C$2:$C$954,C100,loan_transaction!$D$2:$D$954,D100,loan_transaction!$G$2:$G$954,"Funded")</x:f>
        <x:v>627000</x:v>
      </x:c>
      <x:c r="H100" s="24" t="n">
        <x:f>IF(E100=0,"n.a.",G100/E100)</x:f>
        <x:v>1.4928571428571429</x:v>
      </x:c>
      <x:c r="I100" s="26" t="n">
        <x:f>IF(H100&lt;0.7,1,IF(H100&lt;0.9,2,IF(H100&lt;1.1,3,IF(H100&lt;1.3,4,5))))</x:f>
        <x:v>5</x:v>
      </x:c>
      <x:c r="J100" s="20" t="n">
        <x:v>46296.5</x:v>
      </x:c>
      <x:c r="K100" s="18" t="str">
        <x:v>Final</x:v>
      </x:c>
    </x:row>
    <x:row r="101" ht="15" hidden="0" customHeight="1">
      <x:c r="A101" s="18" t="str">
        <x:v>SNP0100</x:v>
      </x:c>
      <x:c r="B101" s="18" t="str">
        <x:v>REV0100</x:v>
      </x:c>
      <x:c r="C101" s="18" t="str">
        <x:v>EMP010</x:v>
      </x:c>
      <x:c r="D101" s="18" t="str">
        <x:v>CY2026Q3</x:v>
      </x:c>
      <x:c r="E101" s="23" t="n">
        <x:f>SUMIFS(performance_target!$F$2:$F$148,performance_target!$B$2:$B$148,D101,performance_target!$C$2:$C$148,"Employee",performance_target!$D$2:$D$148,C101)</x:f>
        <x:v>398500</x:v>
      </x:c>
      <x:c r="F101" s="25" t="n">
        <x:f>COUNTIFS(loan_transaction!$C$2:$C$954,C101,loan_transaction!$D$2:$D$954,D101,loan_transaction!$G$2:$G$954,"Funded")</x:f>
        <x:v>11</x:v>
      </x:c>
      <x:c r="G101" s="23" t="n">
        <x:f>SUMIFS(loan_transaction!$H$2:$H$954,loan_transaction!$C$2:$C$954,C101,loan_transaction!$D$2:$D$954,D101,loan_transaction!$G$2:$G$954,"Funded")</x:f>
        <x:v>459000</x:v>
      </x:c>
      <x:c r="H101" s="24" t="n">
        <x:f>IF(E101=0,"n.a.",G101/E101)</x:f>
        <x:v>1.1518193224592221</x:v>
      </x:c>
      <x:c r="I101" s="26" t="n">
        <x:f>IF(H101&lt;0.7,1,IF(H101&lt;0.9,2,IF(H101&lt;1.1,3,IF(H101&lt;1.3,4,5))))</x:f>
        <x:v>4</x:v>
      </x:c>
      <x:c r="J101" s="20" t="n">
        <x:v>46296.5</x:v>
      </x:c>
      <x:c r="K101" s="18" t="str">
        <x:v>Final</x:v>
      </x:c>
    </x:row>
    <x:row r="102" ht="15" hidden="0" customHeight="1">
      <x:c r="A102" s="18" t="str">
        <x:v>SNP0101</x:v>
      </x:c>
      <x:c r="B102" s="18" t="str">
        <x:v>REV0101</x:v>
      </x:c>
      <x:c r="C102" s="18" t="str">
        <x:v>EMP011</x:v>
      </x:c>
      <x:c r="D102" s="18" t="str">
        <x:v>CY2026Q3</x:v>
      </x:c>
      <x:c r="E102" s="23" t="n">
        <x:f>SUMIFS(performance_target!$F$2:$F$148,performance_target!$B$2:$B$148,D102,performance_target!$C$2:$C$148,"Employee",performance_target!$D$2:$D$148,C102)</x:f>
        <x:v>422000</x:v>
      </x:c>
      <x:c r="F102" s="25" t="n">
        <x:f>COUNTIFS(loan_transaction!$C$2:$C$954,C102,loan_transaction!$D$2:$D$954,D102,loan_transaction!$G$2:$G$954,"Funded")</x:f>
        <x:v>9</x:v>
      </x:c>
      <x:c r="G102" s="23" t="n">
        <x:f>SUMIFS(loan_transaction!$H$2:$H$954,loan_transaction!$C$2:$C$954,C102,loan_transaction!$D$2:$D$954,D102,loan_transaction!$G$2:$G$954,"Funded")</x:f>
        <x:v>357000</x:v>
      </x:c>
      <x:c r="H102" s="24" t="n">
        <x:f>IF(E102=0,"n.a.",G102/E102)</x:f>
        <x:v>0.8459715639810427</x:v>
      </x:c>
      <x:c r="I102" s="26" t="n">
        <x:f>IF(H102&lt;0.7,1,IF(H102&lt;0.9,2,IF(H102&lt;1.1,3,IF(H102&lt;1.3,4,5))))</x:f>
        <x:v>2</x:v>
      </x:c>
      <x:c r="J102" s="20" t="n">
        <x:v>46296.5</x:v>
      </x:c>
      <x:c r="K102" s="18" t="str">
        <x:v>Final</x:v>
      </x:c>
    </x:row>
    <x:row r="103" ht="15" hidden="0" customHeight="1">
      <x:c r="A103" s="18" t="str">
        <x:v>SNP0102</x:v>
      </x:c>
      <x:c r="B103" s="18" t="str">
        <x:v>REV0102</x:v>
      </x:c>
      <x:c r="C103" s="18" t="str">
        <x:v>EMP012</x:v>
      </x:c>
      <x:c r="D103" s="18" t="str">
        <x:v>CY2026Q3</x:v>
      </x:c>
      <x:c r="E103" s="23" t="n">
        <x:f>SUMIFS(performance_target!$F$2:$F$148,performance_target!$B$2:$B$148,D103,performance_target!$C$2:$C$148,"Employee",performance_target!$D$2:$D$148,C103)</x:f>
        <x:v>445500</x:v>
      </x:c>
      <x:c r="F103" s="25" t="n">
        <x:f>COUNTIFS(loan_transaction!$C$2:$C$954,C103,loan_transaction!$D$2:$D$954,D103,loan_transaction!$G$2:$G$954,"Funded")</x:f>
        <x:v>11</x:v>
      </x:c>
      <x:c r="G103" s="23" t="n">
        <x:f>SUMIFS(loan_transaction!$H$2:$H$954,loan_transaction!$C$2:$C$954,C103,loan_transaction!$D$2:$D$954,D103,loan_transaction!$G$2:$G$954,"Funded")</x:f>
        <x:v>447000</x:v>
      </x:c>
      <x:c r="H103" s="24" t="n">
        <x:f>IF(E103=0,"n.a.",G103/E103)</x:f>
        <x:v>1.0033670033670035</x:v>
      </x:c>
      <x:c r="I103" s="26" t="n">
        <x:f>IF(H103&lt;0.7,1,IF(H103&lt;0.9,2,IF(H103&lt;1.1,3,IF(H103&lt;1.3,4,5))))</x:f>
        <x:v>3</x:v>
      </x:c>
      <x:c r="J103" s="20" t="n">
        <x:v>46296.5</x:v>
      </x:c>
      <x:c r="K103" s="18" t="str">
        <x:v>Final</x:v>
      </x:c>
    </x:row>
    <x:row r="104" ht="15" hidden="0" customHeight="1">
      <x:c r="A104" s="18" t="str">
        <x:v>SNP0103</x:v>
      </x:c>
      <x:c r="B104" s="18" t="str">
        <x:v>REV0103</x:v>
      </x:c>
      <x:c r="C104" s="18" t="str">
        <x:v>EMP013</x:v>
      </x:c>
      <x:c r="D104" s="18" t="str">
        <x:v>CY2026Q3</x:v>
      </x:c>
      <x:c r="E104" s="23" t="n">
        <x:f>SUMIFS(performance_target!$F$2:$F$148,performance_target!$B$2:$B$148,D104,performance_target!$C$2:$C$148,"Employee",performance_target!$D$2:$D$148,C104)</x:f>
        <x:v>424000</x:v>
      </x:c>
      <x:c r="F104" s="25" t="n">
        <x:f>COUNTIFS(loan_transaction!$C$2:$C$954,C104,loan_transaction!$D$2:$D$954,D104,loan_transaction!$G$2:$G$954,"Funded")</x:f>
        <x:v>11</x:v>
      </x:c>
      <x:c r="G104" s="23" t="n">
        <x:f>SUMIFS(loan_transaction!$H$2:$H$954,loan_transaction!$C$2:$C$954,C104,loan_transaction!$D$2:$D$954,D104,loan_transaction!$G$2:$G$954,"Funded")</x:f>
        <x:v>517000</x:v>
      </x:c>
      <x:c r="H104" s="24" t="n">
        <x:f>IF(E104=0,"n.a.",G104/E104)</x:f>
        <x:v>1.2193396226415094</x:v>
      </x:c>
      <x:c r="I104" s="26" t="n">
        <x:f>IF(H104&lt;0.7,1,IF(H104&lt;0.9,2,IF(H104&lt;1.1,3,IF(H104&lt;1.3,4,5))))</x:f>
        <x:v>4</x:v>
      </x:c>
      <x:c r="J104" s="20" t="n">
        <x:v>46296.5</x:v>
      </x:c>
      <x:c r="K104" s="18" t="str">
        <x:v>Final</x:v>
      </x:c>
    </x:row>
    <x:row r="105" ht="15" hidden="0" customHeight="1">
      <x:c r="A105" s="18" t="str">
        <x:v>SNP0104</x:v>
      </x:c>
      <x:c r="B105" s="18" t="str">
        <x:v>REV0104</x:v>
      </x:c>
      <x:c r="C105" s="18" t="str">
        <x:v>EMP014</x:v>
      </x:c>
      <x:c r="D105" s="18" t="str">
        <x:v>CY2026Q3</x:v>
      </x:c>
      <x:c r="E105" s="23" t="n">
        <x:f>SUMIFS(performance_target!$F$2:$F$148,performance_target!$B$2:$B$148,D105,performance_target!$C$2:$C$148,"Employee",performance_target!$D$2:$D$148,C105)</x:f>
        <x:v>447500</x:v>
      </x:c>
      <x:c r="F105" s="25" t="n">
        <x:f>COUNTIFS(loan_transaction!$C$2:$C$954,C105,loan_transaction!$D$2:$D$954,D105,loan_transaction!$G$2:$G$954,"Funded")</x:f>
        <x:v>10</x:v>
      </x:c>
      <x:c r="G105" s="23" t="n">
        <x:f>SUMIFS(loan_transaction!$H$2:$H$954,loan_transaction!$C$2:$C$954,C105,loan_transaction!$D$2:$D$954,D105,loan_transaction!$G$2:$G$954,"Funded")</x:f>
        <x:v>448000</x:v>
      </x:c>
      <x:c r="H105" s="24" t="n">
        <x:f>IF(E105=0,"n.a.",G105/E105)</x:f>
        <x:v>1.0011173184357542</x:v>
      </x:c>
      <x:c r="I105" s="26" t="n">
        <x:f>IF(H105&lt;0.7,1,IF(H105&lt;0.9,2,IF(H105&lt;1.1,3,IF(H105&lt;1.3,4,5))))</x:f>
        <x:v>3</x:v>
      </x:c>
      <x:c r="J105" s="20" t="n">
        <x:v>46296.5</x:v>
      </x:c>
      <x:c r="K105" s="18" t="str">
        <x:v>Final</x:v>
      </x:c>
    </x:row>
    <x:row r="106" ht="15" hidden="0" customHeight="1">
      <x:c r="A106" s="18" t="str">
        <x:v>SNP0105</x:v>
      </x:c>
      <x:c r="B106" s="18" t="str">
        <x:v>REV0105</x:v>
      </x:c>
      <x:c r="C106" s="18" t="str">
        <x:v>EMP015</x:v>
      </x:c>
      <x:c r="D106" s="18" t="str">
        <x:v>CY2026Q3</x:v>
      </x:c>
      <x:c r="E106" s="23" t="n">
        <x:f>SUMIFS(performance_target!$F$2:$F$148,performance_target!$B$2:$B$148,D106,performance_target!$C$2:$C$148,"Employee",performance_target!$D$2:$D$148,C106)</x:f>
        <x:v>471000</x:v>
      </x:c>
      <x:c r="F106" s="25" t="n">
        <x:f>COUNTIFS(loan_transaction!$C$2:$C$954,C106,loan_transaction!$D$2:$D$954,D106,loan_transaction!$G$2:$G$954,"Funded")</x:f>
        <x:v>7</x:v>
      </x:c>
      <x:c r="G106" s="23" t="n">
        <x:f>SUMIFS(loan_transaction!$H$2:$H$954,loan_transaction!$C$2:$C$954,C106,loan_transaction!$D$2:$D$954,D106,loan_transaction!$G$2:$G$954,"Funded")</x:f>
        <x:v>281000</x:v>
      </x:c>
      <x:c r="H106" s="24" t="n">
        <x:f>IF(E106=0,"n.a.",G106/E106)</x:f>
        <x:v>0.5966029723991507</x:v>
      </x:c>
      <x:c r="I106" s="26" t="n">
        <x:f>IF(H106&lt;0.7,1,IF(H106&lt;0.9,2,IF(H106&lt;1.1,3,IF(H106&lt;1.3,4,5))))</x:f>
        <x:v>1</x:v>
      </x:c>
      <x:c r="J106" s="20" t="n">
        <x:v>46296.5</x:v>
      </x:c>
      <x:c r="K106" s="18" t="str">
        <x:v>Final</x:v>
      </x:c>
    </x:row>
  </x:sheetData>
  <x:conditionalFormatting sqref="I2:I106">
    <x:cfRule type="cellIs" dxfId="4" priority="1" operator="equal">
      <x:formula>1</x:formula>
    </x:cfRule>
    <x:cfRule type="cellIs" dxfId="5" priority="2" operator="equal">
      <x:formula>5</x:formula>
    </x:cfRule>
  </x:conditionalFormatting>
  <x:dataValidations count="1">
    <x:dataValidation type="whole" operator="between" sqref="I2:I106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2aa4762ac3a475f"/>
  </x:tableParts>
</x:worksheet>
</file>